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entrada" sheetId="1" state="visible" r:id="rId3"/>
    <sheet name="Sheet7" sheetId="2" state="visible" r:id="rId4"/>
    <sheet name="desconto_folha" sheetId="3" state="visible" r:id="rId5"/>
    <sheet name="utilizacao" sheetId="4" state="visible" r:id="rId6"/>
    <sheet name="debito" sheetId="5" state="visible" r:id="rId7"/>
    <sheet name="credito" sheetId="6" state="visible" r:id="rId8"/>
    <sheet name="planilha" sheetId="7" state="visible" r:id="rId9"/>
  </sheets>
  <definedNames>
    <definedName function="false" hidden="false" localSheetId="4" name="_xlnm._FilterDatabase" vbProcedure="false">debito!$A$1:$J$964</definedName>
    <definedName function="false" hidden="false" localSheetId="5" name="_FilterDatabase_0" vbProcedure="false">credito!$A$1:$J$1</definedName>
    <definedName function="false" hidden="false" localSheetId="5" name="_FilterDatabase_0_0" vbProcedure="false">credito!$A$1:$J$1</definedName>
    <definedName function="false" hidden="false" localSheetId="5" name="_xlnm._FilterDatabase" vbProcedure="false">credito!$A$1:$I$282</definedName>
    <definedName function="false" hidden="false" localSheetId="5" name="_xlnm._FilterDatabase_0" vbProcedure="false">credito!$A$1:$I$271</definedName>
    <definedName function="false" hidden="false" localSheetId="5" name="_xlnm._FilterDatabase_0_0" vbProcedure="false">credito!$A$1:$I$250</definedName>
    <definedName function="false" hidden="false" localSheetId="5" name="_xlnm._FilterDatabase_0_0_0" vbProcedure="false">credito!$A$1:$I$249</definedName>
    <definedName function="false" hidden="false" localSheetId="5" name="_xlnm._FilterDatabase_0_0_0_0" vbProcedure="false">credito!$A$1:$I$238</definedName>
    <definedName function="false" hidden="false" localSheetId="5" name="_xlnm._FilterDatabase_0_0_0_0_0" vbProcedure="false">credito!$A$1:$I$179</definedName>
    <definedName function="false" hidden="false" localSheetId="5" name="_xlnm._FilterDatabase_0_0_0_0_0_0" vbProcedure="false">credito!$A$1:$I$234</definedName>
    <definedName function="false" hidden="false" localSheetId="5" name="_xlnm._FilterDatabase_0_0_0_0_0_0_0" vbProcedure="false">credito!$A$1:$I$203</definedName>
    <definedName function="false" hidden="false" localSheetId="5" name="_xlnm._FilterDatabase_0_0_0_0_0_0_0_0" vbProcedure="false">credito!$A$1:$I$183</definedName>
    <definedName function="false" hidden="false" localSheetId="5" name="_xlnm._FilterDatabase_0_0_0_0_0_0_0_0_0" vbProcedure="false">credito!$A$1:$I$165</definedName>
    <definedName function="false" hidden="false" localSheetId="5" name="_xlnm._FilterDatabase_0_0_0_0_0_0_0_0_0_0" vbProcedure="false">credito!$A$1:$I$146</definedName>
    <definedName function="false" hidden="false" localSheetId="5" name="_xlnm._FilterDatabase_0_0_0_0_0_0_0_0_0_0_0" vbProcedure="false">credito!$A$1:$I$123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<sst xmlns="http://schemas.openxmlformats.org/spreadsheetml/2006/main" count="3056" uniqueCount="671">
  <si>
    <t xml:space="preserve">salariobase</t>
  </si>
  <si>
    <t xml:space="preserve">desconto</t>
  </si>
  <si>
    <t xml:space="preserve">adiatamento</t>
  </si>
  <si>
    <t xml:space="preserve">desconto+adiant</t>
  </si>
  <si>
    <t xml:space="preserve">decimoterceiro</t>
  </si>
  <si>
    <t xml:space="preserve">abono salrial</t>
  </si>
  <si>
    <t xml:space="preserve">salario-desconto</t>
  </si>
  <si>
    <t xml:space="preserve">salario+adiant</t>
  </si>
  <si>
    <t xml:space="preserve">messalario</t>
  </si>
  <si>
    <t xml:space="preserve">valor</t>
  </si>
  <si>
    <t xml:space="preserve">mês </t>
  </si>
  <si>
    <t xml:space="preserve">seguro de vida</t>
  </si>
  <si>
    <t xml:space="preserve">contrib sindical</t>
  </si>
  <si>
    <t xml:space="preserve">compra associa</t>
  </si>
  <si>
    <t xml:space="preserve">assist medica fix</t>
  </si>
  <si>
    <t xml:space="preserve">assist medica dep</t>
  </si>
  <si>
    <t xml:space="preserve">Util Medica assoc</t>
  </si>
  <si>
    <t xml:space="preserve">util. Medica depend</t>
  </si>
  <si>
    <t xml:space="preserve">vr associado</t>
  </si>
  <si>
    <t xml:space="preserve">inss</t>
  </si>
  <si>
    <t xml:space="preserve">irrf</t>
  </si>
  <si>
    <t xml:space="preserve">abono de férias imp</t>
  </si>
  <si>
    <t xml:space="preserve">abono de férias - 1</t>
  </si>
  <si>
    <t xml:space="preserve">férias - imp</t>
  </si>
  <si>
    <t xml:space="preserve">férias 1/3 - imp</t>
  </si>
  <si>
    <t xml:space="preserve">Assist. Odont - AMI </t>
  </si>
  <si>
    <t xml:space="preserve">Util Medica depend</t>
  </si>
  <si>
    <t xml:space="preserve">mesutilizacao</t>
  </si>
  <si>
    <t xml:space="preserve">datadeposito</t>
  </si>
  <si>
    <t xml:space="preserve">formaentrada</t>
  </si>
  <si>
    <t xml:space="preserve">valorutlizado</t>
  </si>
  <si>
    <t xml:space="preserve">VALOR+META</t>
  </si>
  <si>
    <t xml:space="preserve">saldo</t>
  </si>
  <si>
    <t xml:space="preserve">deposito</t>
  </si>
  <si>
    <t xml:space="preserve">férias+13</t>
  </si>
  <si>
    <t xml:space="preserve">michelle</t>
  </si>
  <si>
    <t xml:space="preserve">emprestimo</t>
  </si>
  <si>
    <t xml:space="preserve">diferença</t>
  </si>
  <si>
    <t xml:space="preserve">rest consorcio</t>
  </si>
  <si>
    <t xml:space="preserve">IR</t>
  </si>
  <si>
    <t xml:space="preserve">perfume</t>
  </si>
  <si>
    <t xml:space="preserve">oferta</t>
  </si>
  <si>
    <t xml:space="preserve">devolução</t>
  </si>
  <si>
    <t xml:space="preserve">salario</t>
  </si>
  <si>
    <t xml:space="preserve">decimo terc</t>
  </si>
  <si>
    <t xml:space="preserve">transfe</t>
  </si>
  <si>
    <t xml:space="preserve">trasn</t>
  </si>
  <si>
    <t xml:space="preserve">obra</t>
  </si>
  <si>
    <t xml:space="preserve">custo</t>
  </si>
  <si>
    <t xml:space="preserve">valor_custo</t>
  </si>
  <si>
    <t xml:space="preserve">flag_fixo</t>
  </si>
  <si>
    <t xml:space="preserve">flag_variavel</t>
  </si>
  <si>
    <t xml:space="preserve">flag_pendente</t>
  </si>
  <si>
    <t xml:space="preserve">flag_investimento</t>
  </si>
  <si>
    <t xml:space="preserve">data_base</t>
  </si>
  <si>
    <t xml:space="preserve">data_custo</t>
  </si>
  <si>
    <t xml:space="preserve">tipo_custo</t>
  </si>
  <si>
    <t xml:space="preserve">taxa conta corrente</t>
  </si>
  <si>
    <t xml:space="preserve">banco</t>
  </si>
  <si>
    <t xml:space="preserve">net</t>
  </si>
  <si>
    <t xml:space="preserve">casa</t>
  </si>
  <si>
    <t xml:space="preserve">alugel casa</t>
  </si>
  <si>
    <t xml:space="preserve">SEGURO CARTÃO</t>
  </si>
  <si>
    <t xml:space="preserve">UNICEF</t>
  </si>
  <si>
    <t xml:space="preserve">doação</t>
  </si>
  <si>
    <t xml:space="preserve">meta de custo</t>
  </si>
  <si>
    <t xml:space="preserve">meta</t>
  </si>
  <si>
    <t xml:space="preserve">dizimo</t>
  </si>
  <si>
    <t xml:space="preserve">benção</t>
  </si>
  <si>
    <t xml:space="preserve">sptransp</t>
  </si>
  <si>
    <t xml:space="preserve">transporte</t>
  </si>
  <si>
    <t xml:space="preserve">mercado agua</t>
  </si>
  <si>
    <t xml:space="preserve">alimentação</t>
  </si>
  <si>
    <t xml:space="preserve">almoço</t>
  </si>
  <si>
    <t xml:space="preserve">agua</t>
  </si>
  <si>
    <t xml:space="preserve">seminario mensalidade</t>
  </si>
  <si>
    <t xml:space="preserve">seminario</t>
  </si>
  <si>
    <t xml:space="preserve">luz dez/18</t>
  </si>
  <si>
    <t xml:space="preserve">andorinha</t>
  </si>
  <si>
    <t xml:space="preserve">mercado</t>
  </si>
  <si>
    <t xml:space="preserve">loja japones chupeta</t>
  </si>
  <si>
    <t xml:space="preserve">pessoal</t>
  </si>
  <si>
    <t xml:space="preserve">café</t>
  </si>
  <si>
    <t xml:space="preserve">padaria algarve</t>
  </si>
  <si>
    <t xml:space="preserve">padaria</t>
  </si>
  <si>
    <t xml:space="preserve">feira</t>
  </si>
  <si>
    <t xml:space="preserve">padaria arizona</t>
  </si>
  <si>
    <t xml:space="preserve">lis/juros</t>
  </si>
  <si>
    <t xml:space="preserve">juros</t>
  </si>
  <si>
    <t xml:space="preserve">academia</t>
  </si>
  <si>
    <t xml:space="preserve">bergamais</t>
  </si>
  <si>
    <t xml:space="preserve">tolezano</t>
  </si>
  <si>
    <t xml:space="preserve">café da manha</t>
  </si>
  <si>
    <t xml:space="preserve">almoço mc donalds</t>
  </si>
  <si>
    <t xml:space="preserve">arizona</t>
  </si>
  <si>
    <t xml:space="preserve">iof</t>
  </si>
  <si>
    <t xml:space="preserve">padaria toddy</t>
  </si>
  <si>
    <t xml:space="preserve">habibs</t>
  </si>
  <si>
    <t xml:space="preserve">padaria café igreja</t>
  </si>
  <si>
    <t xml:space="preserve">cemiterio sepultamento</t>
  </si>
  <si>
    <t xml:space="preserve">mc donalds</t>
  </si>
  <si>
    <t xml:space="preserve">almoço na brasa</t>
  </si>
  <si>
    <t xml:space="preserve">estacionamento</t>
  </si>
  <si>
    <t xml:space="preserve">ragazzo</t>
  </si>
  <si>
    <t xml:space="preserve">escudeiro</t>
  </si>
  <si>
    <t xml:space="preserve">gasolina</t>
  </si>
  <si>
    <t xml:space="preserve">carro</t>
  </si>
  <si>
    <t xml:space="preserve">caldo</t>
  </si>
  <si>
    <t xml:space="preserve">cartorio</t>
  </si>
  <si>
    <t xml:space="preserve">empada</t>
  </si>
  <si>
    <t xml:space="preserve">metro chocolate nakata</t>
  </si>
  <si>
    <t xml:space="preserve">carregador</t>
  </si>
  <si>
    <t xml:space="preserve">suco</t>
  </si>
  <si>
    <t xml:space="preserve">lanche burguer king</t>
  </si>
  <si>
    <t xml:space="preserve">copia</t>
  </si>
  <si>
    <t xml:space="preserve">extra</t>
  </si>
  <si>
    <t xml:space="preserve">farmacia</t>
  </si>
  <si>
    <t xml:space="preserve">guarda sol</t>
  </si>
  <si>
    <t xml:space="preserve">bolacha</t>
  </si>
  <si>
    <t xml:space="preserve">praia - mercado</t>
  </si>
  <si>
    <t xml:space="preserve">salgado - mercado</t>
  </si>
  <si>
    <t xml:space="preserve">milk shake café starbuck</t>
  </si>
  <si>
    <t xml:space="preserve">voluntarios alimentação</t>
  </si>
  <si>
    <t xml:space="preserve">juliana</t>
  </si>
  <si>
    <t xml:space="preserve">roupas</t>
  </si>
  <si>
    <t xml:space="preserve">ferro de passar roupa</t>
  </si>
  <si>
    <t xml:space="preserve">pontal chinelo</t>
  </si>
  <si>
    <t xml:space="preserve">estacao vivo</t>
  </si>
  <si>
    <t xml:space="preserve">mullequinho</t>
  </si>
  <si>
    <t xml:space="preserve">luz</t>
  </si>
  <si>
    <t xml:space="preserve">cartão parcelado 1a janeiro</t>
  </si>
  <si>
    <t xml:space="preserve">cartão credito</t>
  </si>
  <si>
    <t xml:space="preserve">portoseguro</t>
  </si>
  <si>
    <t xml:space="preserve">juros ch especial</t>
  </si>
  <si>
    <t xml:space="preserve">net + claro</t>
  </si>
  <si>
    <t xml:space="preserve">cartão</t>
  </si>
  <si>
    <t xml:space="preserve">saque</t>
  </si>
  <si>
    <t xml:space="preserve">sesc santana</t>
  </si>
  <si>
    <t xml:space="preserve">lazer</t>
  </si>
  <si>
    <t xml:space="preserve">panetone / chocolate</t>
  </si>
  <si>
    <t xml:space="preserve">gelinho</t>
  </si>
  <si>
    <t xml:space="preserve">drogaria - lenco</t>
  </si>
  <si>
    <t xml:space="preserve">drogaria - alcool gel</t>
  </si>
  <si>
    <t xml:space="preserve">refrigerante/salgadinho</t>
  </si>
  <si>
    <t xml:space="preserve">dona eugenia</t>
  </si>
  <si>
    <t xml:space="preserve">zaffari hiper sesc</t>
  </si>
  <si>
    <t xml:space="preserve">burger king</t>
  </si>
  <si>
    <t xml:space="preserve">celeiro</t>
  </si>
  <si>
    <t xml:space="preserve">almoço vegano</t>
  </si>
  <si>
    <t xml:space="preserve">centro esportivo</t>
  </si>
  <si>
    <t xml:space="preserve">boticario</t>
  </si>
  <si>
    <t xml:space="preserve">casa de paes</t>
  </si>
  <si>
    <t xml:space="preserve">lampada</t>
  </si>
  <si>
    <t xml:space="preserve">pizzaria</t>
  </si>
  <si>
    <t xml:space="preserve">alcool - posto ipiranga</t>
  </si>
  <si>
    <t xml:space="preserve">conserto celular</t>
  </si>
  <si>
    <t xml:space="preserve">acai</t>
  </si>
  <si>
    <t xml:space="preserve">cacau show</t>
  </si>
  <si>
    <t xml:space="preserve">sorvete</t>
  </si>
  <si>
    <t xml:space="preserve">espetinho</t>
  </si>
  <si>
    <t xml:space="preserve">panificadora</t>
  </si>
  <si>
    <t xml:space="preserve">sandro</t>
  </si>
  <si>
    <t xml:space="preserve">mc donaldS</t>
  </si>
  <si>
    <t xml:space="preserve">sonda</t>
  </si>
  <si>
    <t xml:space="preserve">sobrancelha</t>
  </si>
  <si>
    <t xml:space="preserve">mix tudo</t>
  </si>
  <si>
    <t xml:space="preserve">contador</t>
  </si>
  <si>
    <t xml:space="preserve">juros/limite</t>
  </si>
  <si>
    <t xml:space="preserve">pasta de dente</t>
  </si>
  <si>
    <t xml:space="preserve">tapioca</t>
  </si>
  <si>
    <t xml:space="preserve">frange almoço</t>
  </si>
  <si>
    <t xml:space="preserve">mercado utensilios</t>
  </si>
  <si>
    <t xml:space="preserve">play center</t>
  </si>
  <si>
    <t xml:space="preserve">mc donalds almoço</t>
  </si>
  <si>
    <t xml:space="preserve">boneco marvel samuel</t>
  </si>
  <si>
    <t xml:space="preserve">saldo bradesco</t>
  </si>
  <si>
    <t xml:space="preserve">carga celular</t>
  </si>
  <si>
    <t xml:space="preserve">seguro carro</t>
  </si>
  <si>
    <t xml:space="preserve">aniversario outbcak nayana</t>
  </si>
  <si>
    <t xml:space="preserve">deposito michelle mercado</t>
  </si>
  <si>
    <t xml:space="preserve">presente</t>
  </si>
  <si>
    <t xml:space="preserve">procopias</t>
  </si>
  <si>
    <t xml:space="preserve">algarve</t>
  </si>
  <si>
    <t xml:space="preserve">bk kids</t>
  </si>
  <si>
    <t xml:space="preserve">festa</t>
  </si>
  <si>
    <t xml:space="preserve">anderson</t>
  </si>
  <si>
    <t xml:space="preserve">canelone</t>
  </si>
  <si>
    <t xml:space="preserve">igreja</t>
  </si>
  <si>
    <t xml:space="preserve">drogaraia</t>
  </si>
  <si>
    <t xml:space="preserve">cabelo</t>
  </si>
  <si>
    <t xml:space="preserve">esfiha</t>
  </si>
  <si>
    <t xml:space="preserve">juros limite</t>
  </si>
  <si>
    <t xml:space="preserve">drogaria</t>
  </si>
  <si>
    <t xml:space="preserve">riachuela</t>
  </si>
  <si>
    <t xml:space="preserve">meracdo</t>
  </si>
  <si>
    <t xml:space="preserve">passeio casal</t>
  </si>
  <si>
    <t xml:space="preserve">posto agua carro</t>
  </si>
  <si>
    <t xml:space="preserve">troca de oleo carro</t>
  </si>
  <si>
    <t xml:space="preserve">frango</t>
  </si>
  <si>
    <t xml:space="preserve">promofarma</t>
  </si>
  <si>
    <t xml:space="preserve">queijo vila olimpia</t>
  </si>
  <si>
    <t xml:space="preserve">pastel</t>
  </si>
  <si>
    <t xml:space="preserve">renner</t>
  </si>
  <si>
    <t xml:space="preserve">mybijo</t>
  </si>
  <si>
    <t xml:space="preserve">agua de coco</t>
  </si>
  <si>
    <t xml:space="preserve">seringa</t>
  </si>
  <si>
    <t xml:space="preserve">juliana roupa</t>
  </si>
  <si>
    <t xml:space="preserve">camiseta evangelistica</t>
  </si>
  <si>
    <t xml:space="preserve">caneta e caderno</t>
  </si>
  <si>
    <t xml:space="preserve">cha bebe</t>
  </si>
  <si>
    <t xml:space="preserve">fotografa festa</t>
  </si>
  <si>
    <t xml:space="preserve">bolo de pote</t>
  </si>
  <si>
    <t xml:space="preserve">acai da cris</t>
  </si>
  <si>
    <t xml:space="preserve">promofarma - leite bebe</t>
  </si>
  <si>
    <t xml:space="preserve">agua + energetico</t>
  </si>
  <si>
    <t xml:space="preserve">uber</t>
  </si>
  <si>
    <t xml:space="preserve">metro</t>
  </si>
  <si>
    <t xml:space="preserve">gaolina</t>
  </si>
  <si>
    <t xml:space="preserve">alomo</t>
  </si>
  <si>
    <t xml:space="preserve">podologa</t>
  </si>
  <si>
    <t xml:space="preserve">cartorio - testamentario</t>
  </si>
  <si>
    <t xml:space="preserve">certidão de casamento</t>
  </si>
  <si>
    <t xml:space="preserve">lanche pastor</t>
  </si>
  <si>
    <t xml:space="preserve">material reforma dicico</t>
  </si>
  <si>
    <t xml:space="preserve">doce</t>
  </si>
  <si>
    <t xml:space="preserve">lixa</t>
  </si>
  <si>
    <t xml:space="preserve">massa corrida material</t>
  </si>
  <si>
    <t xml:space="preserve">casa material</t>
  </si>
  <si>
    <t xml:space="preserve">choclate dia das maes</t>
  </si>
  <si>
    <t xml:space="preserve">americanas presente</t>
  </si>
  <si>
    <t xml:space="preserve">almoço dia das maes</t>
  </si>
  <si>
    <t xml:space="preserve">roupa</t>
  </si>
  <si>
    <t xml:space="preserve">roupa dia das maes</t>
  </si>
  <si>
    <t xml:space="preserve">mudança</t>
  </si>
  <si>
    <t xml:space="preserve">pagamento pedreiro</t>
  </si>
  <si>
    <t xml:space="preserve">casa de esfiha</t>
  </si>
  <si>
    <t xml:space="preserve">pão</t>
  </si>
  <si>
    <t xml:space="preserve">seminario lanche</t>
  </si>
  <si>
    <t xml:space="preserve">bolo gceu</t>
  </si>
  <si>
    <t xml:space="preserve">bolacha agua</t>
  </si>
  <si>
    <t xml:space="preserve">caldo de cana</t>
  </si>
  <si>
    <t xml:space="preserve">jorge mercadinho</t>
  </si>
  <si>
    <t xml:space="preserve">promofarma leite nan</t>
  </si>
  <si>
    <t xml:space="preserve">arizona niver da mae</t>
  </si>
  <si>
    <t xml:space="preserve">drogasil</t>
  </si>
  <si>
    <t xml:space="preserve">lanche</t>
  </si>
  <si>
    <t xml:space="preserve">lilian</t>
  </si>
  <si>
    <t xml:space="preserve">empada café</t>
  </si>
  <si>
    <t xml:space="preserve">varanda</t>
  </si>
  <si>
    <t xml:space="preserve">multa S00092886</t>
  </si>
  <si>
    <t xml:space="preserve">multa S00050696</t>
  </si>
  <si>
    <t xml:space="preserve">multa S00049328</t>
  </si>
  <si>
    <t xml:space="preserve">multa S00049330</t>
  </si>
  <si>
    <t xml:space="preserve">multa S00050698</t>
  </si>
  <si>
    <t xml:space="preserve">enel</t>
  </si>
  <si>
    <t xml:space="preserve">podologia</t>
  </si>
  <si>
    <t xml:space="preserve">shampo bebe</t>
  </si>
  <si>
    <t xml:space="preserve">desodorante</t>
  </si>
  <si>
    <t xml:space="preserve">padaria hospital</t>
  </si>
  <si>
    <t xml:space="preserve">mc donald</t>
  </si>
  <si>
    <t xml:space="preserve">mercadinho</t>
  </si>
  <si>
    <t xml:space="preserve">pomada eloah</t>
  </si>
  <si>
    <t xml:space="preserve">denise viagem mãe</t>
  </si>
  <si>
    <t xml:space="preserve">lenheira</t>
  </si>
  <si>
    <t xml:space="preserve">nextel</t>
  </si>
  <si>
    <t xml:space="preserve">ipva</t>
  </si>
  <si>
    <t xml:space="preserve">dpvat</t>
  </si>
  <si>
    <t xml:space="preserve">licenciamento</t>
  </si>
  <si>
    <t xml:space="preserve">mcdonalds lazer</t>
  </si>
  <si>
    <t xml:space="preserve">kid stock</t>
  </si>
  <si>
    <t xml:space="preserve">kid brinq</t>
  </si>
  <si>
    <t xml:space="preserve">mercadinho gas</t>
  </si>
  <si>
    <t xml:space="preserve">san paolo</t>
  </si>
  <si>
    <t xml:space="preserve">almoço são camilo</t>
  </si>
  <si>
    <t xml:space="preserve">feira peixaria</t>
  </si>
  <si>
    <t xml:space="preserve">farmacia remedio</t>
  </si>
  <si>
    <t xml:space="preserve">escova de dente</t>
  </si>
  <si>
    <t xml:space="preserve">feria</t>
  </si>
  <si>
    <t xml:space="preserve">fone de ouvido</t>
  </si>
  <si>
    <t xml:space="preserve">meia lupo</t>
  </si>
  <si>
    <t xml:space="preserve">almoço domingo</t>
  </si>
  <si>
    <t xml:space="preserve">lazer parquinho</t>
  </si>
  <si>
    <t xml:space="preserve">burguer king lazer</t>
  </si>
  <si>
    <t xml:space="preserve">mcdonalds</t>
  </si>
  <si>
    <t xml:space="preserve">carlos reis</t>
  </si>
  <si>
    <t xml:space="preserve">comando jov</t>
  </si>
  <si>
    <t xml:space="preserve">comercio</t>
  </si>
  <si>
    <t xml:space="preserve">marcos tono</t>
  </si>
  <si>
    <t xml:space="preserve">taylane</t>
  </si>
  <si>
    <t xml:space="preserve">telo</t>
  </si>
  <si>
    <t xml:space="preserve">shop</t>
  </si>
  <si>
    <t xml:space="preserve">lojas americanas</t>
  </si>
  <si>
    <t xml:space="preserve">doces</t>
  </si>
  <si>
    <t xml:space="preserve">mais</t>
  </si>
  <si>
    <t xml:space="preserve">lanchonete</t>
  </si>
  <si>
    <t xml:space="preserve">dia brasil</t>
  </si>
  <si>
    <t xml:space="preserve">angelica</t>
  </si>
  <si>
    <t xml:space="preserve">log</t>
  </si>
  <si>
    <t xml:space="preserve">casa esfiha</t>
  </si>
  <si>
    <t xml:space="preserve">century</t>
  </si>
  <si>
    <t xml:space="preserve">kilica</t>
  </si>
  <si>
    <t xml:space="preserve">ravioli</t>
  </si>
  <si>
    <t xml:space="preserve">investimento</t>
  </si>
  <si>
    <t xml:space="preserve">gilvandro</t>
  </si>
  <si>
    <t xml:space="preserve">andre</t>
  </si>
  <si>
    <t xml:space="preserve">velox</t>
  </si>
  <si>
    <t xml:space="preserve">mc donalds </t>
  </si>
  <si>
    <t xml:space="preserve">advogado</t>
  </si>
  <si>
    <t xml:space="preserve">chocolates</t>
  </si>
  <si>
    <t xml:space="preserve">retro</t>
  </si>
  <si>
    <t xml:space="preserve">rp silva</t>
  </si>
  <si>
    <t xml:space="preserve">sodexo</t>
  </si>
  <si>
    <t xml:space="preserve">acai metro</t>
  </si>
  <si>
    <t xml:space="preserve">habib’s</t>
  </si>
  <si>
    <t xml:space="preserve">feijoada</t>
  </si>
  <si>
    <t xml:space="preserve">massa</t>
  </si>
  <si>
    <t xml:space="preserve">pizza</t>
  </si>
  <si>
    <t xml:space="preserve">as</t>
  </si>
  <si>
    <t xml:space="preserve">cabeleireiro</t>
  </si>
  <si>
    <t xml:space="preserve">mecado</t>
  </si>
  <si>
    <t xml:space="preserve">cartão igreja</t>
  </si>
  <si>
    <t xml:space="preserve">emporio</t>
  </si>
  <si>
    <t xml:space="preserve">dieta</t>
  </si>
  <si>
    <t xml:space="preserve">livro</t>
  </si>
  <si>
    <t xml:space="preserve">tarifa ted internet</t>
  </si>
  <si>
    <t xml:space="preserve">celular</t>
  </si>
  <si>
    <t xml:space="preserve">regian pere</t>
  </si>
  <si>
    <t xml:space="preserve">energetico</t>
  </si>
  <si>
    <t xml:space="preserve">pao arizona</t>
  </si>
  <si>
    <t xml:space="preserve">churrascaria</t>
  </si>
  <si>
    <t xml:space="preserve">drive</t>
  </si>
  <si>
    <t xml:space="preserve">arizoa</t>
  </si>
  <si>
    <t xml:space="preserve">perfecs</t>
  </si>
  <si>
    <t xml:space="preserve">stelo</t>
  </si>
  <si>
    <t xml:space="preserve">esperanca</t>
  </si>
  <si>
    <t xml:space="preserve">casa da esfiha</t>
  </si>
  <si>
    <t xml:space="preserve">badej</t>
  </si>
  <si>
    <t xml:space="preserve">almoço hotel</t>
  </si>
  <si>
    <t xml:space="preserve">assai</t>
  </si>
  <si>
    <t xml:space="preserve">cachoera</t>
  </si>
  <si>
    <t xml:space="preserve">eletronica</t>
  </si>
  <si>
    <t xml:space="preserve">fabiano</t>
  </si>
  <si>
    <t xml:space="preserve">furacao</t>
  </si>
  <si>
    <t xml:space="preserve">ourinhos</t>
  </si>
  <si>
    <t xml:space="preserve">kilokid</t>
  </si>
  <si>
    <t xml:space="preserve">komesu</t>
  </si>
  <si>
    <t xml:space="preserve">vicroshe</t>
  </si>
  <si>
    <t xml:space="preserve">yumi</t>
  </si>
  <si>
    <t xml:space="preserve">mix</t>
  </si>
  <si>
    <t xml:space="preserve">armfran</t>
  </si>
  <si>
    <t xml:space="preserve">churrasquinho estacao</t>
  </si>
  <si>
    <t xml:space="preserve">ourinhos bolo</t>
  </si>
  <si>
    <t xml:space="preserve">mercado pag</t>
  </si>
  <si>
    <t xml:space="preserve">makochila</t>
  </si>
  <si>
    <t xml:space="preserve">bolo carmem</t>
  </si>
  <si>
    <t xml:space="preserve">rafael</t>
  </si>
  <si>
    <t xml:space="preserve">ana paula</t>
  </si>
  <si>
    <t xml:space="preserve">vila chic</t>
  </si>
  <si>
    <t xml:space="preserve">alpendre</t>
  </si>
  <si>
    <t xml:space="preserve">bk shop sorvete</t>
  </si>
  <si>
    <t xml:space="preserve">confecções</t>
  </si>
  <si>
    <t xml:space="preserve">mcamica</t>
  </si>
  <si>
    <t xml:space="preserve">galinha morta</t>
  </si>
  <si>
    <t xml:space="preserve">jhivago</t>
  </si>
  <si>
    <t xml:space="preserve">imw vila medeiros</t>
  </si>
  <si>
    <t xml:space="preserve">refrigerante</t>
  </si>
  <si>
    <t xml:space="preserve">celso gala</t>
  </si>
  <si>
    <t xml:space="preserve">doce moerena</t>
  </si>
  <si>
    <t xml:space="preserve">eleda fabia</t>
  </si>
  <si>
    <t xml:space="preserve">festaja</t>
  </si>
  <si>
    <t xml:space="preserve">samba biju</t>
  </si>
  <si>
    <t xml:space="preserve">adega</t>
  </si>
  <si>
    <t xml:space="preserve">ELECTRON2081 – PA</t>
  </si>
  <si>
    <t xml:space="preserve">presnete michelle</t>
  </si>
  <si>
    <t xml:space="preserve">baba buros</t>
  </si>
  <si>
    <t xml:space="preserve">efuardo</t>
  </si>
  <si>
    <t xml:space="preserve">feira livre</t>
  </si>
  <si>
    <t xml:space="preserve">geraldo</t>
  </si>
  <si>
    <t xml:space="preserve">sapatos</t>
  </si>
  <si>
    <t xml:space="preserve">loja t10</t>
  </si>
  <si>
    <t xml:space="preserve">marco antonio</t>
  </si>
  <si>
    <t xml:space="preserve">bombonie</t>
  </si>
  <si>
    <t xml:space="preserve">calcado</t>
  </si>
  <si>
    <t xml:space="preserve">carlao</t>
  </si>
  <si>
    <t xml:space="preserve">camisa/bermuda</t>
  </si>
  <si>
    <t xml:space="preserve">joao car</t>
  </si>
  <si>
    <t xml:space="preserve">leandro</t>
  </si>
  <si>
    <t xml:space="preserve">praja biju</t>
  </si>
  <si>
    <t xml:space="preserve">tron2081-PA</t>
  </si>
  <si>
    <t xml:space="preserve">lint vila</t>
  </si>
  <si>
    <t xml:space="preserve">ethosca</t>
  </si>
  <si>
    <t xml:space="preserve">ponit</t>
  </si>
  <si>
    <t xml:space="preserve">trilha do t</t>
  </si>
  <si>
    <t xml:space="preserve">posto se</t>
  </si>
  <si>
    <t xml:space="preserve">shokiti</t>
  </si>
  <si>
    <t xml:space="preserve">transferencia</t>
  </si>
  <si>
    <t xml:space="preserve">ana paulo</t>
  </si>
  <si>
    <t xml:space="preserve">martins</t>
  </si>
  <si>
    <t xml:space="preserve">dona ju</t>
  </si>
  <si>
    <t xml:space="preserve">sonda jacana</t>
  </si>
  <si>
    <t xml:space="preserve">super sacol</t>
  </si>
  <si>
    <t xml:space="preserve">bella atali</t>
  </si>
  <si>
    <t xml:space="preserve">outback</t>
  </si>
  <si>
    <t xml:space="preserve">chinen box</t>
  </si>
  <si>
    <t xml:space="preserve">mercearia</t>
  </si>
  <si>
    <t xml:space="preserve">dricafe</t>
  </si>
  <si>
    <t xml:space="preserve">waldir</t>
  </si>
  <si>
    <t xml:space="preserve">unidos</t>
  </si>
  <si>
    <t xml:space="preserve">priscila</t>
  </si>
  <si>
    <t xml:space="preserve">supermercado</t>
  </si>
  <si>
    <t xml:space="preserve">sp metro</t>
  </si>
  <si>
    <t xml:space="preserve">condominio</t>
  </si>
  <si>
    <t xml:space="preserve">gas</t>
  </si>
  <si>
    <t xml:space="preserve">DIA</t>
  </si>
  <si>
    <t xml:space="preserve">madame elda</t>
  </si>
  <si>
    <t xml:space="preserve">maria das G</t>
  </si>
  <si>
    <t xml:space="preserve">bijou</t>
  </si>
  <si>
    <t xml:space="preserve">unha/manicure</t>
  </si>
  <si>
    <t xml:space="preserve">malu</t>
  </si>
  <si>
    <t xml:space="preserve">mecanico</t>
  </si>
  <si>
    <t xml:space="preserve">mercado peça</t>
  </si>
  <si>
    <t xml:space="preserve">raio de sol</t>
  </si>
  <si>
    <t xml:space="preserve">roupa/brinco</t>
  </si>
  <si>
    <t xml:space="preserve">presente guilherme</t>
  </si>
  <si>
    <t xml:space="preserve">brinco</t>
  </si>
  <si>
    <t xml:space="preserve">jovipe</t>
  </si>
  <si>
    <t xml:space="preserve">pardal conserto</t>
  </si>
  <si>
    <t xml:space="preserve">ponto quent</t>
  </si>
  <si>
    <t xml:space="preserve">lava rapido</t>
  </si>
  <si>
    <t xml:space="preserve">almoço massa</t>
  </si>
  <si>
    <t xml:space="preserve">açai</t>
  </si>
  <si>
    <t xml:space="preserve">jorgelu</t>
  </si>
  <si>
    <t xml:space="preserve">conserto maquina</t>
  </si>
  <si>
    <t xml:space="preserve">refri/salgado</t>
  </si>
  <si>
    <t xml:space="preserve">sergio enzo</t>
  </si>
  <si>
    <t xml:space="preserve">camiseta</t>
  </si>
  <si>
    <t xml:space="preserve">sitio</t>
  </si>
  <si>
    <t xml:space="preserve">passeio</t>
  </si>
  <si>
    <t xml:space="preserve">panettone</t>
  </si>
  <si>
    <t xml:space="preserve">deposito da michelle</t>
  </si>
  <si>
    <t xml:space="preserve">diff</t>
  </si>
  <si>
    <t xml:space="preserve">salgado</t>
  </si>
  <si>
    <t xml:space="preserve">aizona</t>
  </si>
  <si>
    <t xml:space="preserve">happy</t>
  </si>
  <si>
    <t xml:space="preserve">mcofava almoço</t>
  </si>
  <si>
    <t xml:space="preserve">agua doces</t>
  </si>
  <si>
    <t xml:space="preserve">escola colação salgadinho</t>
  </si>
  <si>
    <t xml:space="preserve">escola colação agua</t>
  </si>
  <si>
    <t xml:space="preserve">escola colação suco</t>
  </si>
  <si>
    <t xml:space="preserve">nextel michelle</t>
  </si>
  <si>
    <t xml:space="preserve">Marmita-leg</t>
  </si>
  <si>
    <t xml:space="preserve">Marmita-frang</t>
  </si>
  <si>
    <t xml:space="preserve">Marmita-suco</t>
  </si>
  <si>
    <t xml:space="preserve">INT DPVAT-SP HOH-6396</t>
  </si>
  <si>
    <t xml:space="preserve">INT IPVA-SP HOH-6396</t>
  </si>
  <si>
    <t xml:space="preserve">INT LICENC SP 97345773</t>
  </si>
  <si>
    <t xml:space="preserve">INT MULTA REN31997756838</t>
  </si>
  <si>
    <t xml:space="preserve">PESSOAL</t>
  </si>
  <si>
    <t xml:space="preserve">lanche guapira</t>
  </si>
  <si>
    <t xml:space="preserve">exames medicos</t>
  </si>
  <si>
    <t xml:space="preserve">fralda piscina</t>
  </si>
  <si>
    <t xml:space="preserve">lojas americanas – brinquedo</t>
  </si>
  <si>
    <t xml:space="preserve">mercadão tucuruvi – farofa/leite condensa</t>
  </si>
  <si>
    <t xml:space="preserve">mercadão tucuruvi – uvas cristalina</t>
  </si>
  <si>
    <t xml:space="preserve">mercadão tucuruvi – bacon</t>
  </si>
  <si>
    <t xml:space="preserve">mercadão tucuruvi – frutas</t>
  </si>
  <si>
    <t xml:space="preserve">custo_credito</t>
  </si>
  <si>
    <t xml:space="preserve">valor_credito</t>
  </si>
  <si>
    <t xml:space="preserve">flag_fixo_credito</t>
  </si>
  <si>
    <t xml:space="preserve">flag_variavel_credito</t>
  </si>
  <si>
    <t xml:space="preserve">flag_pendente_credito</t>
  </si>
  <si>
    <t xml:space="preserve">flag_custo_parcelado</t>
  </si>
  <si>
    <t xml:space="preserve">data_custo_credito</t>
  </si>
  <si>
    <t xml:space="preserve">tipo_custo_credito</t>
  </si>
  <si>
    <t xml:space="preserve">PAGTO CONTA TITULOS </t>
  </si>
  <si>
    <t xml:space="preserve">CEA SCN 160 01/02 </t>
  </si>
  <si>
    <t xml:space="preserve">MARCIO BERNARDINEL01/02 </t>
  </si>
  <si>
    <t xml:space="preserve">TNG 005 </t>
  </si>
  <si>
    <t xml:space="preserve">VENT VERT CN 01/02 </t>
  </si>
  <si>
    <t xml:space="preserve">CONECTCAR </t>
  </si>
  <si>
    <t xml:space="preserve">EBANX SPOTIFY </t>
  </si>
  <si>
    <t xml:space="preserve">RI HAPPY - LJ 34 </t>
  </si>
  <si>
    <t xml:space="preserve">CRUZEIROS </t>
  </si>
  <si>
    <t xml:space="preserve">IPIRANGA</t>
  </si>
  <si>
    <t xml:space="preserve">FENIX FRUTI</t>
  </si>
  <si>
    <t xml:space="preserve">CASA SALGADOS</t>
  </si>
  <si>
    <t xml:space="preserve">BAR LANCHE</t>
  </si>
  <si>
    <t xml:space="preserve">WS CHURRASNQUEIRA 1/2</t>
  </si>
  <si>
    <t xml:space="preserve">ANDORINHA</t>
  </si>
  <si>
    <t xml:space="preserve">IOF PAGAMENTODS</t>
  </si>
  <si>
    <t xml:space="preserve">IPIRANGA ABASTECE AI</t>
  </si>
  <si>
    <t xml:space="preserve">CASA DO PAO DE QUEIJO</t>
  </si>
  <si>
    <t xml:space="preserve">FUNDACAO ABRINQ</t>
  </si>
  <si>
    <t xml:space="preserve">entrada</t>
  </si>
  <si>
    <t xml:space="preserve">parcela</t>
  </si>
  <si>
    <t xml:space="preserve">spotify</t>
  </si>
  <si>
    <t xml:space="preserve">CEA 2/2</t>
  </si>
  <si>
    <t xml:space="preserve">SURF TRIP 2/2</t>
  </si>
  <si>
    <t xml:space="preserve">WS CHURRASNQUEIRA 2/2</t>
  </si>
  <si>
    <t xml:space="preserve">UBER</t>
  </si>
  <si>
    <t xml:space="preserve">BURO</t>
  </si>
  <si>
    <t xml:space="preserve">FLORICULTURA SANTO01/02</t>
  </si>
  <si>
    <t xml:space="preserve">FUNERAL QUARTA PAR01/03</t>
  </si>
  <si>
    <t xml:space="preserve">ANDORINHA HIPER</t>
  </si>
  <si>
    <t xml:space="preserve">VENT VERT CN 02/02 </t>
  </si>
  <si>
    <t xml:space="preserve">parcela 1/4</t>
  </si>
  <si>
    <t xml:space="preserve">parcelamento</t>
  </si>
  <si>
    <t xml:space="preserve">iof financiamento</t>
  </si>
  <si>
    <t xml:space="preserve">iof pagamento conta</t>
  </si>
  <si>
    <t xml:space="preserve">multa por atraso</t>
  </si>
  <si>
    <t xml:space="preserve">juros mora</t>
  </si>
  <si>
    <t xml:space="preserve">juros de financiamento</t>
  </si>
  <si>
    <t xml:space="preserve">encargos de atraso</t>
  </si>
  <si>
    <t xml:space="preserve">fundacao abrinq</t>
  </si>
  <si>
    <t xml:space="preserve">FLORICULTURA SANTO02/02</t>
  </si>
  <si>
    <t xml:space="preserve">FUNERAL QUARTA PAR02/03</t>
  </si>
  <si>
    <t xml:space="preserve">parcela 2/4</t>
  </si>
  <si>
    <t xml:space="preserve">FUNERAL QUARTA PAR03/03</t>
  </si>
  <si>
    <t xml:space="preserve">parcela 3/4</t>
  </si>
  <si>
    <t xml:space="preserve">parcela 4/4</t>
  </si>
  <si>
    <t xml:space="preserve">andorinha hiper</t>
  </si>
  <si>
    <t xml:space="preserve">pastel igreja</t>
  </si>
  <si>
    <t xml:space="preserve">vegano</t>
  </si>
  <si>
    <t xml:space="preserve">cop center</t>
  </si>
  <si>
    <t xml:space="preserve">droga raia</t>
  </si>
  <si>
    <t xml:space="preserve">conectar</t>
  </si>
  <si>
    <t xml:space="preserve">parcelamento 1/4</t>
  </si>
  <si>
    <t xml:space="preserve">parcelamento 2/4</t>
  </si>
  <si>
    <t xml:space="preserve">parcelamento 3/4</t>
  </si>
  <si>
    <t xml:space="preserve">parcelamento 4/4</t>
  </si>
  <si>
    <t xml:space="preserve">LOJAS RENNER FL 1001/03</t>
  </si>
  <si>
    <t xml:space="preserve">LOJAS RENNER FL 1002/03</t>
  </si>
  <si>
    <t xml:space="preserve">LOJAS RENNER FL 1003/03</t>
  </si>
  <si>
    <t xml:space="preserve">casa diamente</t>
  </si>
  <si>
    <t xml:space="preserve">via varejo 1/6</t>
  </si>
  <si>
    <t xml:space="preserve">moveis</t>
  </si>
  <si>
    <t xml:space="preserve">uber do Brasil</t>
  </si>
  <si>
    <t xml:space="preserve">via varejo 2/6</t>
  </si>
  <si>
    <t xml:space="preserve">via varejo 3/6</t>
  </si>
  <si>
    <t xml:space="preserve">via varejo 4/6</t>
  </si>
  <si>
    <t xml:space="preserve">via varejo 5/6</t>
  </si>
  <si>
    <t xml:space="preserve">via varejo 6/6</t>
  </si>
  <si>
    <t xml:space="preserve">dicio</t>
  </si>
  <si>
    <t xml:space="preserve">fernanda</t>
  </si>
  <si>
    <t xml:space="preserve">parcela 1/6</t>
  </si>
  <si>
    <t xml:space="preserve">maria aparecida</t>
  </si>
  <si>
    <t xml:space="preserve">salao</t>
  </si>
  <si>
    <t xml:space="preserve">pernanbucanas 1/2</t>
  </si>
  <si>
    <t xml:space="preserve">pernanbucanas 2/2</t>
  </si>
  <si>
    <t xml:space="preserve">eskala 1/2</t>
  </si>
  <si>
    <t xml:space="preserve">eskala 2/2</t>
  </si>
  <si>
    <t xml:space="preserve">arably</t>
  </si>
  <si>
    <t xml:space="preserve">villa caetanos</t>
  </si>
  <si>
    <t xml:space="preserve">parcela 2/6</t>
  </si>
  <si>
    <t xml:space="preserve">parcela 3/6</t>
  </si>
  <si>
    <t xml:space="preserve">parcela 4/6</t>
  </si>
  <si>
    <t xml:space="preserve">PARCELAMEN FATURA 05/06</t>
  </si>
  <si>
    <t xml:space="preserve">parcela 6/6</t>
  </si>
  <si>
    <t xml:space="preserve">ame</t>
  </si>
  <si>
    <t xml:space="preserve">mercadocar</t>
  </si>
  <si>
    <t xml:space="preserve">rappi</t>
  </si>
  <si>
    <t xml:space="preserve">dif</t>
  </si>
  <si>
    <t xml:space="preserve">ame digital</t>
  </si>
  <si>
    <t xml:space="preserve">playland</t>
  </si>
  <si>
    <t xml:space="preserve">carrefour</t>
  </si>
  <si>
    <t xml:space="preserve">conselheiro</t>
  </si>
  <si>
    <t xml:space="preserve">santana cinema</t>
  </si>
  <si>
    <t xml:space="preserve">santana lazer</t>
  </si>
  <si>
    <t xml:space="preserve">magic games</t>
  </si>
  <si>
    <t xml:space="preserve">pa mandaqui</t>
  </si>
  <si>
    <t xml:space="preserve">almoço ame</t>
  </si>
  <si>
    <t xml:space="preserve">zac mais mix</t>
  </si>
  <si>
    <t xml:space="preserve">reginaldo</t>
  </si>
  <si>
    <t xml:space="preserve">alaca</t>
  </si>
  <si>
    <t xml:space="preserve">café ame</t>
  </si>
  <si>
    <t xml:space="preserve">barequeaçaba</t>
  </si>
  <si>
    <t xml:space="preserve">Dourados 1/3</t>
  </si>
  <si>
    <t xml:space="preserve">Dourados 2/3</t>
  </si>
  <si>
    <t xml:space="preserve">Dourados 3/3</t>
  </si>
  <si>
    <t xml:space="preserve">fabiano rizzo</t>
  </si>
  <si>
    <t xml:space="preserve">droga sol</t>
  </si>
  <si>
    <t xml:space="preserve">bello artb</t>
  </si>
  <si>
    <t xml:space="preserve">OLIBONE PNEUS 01/04</t>
  </si>
  <si>
    <t xml:space="preserve">Olibone 2/4</t>
  </si>
  <si>
    <t xml:space="preserve">Olibone ¾</t>
  </si>
  <si>
    <t xml:space="preserve">Olibone 4/4</t>
  </si>
  <si>
    <t xml:space="preserve">Parcelamento 02/04</t>
  </si>
  <si>
    <t xml:space="preserve">Parcelamento 03/04</t>
  </si>
  <si>
    <t xml:space="preserve">Parcelamento 01/04</t>
  </si>
  <si>
    <t xml:space="preserve">cpq</t>
  </si>
  <si>
    <t xml:space="preserve">submarino</t>
  </si>
  <si>
    <t xml:space="preserve">fone</t>
  </si>
  <si>
    <t xml:space="preserve">estacao espetinho</t>
  </si>
  <si>
    <t xml:space="preserve">red beach 01/02</t>
  </si>
  <si>
    <t xml:space="preserve">festas</t>
  </si>
  <si>
    <t xml:space="preserve">red beach 2/2</t>
  </si>
  <si>
    <t xml:space="preserve">antonio marcos loiola</t>
  </si>
  <si>
    <t xml:space="preserve">poni do suco</t>
  </si>
  <si>
    <t xml:space="preserve">varada frutas</t>
  </si>
  <si>
    <t xml:space="preserve">biscoitos</t>
  </si>
  <si>
    <t xml:space="preserve">rafael pires sanches</t>
  </si>
  <si>
    <t xml:space="preserve">raviolitalia</t>
  </si>
  <si>
    <t xml:space="preserve">posto amma</t>
  </si>
  <si>
    <t xml:space="preserve">varanda frutas v olimp</t>
  </si>
  <si>
    <t xml:space="preserve">bella ataliba p doces</t>
  </si>
  <si>
    <t xml:space="preserve">buro</t>
  </si>
  <si>
    <t xml:space="preserve">seo hambruguer ltda</t>
  </si>
  <si>
    <t xml:space="preserve">patrica aparecida</t>
  </si>
  <si>
    <t xml:space="preserve">peixaria</t>
  </si>
  <si>
    <t xml:space="preserve">hortifruti</t>
  </si>
  <si>
    <t xml:space="preserve">casa de canes</t>
  </si>
  <si>
    <t xml:space="preserve">dicico tremembe</t>
  </si>
  <si>
    <t xml:space="preserve">europark valpolicelia</t>
  </si>
  <si>
    <t xml:space="preserve">conect car</t>
  </si>
  <si>
    <t xml:space="preserve">confraria</t>
  </si>
  <si>
    <t xml:space="preserve">Parcelamento 04/04</t>
  </si>
  <si>
    <t xml:space="preserve">vilachic</t>
  </si>
  <si>
    <t xml:space="preserve">marcos</t>
  </si>
  <si>
    <t xml:space="preserve">pag taylane</t>
  </si>
  <si>
    <t xml:space="preserve">POSTO AMMA</t>
  </si>
  <si>
    <t xml:space="preserve">MARIA DE FATIMA RODRIG</t>
  </si>
  <si>
    <t xml:space="preserve">FERNANDA VARGAS DE FRE</t>
  </si>
  <si>
    <t xml:space="preserve">GUSTO PIZZA E SALGADOS</t>
  </si>
  <si>
    <t xml:space="preserve">Uber Do Brasil Tecnolog</t>
  </si>
  <si>
    <t xml:space="preserve">ARIZONA PAES E DOCES</t>
  </si>
  <si>
    <t xml:space="preserve">REINALDO DE SOUZA BORG</t>
  </si>
  <si>
    <t xml:space="preserve">SONDA JACANA</t>
  </si>
  <si>
    <t xml:space="preserve">SHOKITI</t>
  </si>
  <si>
    <t xml:space="preserve">DROGASIL 1793</t>
  </si>
  <si>
    <t xml:space="preserve">PRINCESA DA VILA OLIMP</t>
  </si>
  <si>
    <t xml:space="preserve">ANTONIO GALVAO VIANA E</t>
  </si>
  <si>
    <t xml:space="preserve">copias presnete amigo secreto</t>
  </si>
  <si>
    <t xml:space="preserve">assistencia celular</t>
  </si>
  <si>
    <t xml:space="preserve">mercado berganin</t>
  </si>
  <si>
    <t xml:space="preserve">fiflial hiper bergamini</t>
  </si>
  <si>
    <t xml:space="preserve">Casa De Esfiha Vila Am </t>
  </si>
  <si>
    <t xml:space="preserve">cachoeira</t>
  </si>
  <si>
    <t xml:space="preserve">b la millete paes</t>
  </si>
  <si>
    <t xml:space="preserve">fernanda vergas</t>
  </si>
  <si>
    <t xml:space="preserve">sacolao de frutas</t>
  </si>
  <si>
    <t xml:space="preserve">Ebanx Spotify</t>
  </si>
  <si>
    <t xml:space="preserve">19/12/2019</t>
  </si>
  <si>
    <t xml:space="preserve">Arna Cafeteria</t>
  </si>
  <si>
    <t xml:space="preserve">Geraldo Pedro Dos Sant</t>
  </si>
  <si>
    <t xml:space="preserve">Vilachic</t>
  </si>
  <si>
    <t xml:space="preserve">Pag*seucafedamanh</t>
  </si>
  <si>
    <t xml:space="preserve">Ri Happy - Lj 34</t>
  </si>
  <si>
    <t xml:space="preserve">21/12/2019</t>
  </si>
  <si>
    <t xml:space="preserve">Lojas Americanas 1279</t>
  </si>
  <si>
    <t xml:space="preserve">Vitally Sorvertes</t>
  </si>
  <si>
    <t xml:space="preserve">Assai Atacadista</t>
  </si>
  <si>
    <t xml:space="preserve">22/12/2019</t>
  </si>
  <si>
    <t xml:space="preserve">Supermercado Bergamini</t>
  </si>
  <si>
    <t xml:space="preserve">Promofarma</t>
  </si>
  <si>
    <t xml:space="preserve">Posto Florida</t>
  </si>
  <si>
    <t xml:space="preserve">Armazen Galdino</t>
  </si>
  <si>
    <t xml:space="preserve">25/12/2019</t>
  </si>
  <si>
    <t xml:space="preserve"> </t>
  </si>
  <si>
    <t xml:space="preserve">saldo inicial</t>
  </si>
  <si>
    <t xml:space="preserve">custo realizado</t>
  </si>
  <si>
    <t xml:space="preserve">custo variavel</t>
  </si>
  <si>
    <t xml:space="preserve">custo pendente</t>
  </si>
  <si>
    <t xml:space="preserve">custo total</t>
  </si>
  <si>
    <t xml:space="preserve">limite</t>
  </si>
  <si>
    <t xml:space="preserve">saldo+limite</t>
  </si>
  <si>
    <t xml:space="preserve">meta variavel</t>
  </si>
  <si>
    <t xml:space="preserve">saldo meta</t>
  </si>
  <si>
    <t xml:space="preserve">saldo meta+limite</t>
  </si>
  <si>
    <t xml:space="preserve">dif_real_meta_saldo</t>
  </si>
  <si>
    <t xml:space="preserve">TOTAL</t>
  </si>
  <si>
    <t xml:space="preserve">MEDIA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</si>
</sst>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D/M/YYYY"/>
    <numFmt numFmtId="166" formatCode="0.00"/>
    <numFmt numFmtId="167" formatCode="_(&quot;R$ &quot;* #,##0.00_);_(&quot;R$ &quot;* \(#,##0.00\);_(&quot;R$ &quot;* \-??_);_(@_)"/>
    <numFmt numFmtId="168" formatCode="_-* #,##0.00_-;\-* #,##0.00_-;_-* \-??_-;_-@_-"/>
    <numFmt numFmtId="169" formatCode="[$R$-416]\ #,##0.00;[RED]\-[$R$-416]\ #,##0.00"/>
    <numFmt numFmtId="170" formatCode="General"/>
    <numFmt numFmtId="171" formatCode="#,##0.00"/>
    <numFmt numFmtId="172" formatCode="DD/MM/YYYY"/>
    <numFmt numFmtId="173" formatCode="[$R$-pt-BR]\ * #,##0.00"/>
    <numFmt numFmtId="174" formatCode="@"/>
  </numFmts>
  <fonts count="1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0000"/>
      <name val="Calibri"/>
      <family val="2"/>
      <charset val="1"/>
    </font>
    <font>
      <sz val="10"/>
      <color rgb="FFFF0000"/>
      <name val="Arial"/>
      <family val="2"/>
      <charset val="1"/>
    </font>
    <font>
      <b val="true"/>
      <sz val="10"/>
      <name val="Arial"/>
      <family val="2"/>
      <charset val="1"/>
    </font>
    <font>
      <sz val="11"/>
      <color rgb="FFFF0000"/>
      <name val="Arial"/>
      <family val="0"/>
      <charset val="1"/>
    </font>
    <font>
      <sz val="11"/>
      <name val="Arial"/>
      <family val="0"/>
      <charset val="1"/>
    </font>
    <font>
      <sz val="8"/>
      <name val="Arial"/>
      <family val="2"/>
      <charset val="1"/>
    </font>
    <font>
      <sz val="10"/>
      <color rgb="FF333333"/>
      <name val="Arial"/>
      <family val="2"/>
      <charset val="1"/>
    </font>
    <font>
      <sz val="12"/>
      <name val="Arial"/>
      <family val="0"/>
      <charset val="1"/>
    </font>
    <font>
      <b val="true"/>
      <sz val="10"/>
      <color rgb="FFFF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DDDDDD"/>
      </patternFill>
    </fill>
    <fill>
      <patternFill patternType="solid">
        <fgColor rgb="FFCCCCCC"/>
        <bgColor rgb="FFD7D3D3"/>
      </patternFill>
    </fill>
    <fill>
      <patternFill patternType="solid">
        <fgColor rgb="FFFFFF00"/>
        <bgColor rgb="FFFFF200"/>
      </patternFill>
    </fill>
    <fill>
      <patternFill patternType="solid">
        <fgColor rgb="FFFF0000"/>
        <bgColor rgb="FF993300"/>
      </patternFill>
    </fill>
    <fill>
      <patternFill patternType="solid">
        <fgColor rgb="FFBFBFBF"/>
        <bgColor rgb="FFC0C0C0"/>
      </patternFill>
    </fill>
    <fill>
      <patternFill patternType="solid">
        <fgColor rgb="FFFFF200"/>
        <bgColor rgb="FFFFFF00"/>
      </patternFill>
    </fill>
    <fill>
      <patternFill patternType="solid">
        <fgColor rgb="FFDDDDDD"/>
        <bgColor rgb="FFD9D9D9"/>
      </patternFill>
    </fill>
    <fill>
      <patternFill patternType="solid">
        <fgColor rgb="FFD7D3D3"/>
        <bgColor rgb="FFD9D9D9"/>
      </patternFill>
    </fill>
    <fill>
      <patternFill patternType="solid">
        <fgColor rgb="FFEEEEEE"/>
        <bgColor rgb="FFDDDDDD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>
        <color rgb="FFC0C0C0"/>
      </bottom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6" fillId="5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6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4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6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7" fontId="5" fillId="0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5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4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7" fontId="0" fillId="2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7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8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7" borderId="0" xfId="17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8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8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0" fillId="0" borderId="0" xfId="17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top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top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9" fontId="0" fillId="0" borderId="0" xfId="17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7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right" vertical="top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7" fontId="0" fillId="4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8" fillId="4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8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6" fillId="8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5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1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1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" fillId="8" borderId="2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12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12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6" fillId="8" borderId="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6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6" fillId="8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alignment horizontal="general" vertical="bottom" textRotation="0" wrapText="false" indent="0" shrinkToFit="false" readingOrder="1"/>
    </dxf>
    <dxf>
      <alignment horizontal="general" vertical="bottom" textRotation="0" wrapText="false" indent="0" shrinkToFit="false" readingOrder="1"/>
    </dxf>
    <dxf>
      <alignment horizontal="general" vertical="bottom" textRotation="0" wrapText="false" indent="0" shrinkToFit="false" readingOrder="1"/>
    </dxf>
  </dxfs>
  <colors>
    <indexedColors>
      <rgbColor rgb="FF000000"/>
      <rgbColor rgb="FFEEEEEE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CCCC"/>
      <rgbColor rgb="FF660066"/>
      <rgbColor rgb="FFFF8080"/>
      <rgbColor rgb="FF0066CC"/>
      <rgbColor rgb="FFD7D3D3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BFBFBF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A1:I15"/>
    </sheetView>
  </sheetViews>
  <sheetFormatPr defaultRowHeight="12.75" zeroHeight="false" outlineLevelRow="0" outlineLevelCol="0"/>
  <cols>
    <col collapsed="false" customWidth="true" hidden="false" outlineLevel="0" max="1" min="1" style="0" width="16.89"/>
    <col collapsed="false" customWidth="true" hidden="false" outlineLevel="0" max="2" min="2" style="1" width="16.14"/>
    <col collapsed="false" customWidth="true" hidden="false" outlineLevel="0" max="3" min="3" style="0" width="16.14"/>
    <col collapsed="false" customWidth="true" hidden="false" outlineLevel="0" max="5" min="4" style="0" width="17.86"/>
    <col collapsed="false" customWidth="true" hidden="false" outlineLevel="0" max="6" min="6" style="0" width="16.89"/>
    <col collapsed="false" customWidth="true" hidden="false" outlineLevel="0" max="7" min="7" style="0" width="16.41"/>
    <col collapsed="false" customWidth="true" hidden="false" outlineLevel="0" max="8" min="8" style="2" width="17.86"/>
    <col collapsed="false" customWidth="true" hidden="false" outlineLevel="0" max="9" min="9" style="0" width="11.71"/>
    <col collapsed="false" customWidth="true" hidden="false" outlineLevel="0" max="12" min="10" style="0" width="13.7"/>
    <col collapsed="false" customWidth="true" hidden="false" outlineLevel="0" max="13" min="13" style="0" width="22.01"/>
    <col collapsed="false" customWidth="true" hidden="false" outlineLevel="0" max="14" min="14" style="0" width="11.3"/>
    <col collapsed="false" customWidth="true" hidden="false" outlineLevel="0" max="1025" min="15" style="0" width="9.85"/>
  </cols>
  <sheetData>
    <row r="1" customFormat="false" ht="15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2" t="s">
        <v>7</v>
      </c>
      <c r="I1" s="3" t="s">
        <v>8</v>
      </c>
    </row>
    <row r="2" customFormat="false" ht="15" hidden="false" customHeight="false" outlineLevel="0" collapsed="false">
      <c r="A2" s="4" t="n">
        <v>10611</v>
      </c>
      <c r="B2" s="4" t="n">
        <f aca="false">SUMIFS(desconto_folha!$B$2:$B$211,desconto_folha!$C$2:$C$211,I2)</f>
        <v>3208.47</v>
      </c>
      <c r="C2" s="4" t="n">
        <f aca="false">(A2*40.006)/100</f>
        <v>4245.03666</v>
      </c>
      <c r="D2" s="4" t="n">
        <f aca="false">B2+C2</f>
        <v>7453.50666</v>
      </c>
      <c r="E2" s="4" t="n">
        <v>0</v>
      </c>
      <c r="F2" s="4" t="n">
        <v>0</v>
      </c>
      <c r="G2" s="4" t="n">
        <f aca="false">A2-D2</f>
        <v>3157.49334</v>
      </c>
      <c r="H2" s="4" t="n">
        <f aca="false">G2+C2</f>
        <v>7402.53</v>
      </c>
      <c r="I2" s="1" t="n">
        <v>43466</v>
      </c>
      <c r="N2" s="1"/>
    </row>
    <row r="3" customFormat="false" ht="15" hidden="false" customHeight="false" outlineLevel="0" collapsed="false">
      <c r="A3" s="4" t="n">
        <v>10611</v>
      </c>
      <c r="B3" s="4" t="n">
        <f aca="false">SUMIFS(desconto_folha!$B$2:$B$211,desconto_folha!$C$2:$C$211,I3)</f>
        <v>3061.73</v>
      </c>
      <c r="C3" s="4" t="n">
        <f aca="false">(A3*40.006)/100</f>
        <v>4245.03666</v>
      </c>
      <c r="D3" s="4" t="n">
        <f aca="false">B3+C3</f>
        <v>7306.76666</v>
      </c>
      <c r="E3" s="4" t="n">
        <v>0</v>
      </c>
      <c r="F3" s="4" t="n">
        <v>0</v>
      </c>
      <c r="G3" s="4" t="n">
        <f aca="false">A3-D3</f>
        <v>3304.23334</v>
      </c>
      <c r="H3" s="4" t="n">
        <f aca="false">G3+C3</f>
        <v>7549.27</v>
      </c>
      <c r="I3" s="1" t="n">
        <v>43497</v>
      </c>
      <c r="J3" s="5"/>
      <c r="N3" s="1"/>
    </row>
    <row r="4" customFormat="false" ht="15" hidden="false" customHeight="false" outlineLevel="0" collapsed="false">
      <c r="A4" s="4" t="n">
        <v>10611</v>
      </c>
      <c r="B4" s="4" t="n">
        <f aca="false">SUMIFS(desconto_folha!$B$2:$B$209,desconto_folha!$C$2:$C$209,I4)</f>
        <v>3198.15</v>
      </c>
      <c r="C4" s="4" t="n">
        <f aca="false">(A4*40.006)/100</f>
        <v>4245.03666</v>
      </c>
      <c r="D4" s="4" t="n">
        <f aca="false">B4+C4</f>
        <v>7443.18666</v>
      </c>
      <c r="E4" s="4" t="n">
        <v>0</v>
      </c>
      <c r="F4" s="4" t="n">
        <v>0</v>
      </c>
      <c r="G4" s="4" t="n">
        <f aca="false">A4-D4</f>
        <v>3167.81334</v>
      </c>
      <c r="H4" s="4" t="n">
        <f aca="false">G4+C4</f>
        <v>7412.85</v>
      </c>
      <c r="I4" s="1" t="n">
        <v>43525</v>
      </c>
      <c r="J4" s="5"/>
      <c r="L4" s="4"/>
      <c r="N4" s="1"/>
    </row>
    <row r="5" customFormat="false" ht="15" hidden="false" customHeight="false" outlineLevel="0" collapsed="false">
      <c r="A5" s="4" t="n">
        <v>3537</v>
      </c>
      <c r="B5" s="4" t="n">
        <f aca="false">SUMIFS(desconto_folha!$B$2:$B$209,desconto_folha!$C$2:$C$209,I5)</f>
        <v>1393.33</v>
      </c>
      <c r="C5" s="4" t="n">
        <v>0</v>
      </c>
      <c r="D5" s="4" t="n">
        <f aca="false">B5+C5</f>
        <v>1393.33</v>
      </c>
      <c r="E5" s="4" t="n">
        <f aca="false">2358+1179</f>
        <v>3537</v>
      </c>
      <c r="F5" s="4" t="n">
        <f aca="false">7074+3537</f>
        <v>10611</v>
      </c>
      <c r="G5" s="4" t="n">
        <f aca="false">(A5-D5)+E5+F5</f>
        <v>16291.67</v>
      </c>
      <c r="H5" s="4" t="n">
        <f aca="false">G5+C5</f>
        <v>16291.67</v>
      </c>
      <c r="I5" s="1" t="n">
        <v>43556</v>
      </c>
      <c r="K5" s="6"/>
      <c r="L5" s="1"/>
      <c r="N5" s="1"/>
    </row>
    <row r="6" customFormat="false" ht="15" hidden="false" customHeight="false" outlineLevel="0" collapsed="false">
      <c r="A6" s="4" t="n">
        <v>10611</v>
      </c>
      <c r="B6" s="4" t="n">
        <f aca="false">SUMIFS(desconto_folha!$B$2:$B$209,desconto_folha!$C$2:$C$209,I6)</f>
        <v>3158.72</v>
      </c>
      <c r="C6" s="4" t="n">
        <f aca="false">(A6*40.006)/100</f>
        <v>4245.03666</v>
      </c>
      <c r="D6" s="4" t="n">
        <f aca="false">B6+C6</f>
        <v>7403.75666</v>
      </c>
      <c r="E6" s="4" t="n">
        <v>0</v>
      </c>
      <c r="F6" s="4" t="n">
        <v>0</v>
      </c>
      <c r="G6" s="4" t="n">
        <f aca="false">A6-D6</f>
        <v>3207.24334</v>
      </c>
      <c r="H6" s="4" t="n">
        <f aca="false">G6+C6</f>
        <v>7452.28</v>
      </c>
      <c r="I6" s="1" t="n">
        <v>43586</v>
      </c>
      <c r="K6" s="6"/>
    </row>
    <row r="7" customFormat="false" ht="15" hidden="false" customHeight="false" outlineLevel="0" collapsed="false">
      <c r="A7" s="4" t="n">
        <v>10611</v>
      </c>
      <c r="B7" s="4" t="n">
        <f aca="false">SUMIFS(desconto_folha!$B$2:$B$209,desconto_folha!$C$2:$C$209,I7)</f>
        <v>3077.58</v>
      </c>
      <c r="C7" s="4" t="n">
        <f aca="false">(A7*40.006)/100</f>
        <v>4245.03666</v>
      </c>
      <c r="D7" s="4" t="n">
        <f aca="false">B7+C7</f>
        <v>7322.61666</v>
      </c>
      <c r="E7" s="4" t="n">
        <v>0</v>
      </c>
      <c r="F7" s="4" t="n">
        <v>0</v>
      </c>
      <c r="G7" s="4" t="n">
        <f aca="false">A7-D7</f>
        <v>3288.38334</v>
      </c>
      <c r="H7" s="4" t="n">
        <f aca="false">G7+C7</f>
        <v>7533.42</v>
      </c>
      <c r="I7" s="1" t="n">
        <v>43617</v>
      </c>
      <c r="K7" s="6"/>
    </row>
    <row r="8" customFormat="false" ht="15" hidden="false" customHeight="false" outlineLevel="0" collapsed="false">
      <c r="A8" s="4" t="n">
        <v>10611</v>
      </c>
      <c r="B8" s="4" t="n">
        <f aca="false">SUMIFS(desconto_folha!$B$2:$B$209,desconto_folha!$C$2:$C$209,I8)</f>
        <v>3331.19</v>
      </c>
      <c r="C8" s="4" t="n">
        <f aca="false">(A8*40.006)/100</f>
        <v>4245.03666</v>
      </c>
      <c r="D8" s="4" t="n">
        <f aca="false">B8+C8</f>
        <v>7576.22666</v>
      </c>
      <c r="E8" s="4" t="n">
        <v>0</v>
      </c>
      <c r="F8" s="4" t="n">
        <v>0</v>
      </c>
      <c r="G8" s="4" t="n">
        <f aca="false">A8-D8</f>
        <v>3034.77334</v>
      </c>
      <c r="H8" s="4" t="n">
        <f aca="false">G8+C8</f>
        <v>7279.81</v>
      </c>
      <c r="I8" s="1" t="n">
        <v>43647</v>
      </c>
      <c r="J8" s="2"/>
      <c r="K8" s="6"/>
    </row>
    <row r="9" customFormat="false" ht="15" hidden="false" customHeight="false" outlineLevel="0" collapsed="false">
      <c r="A9" s="4" t="n">
        <v>10611</v>
      </c>
      <c r="B9" s="4" t="n">
        <f aca="false">SUMIFS(desconto_folha!$B$2:$B$209,desconto_folha!$C$2:$C$209,I9)</f>
        <v>3246.65</v>
      </c>
      <c r="C9" s="4" t="n">
        <f aca="false">(A9*40.006)/100</f>
        <v>4245.03666</v>
      </c>
      <c r="D9" s="4" t="n">
        <f aca="false">B9+C9</f>
        <v>7491.68666</v>
      </c>
      <c r="E9" s="4" t="n">
        <v>0</v>
      </c>
      <c r="F9" s="4" t="n">
        <v>0</v>
      </c>
      <c r="G9" s="4" t="n">
        <f aca="false">A9-D9</f>
        <v>3119.31334</v>
      </c>
      <c r="H9" s="4" t="n">
        <f aca="false">G9+C9</f>
        <v>7364.35</v>
      </c>
      <c r="I9" s="1" t="n">
        <v>43678</v>
      </c>
    </row>
    <row r="10" customFormat="false" ht="13.8" hidden="false" customHeight="false" outlineLevel="0" collapsed="false">
      <c r="A10" s="4" t="n">
        <v>10975</v>
      </c>
      <c r="B10" s="4" t="n">
        <f aca="false">SUMIFS(desconto_folha!$B$2:$B$209,desconto_folha!$C$2:$C$209,I10)</f>
        <v>4374.7</v>
      </c>
      <c r="C10" s="4" t="n">
        <f aca="false">(A10*40.006)/100</f>
        <v>4390.6585</v>
      </c>
      <c r="D10" s="4" t="n">
        <f aca="false">B10+C10</f>
        <v>8765.3585</v>
      </c>
      <c r="E10" s="4" t="n">
        <v>0</v>
      </c>
      <c r="F10" s="4" t="n">
        <v>0</v>
      </c>
      <c r="G10" s="4" t="n">
        <f aca="false">A10-D10</f>
        <v>2209.6415</v>
      </c>
      <c r="H10" s="4" t="n">
        <f aca="false">G10+C10</f>
        <v>6600.3</v>
      </c>
      <c r="I10" s="1" t="n">
        <v>43709</v>
      </c>
    </row>
    <row r="11" customFormat="false" ht="13.8" hidden="false" customHeight="false" outlineLevel="0" collapsed="false">
      <c r="A11" s="4" t="n">
        <v>10975</v>
      </c>
      <c r="B11" s="4" t="n">
        <f aca="false">SUMIFS(desconto_folha!$B$2:$B$209,desconto_folha!$C$2:$C$209,I11)</f>
        <v>0</v>
      </c>
      <c r="C11" s="4" t="n">
        <f aca="false">(A11*40.006)/100</f>
        <v>4390.6585</v>
      </c>
      <c r="D11" s="4" t="n">
        <f aca="false">B11+C11</f>
        <v>4390.6585</v>
      </c>
      <c r="E11" s="4" t="n">
        <v>0</v>
      </c>
      <c r="F11" s="4" t="n">
        <v>0</v>
      </c>
      <c r="G11" s="4" t="n">
        <f aca="false">A11-D11</f>
        <v>6584.3415</v>
      </c>
      <c r="H11" s="4" t="n">
        <f aca="false">G11+C11</f>
        <v>10975</v>
      </c>
      <c r="I11" s="1" t="n">
        <v>43739</v>
      </c>
    </row>
    <row r="12" customFormat="false" ht="13.8" hidden="false" customHeight="false" outlineLevel="0" collapsed="false">
      <c r="A12" s="4" t="n">
        <v>10975</v>
      </c>
      <c r="B12" s="4" t="n">
        <f aca="false">SUMIFS(desconto_folha!$B$2:$B$209,desconto_folha!$C$2:$C$209,I12)</f>
        <v>0</v>
      </c>
      <c r="C12" s="4" t="n">
        <f aca="false">(A12*40.006)/100</f>
        <v>4390.6585</v>
      </c>
      <c r="D12" s="4" t="n">
        <f aca="false">B12+C12</f>
        <v>4390.6585</v>
      </c>
      <c r="E12" s="4" t="n">
        <v>0</v>
      </c>
      <c r="F12" s="4" t="n">
        <v>0</v>
      </c>
      <c r="G12" s="4" t="n">
        <f aca="false">A12-D12</f>
        <v>6584.3415</v>
      </c>
      <c r="H12" s="4" t="n">
        <f aca="false">G12+C12</f>
        <v>10975</v>
      </c>
      <c r="I12" s="1" t="n">
        <v>43770</v>
      </c>
    </row>
    <row r="13" customFormat="false" ht="13.8" hidden="false" customHeight="false" outlineLevel="0" collapsed="false">
      <c r="A13" s="4" t="n">
        <v>10975</v>
      </c>
      <c r="B13" s="4" t="n">
        <f aca="false">SUMIFS(desconto_folha!$B$2:$B$209,desconto_folha!$C$2:$C$209,I13)</f>
        <v>0</v>
      </c>
      <c r="C13" s="4" t="n">
        <f aca="false">(A13*40.006)/100</f>
        <v>4390.6585</v>
      </c>
      <c r="D13" s="4" t="n">
        <f aca="false">B13+C13</f>
        <v>4390.6585</v>
      </c>
      <c r="E13" s="4" t="n">
        <v>0</v>
      </c>
      <c r="F13" s="4" t="n">
        <v>0</v>
      </c>
      <c r="G13" s="4" t="n">
        <f aca="false">A13-D13</f>
        <v>6584.3415</v>
      </c>
      <c r="H13" s="4" t="n">
        <f aca="false">G13+C13</f>
        <v>10975</v>
      </c>
      <c r="I13" s="1" t="n">
        <v>43800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:I1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7" t="n">
        <v>76.9</v>
      </c>
    </row>
    <row r="2" customFormat="false" ht="12.8" hidden="false" customHeight="false" outlineLevel="0" collapsed="false">
      <c r="A2" s="7" t="n">
        <v>1278</v>
      </c>
    </row>
    <row r="3" customFormat="false" ht="12.8" hidden="false" customHeight="false" outlineLevel="0" collapsed="false">
      <c r="A3" s="7" t="n">
        <v>6.41</v>
      </c>
    </row>
    <row r="4" customFormat="false" ht="12.8" hidden="false" customHeight="false" outlineLevel="0" collapsed="false">
      <c r="A4" s="7" t="n">
        <v>75</v>
      </c>
    </row>
    <row r="5" customFormat="false" ht="12.8" hidden="false" customHeight="false" outlineLevel="0" collapsed="false">
      <c r="A5" s="7" t="n">
        <v>250</v>
      </c>
    </row>
    <row r="6" customFormat="false" ht="12.8" hidden="false" customHeight="false" outlineLevel="0" collapsed="false">
      <c r="A6" s="7" t="n">
        <v>187.87</v>
      </c>
    </row>
    <row r="7" customFormat="false" ht="12.8" hidden="false" customHeight="false" outlineLevel="0" collapsed="false">
      <c r="A7" s="7" t="n">
        <v>383.22</v>
      </c>
    </row>
    <row r="8" customFormat="false" ht="12.8" hidden="false" customHeight="false" outlineLevel="0" collapsed="false">
      <c r="A8" s="7" t="n">
        <v>31.45</v>
      </c>
    </row>
    <row r="9" customFormat="false" ht="12.8" hidden="false" customHeight="false" outlineLevel="0" collapsed="false">
      <c r="A9" s="7" t="n">
        <v>3.5</v>
      </c>
    </row>
    <row r="10" customFormat="false" ht="12.8" hidden="false" customHeight="false" outlineLevel="0" collapsed="false">
      <c r="A10" s="7" t="n">
        <v>6</v>
      </c>
    </row>
    <row r="11" customFormat="false" ht="12.8" hidden="false" customHeight="false" outlineLevel="0" collapsed="false">
      <c r="A11" s="7" t="n">
        <v>15</v>
      </c>
    </row>
    <row r="12" customFormat="false" ht="12.8" hidden="false" customHeight="false" outlineLevel="0" collapsed="false">
      <c r="A12" s="7" t="n">
        <v>8</v>
      </c>
    </row>
    <row r="13" customFormat="false" ht="12.8" hidden="false" customHeight="false" outlineLevel="0" collapsed="false">
      <c r="A13" s="7" t="n">
        <v>8.5</v>
      </c>
    </row>
    <row r="14" customFormat="false" ht="12.8" hidden="false" customHeight="false" outlineLevel="0" collapsed="false">
      <c r="A14" s="7" t="n">
        <v>29.32</v>
      </c>
    </row>
    <row r="15" customFormat="false" ht="12.8" hidden="false" customHeight="false" outlineLevel="0" collapsed="false">
      <c r="A15" s="7" t="n">
        <v>35.99</v>
      </c>
    </row>
    <row r="16" customFormat="false" ht="12.8" hidden="false" customHeight="false" outlineLevel="0" collapsed="false">
      <c r="A16" s="7" t="n">
        <v>8.28</v>
      </c>
    </row>
    <row r="17" customFormat="false" ht="12.8" hidden="false" customHeight="false" outlineLevel="0" collapsed="false">
      <c r="A17" s="7" t="n">
        <v>4.31</v>
      </c>
    </row>
    <row r="18" customFormat="false" ht="12.8" hidden="false" customHeight="false" outlineLevel="0" collapsed="false">
      <c r="A18" s="7" t="n">
        <v>5.5</v>
      </c>
    </row>
    <row r="19" customFormat="false" ht="12.8" hidden="false" customHeight="false" outlineLevel="0" collapsed="false">
      <c r="A19" s="7" t="n">
        <v>3.18</v>
      </c>
    </row>
    <row r="20" customFormat="false" ht="12.8" hidden="false" customHeight="false" outlineLevel="0" collapsed="false">
      <c r="A20" s="7" t="n">
        <v>30.5</v>
      </c>
    </row>
    <row r="21" customFormat="false" ht="12.8" hidden="false" customHeight="false" outlineLevel="0" collapsed="false">
      <c r="A21" s="7" t="n">
        <v>55.99</v>
      </c>
    </row>
    <row r="22" customFormat="false" ht="12.8" hidden="false" customHeight="false" outlineLevel="0" collapsed="false">
      <c r="A22" s="7" t="n">
        <v>65.99</v>
      </c>
    </row>
    <row r="23" customFormat="false" ht="12.8" hidden="false" customHeight="false" outlineLevel="0" collapsed="false">
      <c r="A23" s="7" t="n">
        <v>16</v>
      </c>
    </row>
    <row r="24" customFormat="false" ht="12.8" hidden="false" customHeight="false" outlineLevel="0" collapsed="false">
      <c r="A24" s="7" t="n">
        <v>87.98</v>
      </c>
    </row>
    <row r="25" customFormat="false" ht="12.8" hidden="false" customHeight="false" outlineLevel="0" collapsed="false">
      <c r="A25" s="7" t="n">
        <v>43.23</v>
      </c>
    </row>
    <row r="26" customFormat="false" ht="12.8" hidden="false" customHeight="false" outlineLevel="0" collapsed="false">
      <c r="A26" s="7" t="n">
        <v>500</v>
      </c>
    </row>
    <row r="27" customFormat="false" ht="12.8" hidden="false" customHeight="false" outlineLevel="0" collapsed="false">
      <c r="A27" s="7" t="n">
        <v>4</v>
      </c>
    </row>
    <row r="28" customFormat="false" ht="12.8" hidden="false" customHeight="false" outlineLevel="0" collapsed="false">
      <c r="A28" s="7" t="n">
        <v>2.75</v>
      </c>
    </row>
    <row r="29" customFormat="false" ht="12.8" hidden="false" customHeight="false" outlineLevel="0" collapsed="false">
      <c r="A29" s="7" t="n">
        <v>12</v>
      </c>
    </row>
    <row r="30" customFormat="false" ht="12.8" hidden="false" customHeight="false" outlineLevel="0" collapsed="false">
      <c r="A30" s="7" t="n">
        <v>10</v>
      </c>
    </row>
    <row r="31" customFormat="false" ht="12.8" hidden="false" customHeight="false" outlineLevel="0" collapsed="false">
      <c r="A31" s="7" t="n">
        <v>5.95</v>
      </c>
    </row>
    <row r="32" customFormat="false" ht="12.8" hidden="false" customHeight="false" outlineLevel="0" collapsed="false">
      <c r="A32" s="7" t="n">
        <v>10</v>
      </c>
    </row>
    <row r="33" customFormat="false" ht="12.8" hidden="false" customHeight="false" outlineLevel="0" collapsed="false">
      <c r="A33" s="7" t="n">
        <v>2.5</v>
      </c>
    </row>
    <row r="34" customFormat="false" ht="12.8" hidden="false" customHeight="false" outlineLevel="0" collapsed="false">
      <c r="A34" s="7" t="n">
        <v>4</v>
      </c>
    </row>
    <row r="35" customFormat="false" ht="12.8" hidden="false" customHeight="false" outlineLevel="0" collapsed="false">
      <c r="A35" s="7" t="n">
        <v>7</v>
      </c>
    </row>
    <row r="36" customFormat="false" ht="12.8" hidden="false" customHeight="false" outlineLevel="0" collapsed="false">
      <c r="A36" s="7" t="n">
        <v>7.1</v>
      </c>
    </row>
    <row r="37" customFormat="false" ht="12.8" hidden="false" customHeight="false" outlineLevel="0" collapsed="false">
      <c r="A37" s="7" t="n">
        <v>14.9</v>
      </c>
    </row>
    <row r="38" customFormat="false" ht="12.8" hidden="false" customHeight="false" outlineLevel="0" collapsed="false">
      <c r="A38" s="7" t="n">
        <v>7.1</v>
      </c>
    </row>
    <row r="39" customFormat="false" ht="12.8" hidden="false" customHeight="false" outlineLevel="0" collapsed="false">
      <c r="A39" s="7" t="n">
        <v>16</v>
      </c>
    </row>
    <row r="40" customFormat="false" ht="12.8" hidden="false" customHeight="false" outlineLevel="0" collapsed="false">
      <c r="A40" s="7" t="n">
        <v>13</v>
      </c>
    </row>
    <row r="41" customFormat="false" ht="12.8" hidden="false" customHeight="false" outlineLevel="0" collapsed="false">
      <c r="A41" s="7" t="n">
        <v>95.78</v>
      </c>
    </row>
    <row r="42" customFormat="false" ht="12.8" hidden="false" customHeight="false" outlineLevel="0" collapsed="false">
      <c r="A42" s="7" t="n">
        <v>4.7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48576"/>
  <sheetViews>
    <sheetView showFormulas="false" showGridLines="true" showRowColHeaders="true" showZeros="true" rightToLeft="false" tabSelected="false" showOutlineSymbols="true" defaultGridColor="true" view="normal" topLeftCell="A57" colorId="64" zoomScale="100" zoomScaleNormal="100" zoomScalePageLayoutView="100" workbookViewId="0">
      <selection pane="topLeft" activeCell="B99" activeCellId="1" sqref="A1:I15 B99"/>
    </sheetView>
  </sheetViews>
  <sheetFormatPr defaultRowHeight="12.75" zeroHeight="false" outlineLevelRow="0" outlineLevelCol="0"/>
  <cols>
    <col collapsed="false" customWidth="true" hidden="false" outlineLevel="0" max="1" min="1" style="0" width="18.85"/>
    <col collapsed="false" customWidth="true" hidden="false" outlineLevel="0" max="2" min="2" style="0" width="9"/>
    <col collapsed="false" customWidth="true" hidden="false" outlineLevel="0" max="3" min="3" style="0" width="11.3"/>
    <col collapsed="false" customWidth="true" hidden="false" outlineLevel="0" max="1025" min="4" style="0" width="9.85"/>
  </cols>
  <sheetData>
    <row r="1" customFormat="false" ht="12.75" hidden="false" customHeight="false" outlineLevel="0" collapsed="false">
      <c r="A1" s="0" t="s">
        <v>1</v>
      </c>
      <c r="B1" s="0" t="s">
        <v>9</v>
      </c>
      <c r="C1" s="0" t="s">
        <v>10</v>
      </c>
    </row>
    <row r="2" customFormat="false" ht="12.75" hidden="false" customHeight="false" outlineLevel="0" collapsed="false">
      <c r="A2" s="0" t="s">
        <v>11</v>
      </c>
      <c r="B2" s="0" t="n">
        <v>0</v>
      </c>
      <c r="C2" s="1" t="n">
        <v>43466</v>
      </c>
    </row>
    <row r="3" customFormat="false" ht="12.75" hidden="false" customHeight="false" outlineLevel="0" collapsed="false">
      <c r="A3" s="0" t="s">
        <v>12</v>
      </c>
      <c r="B3" s="0" t="n">
        <v>40</v>
      </c>
      <c r="C3" s="1" t="n">
        <v>43466</v>
      </c>
    </row>
    <row r="4" customFormat="false" ht="12.75" hidden="false" customHeight="false" outlineLevel="0" collapsed="false">
      <c r="A4" s="0" t="s">
        <v>13</v>
      </c>
      <c r="B4" s="0" t="n">
        <v>27.94</v>
      </c>
      <c r="C4" s="1" t="n">
        <v>43466</v>
      </c>
    </row>
    <row r="5" customFormat="false" ht="12.75" hidden="false" customHeight="false" outlineLevel="0" collapsed="false">
      <c r="A5" s="0" t="s">
        <v>14</v>
      </c>
      <c r="B5" s="0" t="n">
        <v>79.9</v>
      </c>
      <c r="C5" s="1" t="n">
        <v>43466</v>
      </c>
    </row>
    <row r="6" customFormat="false" ht="12.75" hidden="false" customHeight="false" outlineLevel="0" collapsed="false">
      <c r="A6" s="0" t="s">
        <v>15</v>
      </c>
      <c r="B6" s="0" t="n">
        <v>409.2</v>
      </c>
      <c r="C6" s="1" t="n">
        <v>43466</v>
      </c>
    </row>
    <row r="7" customFormat="false" ht="12.75" hidden="false" customHeight="false" outlineLevel="0" collapsed="false">
      <c r="A7" s="0" t="s">
        <v>16</v>
      </c>
      <c r="B7" s="0" t="n">
        <v>47.5</v>
      </c>
      <c r="C7" s="1" t="n">
        <v>43466</v>
      </c>
    </row>
    <row r="8" customFormat="false" ht="12.75" hidden="false" customHeight="false" outlineLevel="0" collapsed="false">
      <c r="A8" s="0" t="s">
        <v>17</v>
      </c>
      <c r="B8" s="0" t="n">
        <v>190</v>
      </c>
      <c r="C8" s="1" t="n">
        <v>43466</v>
      </c>
    </row>
    <row r="9" customFormat="false" ht="12.75" hidden="false" customHeight="false" outlineLevel="0" collapsed="false">
      <c r="A9" s="0" t="s">
        <v>18</v>
      </c>
      <c r="B9" s="0" t="n">
        <v>3.85</v>
      </c>
      <c r="C9" s="1" t="n">
        <v>43466</v>
      </c>
    </row>
    <row r="10" customFormat="false" ht="12.75" hidden="false" customHeight="false" outlineLevel="0" collapsed="false">
      <c r="A10" s="0" t="s">
        <v>19</v>
      </c>
      <c r="B10" s="0" t="n">
        <v>642.33</v>
      </c>
      <c r="C10" s="1" t="n">
        <v>43466</v>
      </c>
    </row>
    <row r="11" customFormat="false" ht="12.75" hidden="false" customHeight="false" outlineLevel="0" collapsed="false">
      <c r="A11" s="0" t="s">
        <v>20</v>
      </c>
      <c r="B11" s="0" t="n">
        <v>1767.75</v>
      </c>
      <c r="C11" s="1" t="n">
        <v>43466</v>
      </c>
    </row>
    <row r="12" customFormat="false" ht="12.75" hidden="false" customHeight="false" outlineLevel="0" collapsed="false">
      <c r="A12" s="8" t="s">
        <v>11</v>
      </c>
      <c r="B12" s="8" t="n">
        <v>0</v>
      </c>
      <c r="C12" s="9" t="n">
        <v>43497</v>
      </c>
    </row>
    <row r="13" customFormat="false" ht="12.75" hidden="false" customHeight="false" outlineLevel="0" collapsed="false">
      <c r="A13" s="8" t="s">
        <v>12</v>
      </c>
      <c r="B13" s="8" t="n">
        <v>40</v>
      </c>
      <c r="C13" s="9" t="n">
        <v>43497</v>
      </c>
    </row>
    <row r="14" customFormat="false" ht="12.75" hidden="false" customHeight="false" outlineLevel="0" collapsed="false">
      <c r="A14" s="8" t="s">
        <v>13</v>
      </c>
      <c r="B14" s="8" t="n">
        <v>49.47</v>
      </c>
      <c r="C14" s="9" t="n">
        <v>43497</v>
      </c>
    </row>
    <row r="15" customFormat="false" ht="12.75" hidden="false" customHeight="false" outlineLevel="0" collapsed="false">
      <c r="A15" s="8" t="s">
        <v>14</v>
      </c>
      <c r="B15" s="8" t="n">
        <v>79.9</v>
      </c>
      <c r="C15" s="9" t="n">
        <v>43497</v>
      </c>
    </row>
    <row r="16" customFormat="false" ht="12.75" hidden="false" customHeight="false" outlineLevel="0" collapsed="false">
      <c r="A16" s="8" t="s">
        <v>15</v>
      </c>
      <c r="B16" s="8" t="n">
        <v>409.2</v>
      </c>
      <c r="C16" s="9" t="n">
        <v>43497</v>
      </c>
    </row>
    <row r="17" customFormat="false" ht="12.75" hidden="false" customHeight="false" outlineLevel="0" collapsed="false">
      <c r="A17" s="8" t="s">
        <v>16</v>
      </c>
      <c r="B17" s="8" t="n">
        <v>0</v>
      </c>
      <c r="C17" s="9" t="n">
        <v>43497</v>
      </c>
    </row>
    <row r="18" customFormat="false" ht="12.75" hidden="false" customHeight="false" outlineLevel="0" collapsed="false">
      <c r="A18" s="8" t="s">
        <v>17</v>
      </c>
      <c r="B18" s="8" t="n">
        <v>69.23</v>
      </c>
      <c r="C18" s="9" t="n">
        <v>43497</v>
      </c>
    </row>
    <row r="19" customFormat="false" ht="12.75" hidden="false" customHeight="false" outlineLevel="0" collapsed="false">
      <c r="A19" s="8" t="s">
        <v>18</v>
      </c>
      <c r="B19" s="8" t="n">
        <v>3.85</v>
      </c>
      <c r="C19" s="9" t="n">
        <v>43497</v>
      </c>
    </row>
    <row r="20" customFormat="false" ht="12.75" hidden="false" customHeight="false" outlineLevel="0" collapsed="false">
      <c r="A20" s="8" t="s">
        <v>19</v>
      </c>
      <c r="B20" s="8" t="n">
        <v>642.33</v>
      </c>
      <c r="C20" s="9" t="n">
        <v>43497</v>
      </c>
    </row>
    <row r="21" customFormat="false" ht="12.75" hidden="false" customHeight="false" outlineLevel="0" collapsed="false">
      <c r="A21" s="8" t="s">
        <v>20</v>
      </c>
      <c r="B21" s="8" t="n">
        <v>1767.75</v>
      </c>
      <c r="C21" s="9" t="n">
        <v>43497</v>
      </c>
    </row>
    <row r="22" customFormat="false" ht="12.75" hidden="false" customHeight="false" outlineLevel="0" collapsed="false">
      <c r="A22" s="0" t="s">
        <v>11</v>
      </c>
      <c r="B22" s="0" t="n">
        <v>0</v>
      </c>
      <c r="C22" s="1" t="n">
        <v>43525</v>
      </c>
    </row>
    <row r="23" customFormat="false" ht="12.75" hidden="false" customHeight="false" outlineLevel="0" collapsed="false">
      <c r="A23" s="0" t="s">
        <v>12</v>
      </c>
      <c r="B23" s="0" t="n">
        <v>0</v>
      </c>
      <c r="C23" s="1" t="n">
        <v>43525</v>
      </c>
    </row>
    <row r="24" customFormat="false" ht="12.75" hidden="false" customHeight="false" outlineLevel="0" collapsed="false">
      <c r="A24" s="0" t="s">
        <v>13</v>
      </c>
      <c r="B24" s="0" t="n">
        <v>57.51</v>
      </c>
      <c r="C24" s="1" t="n">
        <v>43525</v>
      </c>
    </row>
    <row r="25" customFormat="false" ht="12.75" hidden="false" customHeight="false" outlineLevel="0" collapsed="false">
      <c r="A25" s="0" t="s">
        <v>14</v>
      </c>
      <c r="B25" s="0" t="n">
        <v>79.9</v>
      </c>
      <c r="C25" s="1" t="n">
        <v>43525</v>
      </c>
    </row>
    <row r="26" customFormat="false" ht="12.75" hidden="false" customHeight="false" outlineLevel="0" collapsed="false">
      <c r="A26" s="0" t="s">
        <v>15</v>
      </c>
      <c r="B26" s="0" t="n">
        <v>409.2</v>
      </c>
      <c r="C26" s="1" t="n">
        <v>43525</v>
      </c>
    </row>
    <row r="27" customFormat="false" ht="12.75" hidden="false" customHeight="false" outlineLevel="0" collapsed="false">
      <c r="A27" s="0" t="s">
        <v>16</v>
      </c>
      <c r="B27" s="0" t="n">
        <v>0</v>
      </c>
      <c r="C27" s="1" t="n">
        <v>43525</v>
      </c>
    </row>
    <row r="28" customFormat="false" ht="12.75" hidden="false" customHeight="false" outlineLevel="0" collapsed="false">
      <c r="A28" s="0" t="s">
        <v>17</v>
      </c>
      <c r="B28" s="0" t="n">
        <v>237.5</v>
      </c>
      <c r="C28" s="1" t="n">
        <v>43525</v>
      </c>
    </row>
    <row r="29" customFormat="false" ht="12.75" hidden="false" customHeight="false" outlineLevel="0" collapsed="false">
      <c r="A29" s="0" t="s">
        <v>18</v>
      </c>
      <c r="B29" s="0" t="n">
        <v>3.96</v>
      </c>
      <c r="C29" s="1" t="n">
        <v>43525</v>
      </c>
    </row>
    <row r="30" customFormat="false" ht="12.75" hidden="false" customHeight="false" outlineLevel="0" collapsed="false">
      <c r="A30" s="0" t="s">
        <v>19</v>
      </c>
      <c r="B30" s="0" t="n">
        <v>642.33</v>
      </c>
      <c r="C30" s="1" t="n">
        <v>43525</v>
      </c>
    </row>
    <row r="31" customFormat="false" ht="12.75" hidden="false" customHeight="false" outlineLevel="0" collapsed="false">
      <c r="A31" s="0" t="s">
        <v>20</v>
      </c>
      <c r="B31" s="0" t="n">
        <v>1767.75</v>
      </c>
      <c r="C31" s="1" t="n">
        <v>43525</v>
      </c>
    </row>
    <row r="32" customFormat="false" ht="12.75" hidden="false" customHeight="false" outlineLevel="0" collapsed="false">
      <c r="A32" s="8" t="s">
        <v>11</v>
      </c>
      <c r="B32" s="8" t="n">
        <v>0</v>
      </c>
      <c r="C32" s="9" t="n">
        <v>43556</v>
      </c>
    </row>
    <row r="33" customFormat="false" ht="12.75" hidden="false" customHeight="false" outlineLevel="0" collapsed="false">
      <c r="A33" s="8" t="s">
        <v>12</v>
      </c>
      <c r="B33" s="8" t="n">
        <v>40</v>
      </c>
      <c r="C33" s="9" t="n">
        <v>43556</v>
      </c>
    </row>
    <row r="34" customFormat="false" ht="12.75" hidden="false" customHeight="false" outlineLevel="0" collapsed="false">
      <c r="A34" s="8" t="s">
        <v>13</v>
      </c>
      <c r="B34" s="8" t="n">
        <v>29.84</v>
      </c>
      <c r="C34" s="9" t="n">
        <v>43556</v>
      </c>
    </row>
    <row r="35" customFormat="false" ht="12.75" hidden="false" customHeight="false" outlineLevel="0" collapsed="false">
      <c r="A35" s="8" t="s">
        <v>14</v>
      </c>
      <c r="B35" s="8" t="n">
        <v>79.9</v>
      </c>
      <c r="C35" s="9" t="n">
        <v>43556</v>
      </c>
    </row>
    <row r="36" customFormat="false" ht="12.75" hidden="false" customHeight="false" outlineLevel="0" collapsed="false">
      <c r="A36" s="8" t="s">
        <v>15</v>
      </c>
      <c r="B36" s="8" t="n">
        <v>409.2</v>
      </c>
      <c r="C36" s="9" t="n">
        <v>43556</v>
      </c>
    </row>
    <row r="37" customFormat="false" ht="12.75" hidden="false" customHeight="false" outlineLevel="0" collapsed="false">
      <c r="A37" s="8" t="s">
        <v>16</v>
      </c>
      <c r="B37" s="8" t="n">
        <v>0</v>
      </c>
      <c r="C37" s="9" t="n">
        <v>43556</v>
      </c>
    </row>
    <row r="38" customFormat="false" ht="12.75" hidden="false" customHeight="false" outlineLevel="0" collapsed="false">
      <c r="A38" s="8" t="s">
        <v>17</v>
      </c>
      <c r="B38" s="8" t="n">
        <v>69.23</v>
      </c>
      <c r="C38" s="9" t="n">
        <v>43556</v>
      </c>
    </row>
    <row r="39" customFormat="false" ht="12.75" hidden="false" customHeight="false" outlineLevel="0" collapsed="false">
      <c r="A39" s="8" t="s">
        <v>18</v>
      </c>
      <c r="B39" s="8" t="n">
        <v>3.96</v>
      </c>
      <c r="C39" s="9" t="n">
        <v>43556</v>
      </c>
    </row>
    <row r="40" customFormat="false" ht="12.75" hidden="false" customHeight="false" outlineLevel="0" collapsed="false">
      <c r="A40" s="8" t="s">
        <v>19</v>
      </c>
      <c r="B40" s="8" t="n">
        <v>642.33</v>
      </c>
      <c r="C40" s="9" t="n">
        <v>43556</v>
      </c>
    </row>
    <row r="41" customFormat="false" ht="12.75" hidden="false" customHeight="false" outlineLevel="0" collapsed="false">
      <c r="A41" s="8" t="s">
        <v>20</v>
      </c>
      <c r="B41" s="8" t="n">
        <v>118.87</v>
      </c>
      <c r="C41" s="9" t="n">
        <v>43556</v>
      </c>
    </row>
    <row r="42" customFormat="false" ht="12.75" hidden="false" customHeight="false" outlineLevel="0" collapsed="false">
      <c r="A42" s="8" t="s">
        <v>21</v>
      </c>
      <c r="B42" s="8" t="n">
        <v>0</v>
      </c>
      <c r="C42" s="9" t="n">
        <v>43556</v>
      </c>
    </row>
    <row r="43" customFormat="false" ht="12.75" hidden="false" customHeight="false" outlineLevel="0" collapsed="false">
      <c r="A43" s="8" t="s">
        <v>22</v>
      </c>
      <c r="B43" s="8" t="n">
        <v>0</v>
      </c>
      <c r="C43" s="9" t="n">
        <v>43556</v>
      </c>
    </row>
    <row r="44" customFormat="false" ht="12.75" hidden="false" customHeight="false" outlineLevel="0" collapsed="false">
      <c r="A44" s="8" t="s">
        <v>23</v>
      </c>
      <c r="B44" s="8" t="n">
        <v>0</v>
      </c>
      <c r="C44" s="9" t="n">
        <v>43556</v>
      </c>
    </row>
    <row r="45" customFormat="false" ht="12.75" hidden="false" customHeight="false" outlineLevel="0" collapsed="false">
      <c r="A45" s="8" t="s">
        <v>24</v>
      </c>
      <c r="B45" s="8" t="n">
        <v>0</v>
      </c>
      <c r="C45" s="9" t="n">
        <v>43556</v>
      </c>
    </row>
    <row r="46" customFormat="false" ht="12.75" hidden="false" customHeight="false" outlineLevel="0" collapsed="false">
      <c r="A46" s="0" t="s">
        <v>11</v>
      </c>
      <c r="B46" s="0" t="n">
        <v>0</v>
      </c>
      <c r="C46" s="1" t="n">
        <v>43586</v>
      </c>
    </row>
    <row r="47" customFormat="false" ht="12.75" hidden="false" customHeight="false" outlineLevel="0" collapsed="false">
      <c r="A47" s="0" t="s">
        <v>12</v>
      </c>
      <c r="B47" s="0" t="n">
        <v>40</v>
      </c>
      <c r="C47" s="1" t="n">
        <v>43586</v>
      </c>
    </row>
    <row r="48" customFormat="false" ht="12.75" hidden="false" customHeight="false" outlineLevel="0" collapsed="false">
      <c r="A48" s="0" t="s">
        <v>13</v>
      </c>
      <c r="B48" s="0" t="n">
        <v>168.08</v>
      </c>
      <c r="C48" s="1" t="n">
        <v>43586</v>
      </c>
    </row>
    <row r="49" customFormat="false" ht="12.75" hidden="false" customHeight="false" outlineLevel="0" collapsed="false">
      <c r="A49" s="0" t="s">
        <v>14</v>
      </c>
      <c r="B49" s="0" t="n">
        <v>79.9</v>
      </c>
      <c r="C49" s="1" t="n">
        <v>43586</v>
      </c>
    </row>
    <row r="50" customFormat="false" ht="12.75" hidden="false" customHeight="false" outlineLevel="0" collapsed="false">
      <c r="A50" s="0" t="s">
        <v>15</v>
      </c>
      <c r="B50" s="0" t="n">
        <v>409.2</v>
      </c>
      <c r="C50" s="1" t="n">
        <v>43586</v>
      </c>
    </row>
    <row r="51" customFormat="false" ht="12.75" hidden="false" customHeight="false" outlineLevel="0" collapsed="false">
      <c r="A51" s="0" t="s">
        <v>16</v>
      </c>
      <c r="B51" s="0" t="n">
        <v>47.5</v>
      </c>
      <c r="C51" s="1" t="n">
        <v>43586</v>
      </c>
    </row>
    <row r="52" customFormat="false" ht="12.75" hidden="false" customHeight="false" outlineLevel="0" collapsed="false">
      <c r="A52" s="0" t="s">
        <v>17</v>
      </c>
      <c r="B52" s="0" t="n">
        <v>0</v>
      </c>
      <c r="C52" s="1" t="n">
        <v>43586</v>
      </c>
    </row>
    <row r="53" customFormat="false" ht="12.75" hidden="false" customHeight="false" outlineLevel="0" collapsed="false">
      <c r="A53" s="0" t="s">
        <v>18</v>
      </c>
      <c r="B53" s="0" t="n">
        <v>3.96</v>
      </c>
      <c r="C53" s="1" t="n">
        <v>43586</v>
      </c>
    </row>
    <row r="54" customFormat="false" ht="12.75" hidden="false" customHeight="false" outlineLevel="0" collapsed="false">
      <c r="A54" s="0" t="s">
        <v>19</v>
      </c>
      <c r="B54" s="0" t="n">
        <v>642.33</v>
      </c>
      <c r="C54" s="1" t="n">
        <v>43586</v>
      </c>
    </row>
    <row r="55" customFormat="false" ht="12.75" hidden="false" customHeight="false" outlineLevel="0" collapsed="false">
      <c r="A55" s="0" t="s">
        <v>20</v>
      </c>
      <c r="B55" s="0" t="n">
        <v>1767.75</v>
      </c>
      <c r="C55" s="1" t="n">
        <v>43586</v>
      </c>
    </row>
    <row r="56" customFormat="false" ht="12.75" hidden="false" customHeight="false" outlineLevel="0" collapsed="false">
      <c r="A56" s="8" t="s">
        <v>11</v>
      </c>
      <c r="B56" s="8" t="n">
        <v>0</v>
      </c>
      <c r="C56" s="9" t="n">
        <v>43617</v>
      </c>
    </row>
    <row r="57" customFormat="false" ht="12.75" hidden="false" customHeight="false" outlineLevel="0" collapsed="false">
      <c r="A57" s="8" t="s">
        <v>12</v>
      </c>
      <c r="B57" s="8" t="n">
        <v>40</v>
      </c>
      <c r="C57" s="9" t="n">
        <v>43617</v>
      </c>
    </row>
    <row r="58" customFormat="false" ht="12.75" hidden="false" customHeight="false" outlineLevel="0" collapsed="false">
      <c r="A58" s="8" t="s">
        <v>13</v>
      </c>
      <c r="B58" s="8" t="n">
        <v>67.58</v>
      </c>
      <c r="C58" s="9" t="n">
        <v>43617</v>
      </c>
    </row>
    <row r="59" customFormat="false" ht="12.75" hidden="false" customHeight="false" outlineLevel="0" collapsed="false">
      <c r="A59" s="8" t="s">
        <v>14</v>
      </c>
      <c r="B59" s="8" t="n">
        <v>79.9</v>
      </c>
      <c r="C59" s="9" t="n">
        <v>43617</v>
      </c>
    </row>
    <row r="60" customFormat="false" ht="12.75" hidden="false" customHeight="false" outlineLevel="0" collapsed="false">
      <c r="A60" s="8" t="s">
        <v>15</v>
      </c>
      <c r="B60" s="8" t="n">
        <v>419</v>
      </c>
      <c r="C60" s="9" t="n">
        <v>43617</v>
      </c>
    </row>
    <row r="61" customFormat="false" ht="12.75" hidden="false" customHeight="false" outlineLevel="0" collapsed="false">
      <c r="A61" s="8" t="s">
        <v>16</v>
      </c>
      <c r="B61" s="8" t="n">
        <v>57.06</v>
      </c>
      <c r="C61" s="9" t="n">
        <v>43617</v>
      </c>
    </row>
    <row r="62" customFormat="false" ht="12.75" hidden="false" customHeight="false" outlineLevel="0" collapsed="false">
      <c r="A62" s="8" t="s">
        <v>17</v>
      </c>
      <c r="B62" s="8" t="n">
        <v>0</v>
      </c>
      <c r="C62" s="9" t="n">
        <v>43617</v>
      </c>
    </row>
    <row r="63" customFormat="false" ht="12.75" hidden="false" customHeight="false" outlineLevel="0" collapsed="false">
      <c r="A63" s="8" t="s">
        <v>18</v>
      </c>
      <c r="B63" s="8" t="n">
        <v>3.96</v>
      </c>
      <c r="C63" s="9" t="n">
        <v>43617</v>
      </c>
    </row>
    <row r="64" customFormat="false" ht="12.75" hidden="false" customHeight="false" outlineLevel="0" collapsed="false">
      <c r="A64" s="8" t="s">
        <v>19</v>
      </c>
      <c r="B64" s="8" t="n">
        <v>642.33</v>
      </c>
      <c r="C64" s="9" t="n">
        <v>43617</v>
      </c>
    </row>
    <row r="65" customFormat="false" ht="12.75" hidden="false" customHeight="false" outlineLevel="0" collapsed="false">
      <c r="A65" s="8" t="s">
        <v>20</v>
      </c>
      <c r="B65" s="8" t="n">
        <v>1767.75</v>
      </c>
      <c r="C65" s="9" t="n">
        <v>43617</v>
      </c>
    </row>
    <row r="66" customFormat="false" ht="12.75" hidden="false" customHeight="false" outlineLevel="0" collapsed="false">
      <c r="A66" s="0" t="s">
        <v>11</v>
      </c>
      <c r="B66" s="0" t="n">
        <v>0</v>
      </c>
      <c r="C66" s="1" t="n">
        <v>43647</v>
      </c>
    </row>
    <row r="67" customFormat="false" ht="12.75" hidden="false" customHeight="false" outlineLevel="0" collapsed="false">
      <c r="A67" s="0" t="s">
        <v>12</v>
      </c>
      <c r="B67" s="0" t="n">
        <v>40</v>
      </c>
      <c r="C67" s="1" t="n">
        <v>43647</v>
      </c>
    </row>
    <row r="68" customFormat="false" ht="12.8" hidden="false" customHeight="false" outlineLevel="0" collapsed="false">
      <c r="A68" s="0" t="s">
        <v>25</v>
      </c>
      <c r="B68" s="0" t="n">
        <v>79.9</v>
      </c>
      <c r="C68" s="1" t="n">
        <v>43647</v>
      </c>
    </row>
    <row r="69" customFormat="false" ht="12.75" hidden="false" customHeight="false" outlineLevel="0" collapsed="false">
      <c r="A69" s="0" t="s">
        <v>13</v>
      </c>
      <c r="B69" s="0" t="n">
        <v>60.96</v>
      </c>
      <c r="C69" s="1" t="n">
        <v>43647</v>
      </c>
    </row>
    <row r="70" customFormat="false" ht="12.75" hidden="false" customHeight="false" outlineLevel="0" collapsed="false">
      <c r="A70" s="0" t="s">
        <v>14</v>
      </c>
      <c r="B70" s="0" t="n">
        <v>79.9</v>
      </c>
      <c r="C70" s="1" t="n">
        <v>43647</v>
      </c>
    </row>
    <row r="71" customFormat="false" ht="12.75" hidden="false" customHeight="false" outlineLevel="0" collapsed="false">
      <c r="A71" s="0" t="s">
        <v>15</v>
      </c>
      <c r="B71" s="0" t="n">
        <v>419</v>
      </c>
      <c r="C71" s="1" t="n">
        <v>43647</v>
      </c>
    </row>
    <row r="72" customFormat="false" ht="12.75" hidden="false" customHeight="false" outlineLevel="0" collapsed="false">
      <c r="A72" s="0" t="s">
        <v>16</v>
      </c>
      <c r="B72" s="0" t="n">
        <v>0</v>
      </c>
      <c r="C72" s="1" t="n">
        <v>43647</v>
      </c>
    </row>
    <row r="73" customFormat="false" ht="12.75" hidden="false" customHeight="false" outlineLevel="0" collapsed="false">
      <c r="A73" s="0" t="s">
        <v>17</v>
      </c>
      <c r="B73" s="0" t="n">
        <v>237.5</v>
      </c>
      <c r="C73" s="1" t="n">
        <v>43647</v>
      </c>
    </row>
    <row r="74" customFormat="false" ht="12.75" hidden="false" customHeight="false" outlineLevel="0" collapsed="false">
      <c r="A74" s="0" t="s">
        <v>18</v>
      </c>
      <c r="B74" s="0" t="n">
        <v>3.85</v>
      </c>
      <c r="C74" s="1" t="n">
        <v>43647</v>
      </c>
    </row>
    <row r="75" customFormat="false" ht="12.75" hidden="false" customHeight="false" outlineLevel="0" collapsed="false">
      <c r="A75" s="0" t="s">
        <v>19</v>
      </c>
      <c r="B75" s="0" t="n">
        <v>642.33</v>
      </c>
      <c r="C75" s="1" t="n">
        <v>43647</v>
      </c>
    </row>
    <row r="76" customFormat="false" ht="12.75" hidden="false" customHeight="false" outlineLevel="0" collapsed="false">
      <c r="A76" s="0" t="s">
        <v>20</v>
      </c>
      <c r="B76" s="0" t="n">
        <v>1767.75</v>
      </c>
      <c r="C76" s="1" t="n">
        <v>43647</v>
      </c>
    </row>
    <row r="77" customFormat="false" ht="12.8" hidden="false" customHeight="false" outlineLevel="0" collapsed="false">
      <c r="A77" s="10" t="s">
        <v>11</v>
      </c>
      <c r="B77" s="10" t="n">
        <v>0</v>
      </c>
      <c r="C77" s="11" t="n">
        <v>43678</v>
      </c>
    </row>
    <row r="78" customFormat="false" ht="12.8" hidden="false" customHeight="false" outlineLevel="0" collapsed="false">
      <c r="A78" s="10" t="s">
        <v>12</v>
      </c>
      <c r="B78" s="10" t="n">
        <v>40</v>
      </c>
      <c r="C78" s="11" t="n">
        <v>43678</v>
      </c>
    </row>
    <row r="79" customFormat="false" ht="12.8" hidden="false" customHeight="false" outlineLevel="0" collapsed="false">
      <c r="A79" s="10" t="s">
        <v>25</v>
      </c>
      <c r="B79" s="10" t="n">
        <v>64.74</v>
      </c>
      <c r="C79" s="11" t="n">
        <v>43678</v>
      </c>
    </row>
    <row r="80" customFormat="false" ht="12.8" hidden="false" customHeight="false" outlineLevel="0" collapsed="false">
      <c r="A80" s="10" t="s">
        <v>13</v>
      </c>
      <c r="B80" s="10" t="n">
        <v>133.97</v>
      </c>
      <c r="C80" s="11" t="n">
        <v>43678</v>
      </c>
    </row>
    <row r="81" customFormat="false" ht="12.8" hidden="false" customHeight="false" outlineLevel="0" collapsed="false">
      <c r="A81" s="10" t="s">
        <v>14</v>
      </c>
      <c r="B81" s="10" t="n">
        <v>79.9</v>
      </c>
      <c r="C81" s="11" t="n">
        <v>43678</v>
      </c>
    </row>
    <row r="82" customFormat="false" ht="12.8" hidden="false" customHeight="false" outlineLevel="0" collapsed="false">
      <c r="A82" s="10" t="s">
        <v>15</v>
      </c>
      <c r="B82" s="10" t="n">
        <v>419</v>
      </c>
      <c r="C82" s="11" t="n">
        <v>43678</v>
      </c>
    </row>
    <row r="83" customFormat="false" ht="12.8" hidden="false" customHeight="false" outlineLevel="0" collapsed="false">
      <c r="A83" s="10" t="s">
        <v>16</v>
      </c>
      <c r="B83" s="10" t="n">
        <v>47.5</v>
      </c>
      <c r="C83" s="11" t="n">
        <v>43678</v>
      </c>
    </row>
    <row r="84" customFormat="false" ht="12.8" hidden="false" customHeight="false" outlineLevel="0" collapsed="false">
      <c r="A84" s="10" t="s">
        <v>26</v>
      </c>
      <c r="B84" s="10" t="n">
        <v>47.5</v>
      </c>
      <c r="C84" s="11" t="n">
        <v>43678</v>
      </c>
    </row>
    <row r="85" customFormat="false" ht="12.8" hidden="false" customHeight="false" outlineLevel="0" collapsed="false">
      <c r="A85" s="10" t="s">
        <v>18</v>
      </c>
      <c r="B85" s="10" t="n">
        <v>3.96</v>
      </c>
      <c r="C85" s="11" t="n">
        <v>43678</v>
      </c>
    </row>
    <row r="86" customFormat="false" ht="12.8" hidden="false" customHeight="false" outlineLevel="0" collapsed="false">
      <c r="A86" s="10" t="s">
        <v>19</v>
      </c>
      <c r="B86" s="10" t="n">
        <v>642.33</v>
      </c>
      <c r="C86" s="11" t="n">
        <v>43678</v>
      </c>
    </row>
    <row r="87" customFormat="false" ht="12.8" hidden="false" customHeight="false" outlineLevel="0" collapsed="false">
      <c r="A87" s="10" t="s">
        <v>20</v>
      </c>
      <c r="B87" s="10" t="n">
        <v>1767.75</v>
      </c>
      <c r="C87" s="11" t="n">
        <v>43678</v>
      </c>
    </row>
    <row r="88" customFormat="false" ht="12.8" hidden="false" customHeight="false" outlineLevel="0" collapsed="false">
      <c r="A88" s="0" t="s">
        <v>11</v>
      </c>
      <c r="B88" s="0" t="n">
        <v>0</v>
      </c>
      <c r="C88" s="1" t="n">
        <v>43709</v>
      </c>
    </row>
    <row r="89" customFormat="false" ht="12.8" hidden="false" customHeight="false" outlineLevel="0" collapsed="false">
      <c r="A89" s="0" t="s">
        <v>12</v>
      </c>
      <c r="B89" s="0" t="n">
        <v>40</v>
      </c>
      <c r="C89" s="1" t="n">
        <v>43709</v>
      </c>
    </row>
    <row r="90" customFormat="false" ht="12.8" hidden="false" customHeight="false" outlineLevel="0" collapsed="false">
      <c r="A90" s="0" t="s">
        <v>13</v>
      </c>
      <c r="B90" s="0" t="n">
        <v>67.9</v>
      </c>
      <c r="C90" s="1" t="n">
        <v>43709</v>
      </c>
    </row>
    <row r="91" customFormat="false" ht="12.8" hidden="false" customHeight="false" outlineLevel="0" collapsed="false">
      <c r="A91" s="0" t="s">
        <v>25</v>
      </c>
      <c r="B91" s="0" t="n">
        <v>66.82</v>
      </c>
      <c r="C91" s="1" t="n">
        <v>43709</v>
      </c>
    </row>
    <row r="92" customFormat="false" ht="12.8" hidden="false" customHeight="false" outlineLevel="0" collapsed="false">
      <c r="A92" s="0" t="s">
        <v>14</v>
      </c>
      <c r="B92" s="0" t="n">
        <v>79.9</v>
      </c>
      <c r="C92" s="1" t="n">
        <v>43709</v>
      </c>
    </row>
    <row r="93" customFormat="false" ht="12.8" hidden="false" customHeight="false" outlineLevel="0" collapsed="false">
      <c r="A93" s="0" t="s">
        <v>15</v>
      </c>
      <c r="B93" s="0" t="n">
        <v>419</v>
      </c>
      <c r="C93" s="1" t="n">
        <v>43709</v>
      </c>
    </row>
    <row r="94" customFormat="false" ht="12.8" hidden="false" customHeight="false" outlineLevel="0" collapsed="false">
      <c r="A94" s="0" t="s">
        <v>16</v>
      </c>
      <c r="B94" s="0" t="n">
        <v>47.5</v>
      </c>
      <c r="C94" s="1" t="n">
        <v>43709</v>
      </c>
    </row>
    <row r="95" customFormat="false" ht="12.8" hidden="false" customHeight="false" outlineLevel="0" collapsed="false">
      <c r="A95" s="0" t="s">
        <v>17</v>
      </c>
      <c r="B95" s="0" t="n">
        <v>406.4</v>
      </c>
      <c r="C95" s="1" t="n">
        <v>43709</v>
      </c>
    </row>
    <row r="96" customFormat="false" ht="12.8" hidden="false" customHeight="false" outlineLevel="0" collapsed="false">
      <c r="A96" s="0" t="s">
        <v>18</v>
      </c>
      <c r="B96" s="0" t="n">
        <v>3.85</v>
      </c>
      <c r="C96" s="1" t="n">
        <v>43709</v>
      </c>
    </row>
    <row r="97" customFormat="false" ht="12.8" hidden="false" customHeight="false" outlineLevel="0" collapsed="false">
      <c r="A97" s="0" t="s">
        <v>19</v>
      </c>
      <c r="B97" s="0" t="n">
        <v>642.33</v>
      </c>
      <c r="C97" s="1" t="n">
        <v>43709</v>
      </c>
    </row>
    <row r="98" customFormat="false" ht="12.8" hidden="false" customHeight="false" outlineLevel="0" collapsed="false">
      <c r="A98" s="0" t="s">
        <v>20</v>
      </c>
      <c r="B98" s="0" t="n">
        <v>2601</v>
      </c>
      <c r="C98" s="1" t="n">
        <v>43709</v>
      </c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58"/>
  <sheetViews>
    <sheetView showFormulas="false" showGridLines="true" showRowColHeaders="true" showZeros="true" rightToLeft="false" tabSelected="false" showOutlineSymbols="true" defaultGridColor="true" view="normal" topLeftCell="B28" colorId="64" zoomScale="100" zoomScaleNormal="100" zoomScalePageLayoutView="100" workbookViewId="0">
      <selection pane="topLeft" activeCell="E57" activeCellId="1" sqref="A1:I15 E57"/>
    </sheetView>
  </sheetViews>
  <sheetFormatPr defaultRowHeight="12.8" zeroHeight="false" outlineLevelRow="0" outlineLevelCol="0"/>
  <cols>
    <col collapsed="false" customWidth="true" hidden="false" outlineLevel="0" max="3" min="1" style="0" width="15"/>
    <col collapsed="false" customWidth="true" hidden="false" outlineLevel="0" max="4" min="4" style="12" width="17.13"/>
    <col collapsed="false" customWidth="true" hidden="false" outlineLevel="0" max="6" min="5" style="0" width="12.14"/>
    <col collapsed="false" customWidth="true" hidden="false" outlineLevel="0" max="1025" min="7" style="0" width="9.85"/>
  </cols>
  <sheetData>
    <row r="1" customFormat="false" ht="13.8" hidden="false" customHeight="false" outlineLevel="0" collapsed="false">
      <c r="A1" s="3" t="s">
        <v>27</v>
      </c>
      <c r="B1" s="3" t="s">
        <v>28</v>
      </c>
      <c r="C1" s="3" t="s">
        <v>29</v>
      </c>
      <c r="D1" s="13" t="s">
        <v>30</v>
      </c>
      <c r="E1" s="3" t="s">
        <v>31</v>
      </c>
    </row>
    <row r="2" customFormat="false" ht="13.8" hidden="false" customHeight="false" outlineLevel="0" collapsed="false">
      <c r="A2" s="1" t="n">
        <v>43466</v>
      </c>
      <c r="B2" s="1" t="n">
        <v>43465</v>
      </c>
      <c r="C2" s="1" t="s">
        <v>32</v>
      </c>
      <c r="D2" s="14" t="n">
        <v>-4401.28</v>
      </c>
    </row>
    <row r="3" customFormat="false" ht="12.8" hidden="false" customHeight="false" outlineLevel="0" collapsed="false">
      <c r="A3" s="1" t="n">
        <v>43466</v>
      </c>
      <c r="B3" s="1" t="n">
        <v>43469</v>
      </c>
      <c r="C3" s="1" t="s">
        <v>33</v>
      </c>
      <c r="D3" s="15" t="n">
        <v>2124.6</v>
      </c>
    </row>
    <row r="4" customFormat="false" ht="12.8" hidden="false" customHeight="false" outlineLevel="0" collapsed="false">
      <c r="A4" s="1" t="n">
        <v>43466</v>
      </c>
      <c r="B4" s="1" t="n">
        <v>43480</v>
      </c>
      <c r="C4" s="1" t="s">
        <v>33</v>
      </c>
      <c r="D4" s="15" t="n">
        <v>4245</v>
      </c>
    </row>
    <row r="5" customFormat="false" ht="12.8" hidden="false" customHeight="false" outlineLevel="0" collapsed="false">
      <c r="A5" s="1" t="n">
        <v>43466</v>
      </c>
      <c r="B5" s="1" t="n">
        <v>43496</v>
      </c>
      <c r="C5" s="1" t="s">
        <v>33</v>
      </c>
      <c r="D5" s="15" t="n">
        <v>3157.53</v>
      </c>
    </row>
    <row r="6" customFormat="false" ht="12.8" hidden="false" customHeight="false" outlineLevel="0" collapsed="false">
      <c r="A6" s="16" t="n">
        <v>43497</v>
      </c>
      <c r="B6" s="16" t="n">
        <v>43496</v>
      </c>
      <c r="C6" s="16" t="s">
        <v>32</v>
      </c>
      <c r="D6" s="17" t="n">
        <f aca="false">SUMIFS(planilha!$H$2:$H$9,planilha!$A$2:$A$9,DATE(YEAR(utilizacao!A6),MONTH(utilizacao!A6)-1,DAY(utilizacao!A6)))</f>
        <v>-3019.47</v>
      </c>
      <c r="E6" s="18" t="n">
        <f aca="false">SUMIFS(planilha!$M$2:$M$9,planilha!$A$2:$A$9,DATE(YEAR(utilizacao!A6),MONTH(utilizacao!A6)-1,DAY(utilizacao!A6)))</f>
        <v>-1358.72</v>
      </c>
    </row>
    <row r="7" customFormat="false" ht="12.8" hidden="false" customHeight="false" outlineLevel="0" collapsed="false">
      <c r="A7" s="1" t="n">
        <v>43497</v>
      </c>
      <c r="B7" s="1" t="n">
        <v>43511</v>
      </c>
      <c r="C7" s="1" t="s">
        <v>33</v>
      </c>
      <c r="D7" s="15" t="n">
        <v>4245</v>
      </c>
    </row>
    <row r="8" customFormat="false" ht="12.8" hidden="false" customHeight="false" outlineLevel="0" collapsed="false">
      <c r="A8" s="1" t="n">
        <v>43497</v>
      </c>
      <c r="B8" s="1" t="n">
        <v>43524</v>
      </c>
      <c r="C8" s="1" t="s">
        <v>33</v>
      </c>
      <c r="D8" s="15" t="n">
        <v>3304.16</v>
      </c>
    </row>
    <row r="9" customFormat="false" ht="12.8" hidden="false" customHeight="false" outlineLevel="0" collapsed="false">
      <c r="A9" s="16" t="n">
        <v>43525</v>
      </c>
      <c r="B9" s="16" t="n">
        <v>43524</v>
      </c>
      <c r="C9" s="16" t="s">
        <v>32</v>
      </c>
      <c r="D9" s="17" t="n">
        <f aca="false">SUMIFS(planilha!$H$2:$H$9,planilha!$A$2:$A$9,DATE(YEAR(utilizacao!A9),MONTH(utilizacao!A9)-1,DAY(utilizacao!A9)))</f>
        <v>-6060.79</v>
      </c>
      <c r="E9" s="18" t="n">
        <f aca="false">SUMIFS(planilha!$M$2:$M$9,planilha!$A$2:$A$9,DATE(YEAR(utilizacao!A9),MONTH(utilizacao!A9)-1,DAY(utilizacao!A9)))</f>
        <v>-3185.88</v>
      </c>
    </row>
    <row r="10" customFormat="false" ht="12.8" hidden="false" customHeight="false" outlineLevel="0" collapsed="false">
      <c r="A10" s="1" t="n">
        <v>43525</v>
      </c>
      <c r="B10" s="1" t="n">
        <v>43539</v>
      </c>
      <c r="C10" s="1" t="s">
        <v>33</v>
      </c>
      <c r="D10" s="15" t="n">
        <v>4257.13</v>
      </c>
      <c r="E10" s="19" t="n">
        <v>4245</v>
      </c>
    </row>
    <row r="11" customFormat="false" ht="12.8" hidden="false" customHeight="false" outlineLevel="0" collapsed="false">
      <c r="A11" s="1" t="n">
        <v>43525</v>
      </c>
      <c r="B11" s="1" t="n">
        <v>43552</v>
      </c>
      <c r="C11" s="1" t="s">
        <v>33</v>
      </c>
      <c r="D11" s="15" t="n">
        <v>3167.85</v>
      </c>
      <c r="E11" s="19" t="n">
        <v>3300</v>
      </c>
    </row>
    <row r="12" customFormat="false" ht="12.8" hidden="false" customHeight="false" outlineLevel="0" collapsed="false">
      <c r="A12" s="1" t="n">
        <v>43525</v>
      </c>
      <c r="B12" s="1" t="n">
        <v>43552</v>
      </c>
      <c r="C12" s="1" t="s">
        <v>34</v>
      </c>
      <c r="D12" s="15" t="n">
        <v>16867.76</v>
      </c>
      <c r="E12" s="19"/>
    </row>
    <row r="13" customFormat="false" ht="12.8" hidden="false" customHeight="false" outlineLevel="0" collapsed="false">
      <c r="A13" s="1" t="n">
        <v>43525</v>
      </c>
      <c r="B13" s="1" t="n">
        <v>43555</v>
      </c>
      <c r="C13" s="1" t="s">
        <v>35</v>
      </c>
      <c r="D13" s="15" t="n">
        <v>36</v>
      </c>
      <c r="E13" s="19"/>
    </row>
    <row r="14" customFormat="false" ht="12.8" hidden="false" customHeight="false" outlineLevel="0" collapsed="false">
      <c r="A14" s="16" t="n">
        <v>43556</v>
      </c>
      <c r="B14" s="16" t="n">
        <v>43555</v>
      </c>
      <c r="C14" s="16" t="s">
        <v>32</v>
      </c>
      <c r="D14" s="17" t="n">
        <f aca="false">SUMIFS(planilha!$H$2:$H$9,planilha!$A$2:$A$9,DATE(YEAR(utilizacao!A14),MONTH(utilizacao!A14)-1,DAY(utilizacao!A14)))</f>
        <v>9543.24</v>
      </c>
      <c r="E14" s="18" t="n">
        <f aca="false">SUMIFS(planilha!$M$2:$M$9,planilha!$A$2:$A$9,DATE(YEAR(utilizacao!A14),MONTH(utilizacao!A14)-1,DAY(utilizacao!A14)))</f>
        <v>12949.45</v>
      </c>
    </row>
    <row r="15" customFormat="false" ht="12.8" hidden="false" customHeight="false" outlineLevel="0" collapsed="false">
      <c r="A15" s="1" t="n">
        <v>43556</v>
      </c>
      <c r="B15" s="1" t="n">
        <v>43570</v>
      </c>
      <c r="C15" s="1" t="s">
        <v>33</v>
      </c>
      <c r="D15" s="15" t="n">
        <v>0</v>
      </c>
    </row>
    <row r="16" customFormat="false" ht="12.8" hidden="false" customHeight="false" outlineLevel="0" collapsed="false">
      <c r="A16" s="1" t="n">
        <v>43556</v>
      </c>
      <c r="B16" s="1" t="n">
        <v>43555</v>
      </c>
      <c r="C16" s="1" t="s">
        <v>35</v>
      </c>
      <c r="D16" s="15" t="n">
        <v>36.33</v>
      </c>
      <c r="E16" s="19"/>
      <c r="F16" s="19"/>
    </row>
    <row r="17" customFormat="false" ht="12.8" hidden="false" customHeight="false" outlineLevel="0" collapsed="false">
      <c r="A17" s="1" t="n">
        <v>43556</v>
      </c>
      <c r="B17" s="1" t="n">
        <v>43585</v>
      </c>
      <c r="C17" s="1" t="s">
        <v>33</v>
      </c>
      <c r="D17" s="15" t="n">
        <v>3285.89</v>
      </c>
      <c r="F17" s="19"/>
    </row>
    <row r="18" customFormat="false" ht="12.8" hidden="false" customHeight="false" outlineLevel="0" collapsed="false">
      <c r="A18" s="1" t="n">
        <v>43556</v>
      </c>
      <c r="B18" s="1" t="n">
        <v>43575</v>
      </c>
      <c r="C18" s="1" t="s">
        <v>36</v>
      </c>
      <c r="D18" s="15" t="n">
        <v>0</v>
      </c>
    </row>
    <row r="19" customFormat="false" ht="12.8" hidden="false" customHeight="false" outlineLevel="0" collapsed="false">
      <c r="A19" s="16" t="n">
        <v>43586</v>
      </c>
      <c r="B19" s="16" t="n">
        <v>43585</v>
      </c>
      <c r="C19" s="16" t="s">
        <v>32</v>
      </c>
      <c r="D19" s="17" t="n">
        <f aca="false">SUMIFS(planilha!$H$2:$H$9,planilha!$A$2:$A$9,DATE(YEAR(utilizacao!A19),MONTH(utilizacao!A19)-1,DAY(utilizacao!A19)))</f>
        <v>3803.55</v>
      </c>
      <c r="E19" s="18" t="n">
        <f aca="false">SUMIFS(planilha!$M$2:$M$9,planilha!$A$2:$A$9,DATE(YEAR(utilizacao!A19),MONTH(utilizacao!A19)-1,DAY(utilizacao!A19)))</f>
        <v>6319.14</v>
      </c>
    </row>
    <row r="20" customFormat="false" ht="12.8" hidden="false" customHeight="false" outlineLevel="0" collapsed="false">
      <c r="A20" s="1" t="n">
        <v>43586</v>
      </c>
      <c r="B20" s="1" t="n">
        <v>43600</v>
      </c>
      <c r="C20" s="1" t="s">
        <v>33</v>
      </c>
      <c r="D20" s="15" t="n">
        <v>4245</v>
      </c>
      <c r="F20" s="5"/>
      <c r="G20" s="5"/>
    </row>
    <row r="21" customFormat="false" ht="12.8" hidden="false" customHeight="false" outlineLevel="0" collapsed="false">
      <c r="A21" s="1" t="n">
        <v>43586</v>
      </c>
      <c r="B21" s="1" t="n">
        <v>43616</v>
      </c>
      <c r="C21" s="1" t="s">
        <v>33</v>
      </c>
      <c r="D21" s="15" t="n">
        <v>3207.28</v>
      </c>
      <c r="F21" s="5"/>
    </row>
    <row r="22" customFormat="false" ht="12.8" hidden="false" customHeight="false" outlineLevel="0" collapsed="false">
      <c r="A22" s="1" t="n">
        <v>43586</v>
      </c>
      <c r="B22" s="1" t="n">
        <v>43616</v>
      </c>
      <c r="C22" s="1" t="s">
        <v>37</v>
      </c>
      <c r="D22" s="15" t="n">
        <v>0.32</v>
      </c>
      <c r="F22" s="5"/>
    </row>
    <row r="23" customFormat="false" ht="12.8" hidden="false" customHeight="false" outlineLevel="0" collapsed="false">
      <c r="A23" s="16" t="n">
        <v>43617</v>
      </c>
      <c r="B23" s="16" t="n">
        <v>43616</v>
      </c>
      <c r="C23" s="16" t="s">
        <v>32</v>
      </c>
      <c r="D23" s="17" t="n">
        <f aca="false">SUMIFS(planilha!$H$2:$H$9,planilha!$A$2:$A$9,DATE(YEAR(utilizacao!A23),MONTH(utilizacao!A23)-1,DAY(utilizacao!A23)))</f>
        <v>891.359999999999</v>
      </c>
      <c r="E23" s="18" t="n">
        <f aca="false">SUMIFS(planilha!$M$2:$M$9,planilha!$A$2:$A$9,DATE(YEAR(utilizacao!A23),MONTH(utilizacao!A23)-1,DAY(utilizacao!A23)))</f>
        <v>5884.77</v>
      </c>
    </row>
    <row r="24" customFormat="false" ht="12.8" hidden="false" customHeight="false" outlineLevel="0" collapsed="false">
      <c r="A24" s="1" t="n">
        <v>43617</v>
      </c>
      <c r="B24" s="1" t="n">
        <v>43631</v>
      </c>
      <c r="C24" s="1" t="s">
        <v>33</v>
      </c>
      <c r="D24" s="15" t="n">
        <v>4245</v>
      </c>
      <c r="F24" s="5"/>
    </row>
    <row r="25" customFormat="false" ht="12.8" hidden="false" customHeight="false" outlineLevel="0" collapsed="false">
      <c r="A25" s="1" t="n">
        <v>43617</v>
      </c>
      <c r="B25" s="1" t="n">
        <v>43623</v>
      </c>
      <c r="C25" s="1" t="s">
        <v>38</v>
      </c>
      <c r="D25" s="15" t="n">
        <v>735.27</v>
      </c>
      <c r="F25" s="5"/>
    </row>
    <row r="26" customFormat="false" ht="12.8" hidden="false" customHeight="false" outlineLevel="0" collapsed="false">
      <c r="A26" s="1" t="n">
        <v>43617</v>
      </c>
      <c r="B26" s="1" t="n">
        <v>43646</v>
      </c>
      <c r="C26" s="1" t="s">
        <v>33</v>
      </c>
      <c r="D26" s="15" t="n">
        <v>3288.59</v>
      </c>
    </row>
    <row r="27" customFormat="false" ht="12.8" hidden="false" customHeight="false" outlineLevel="0" collapsed="false">
      <c r="A27" s="16" t="n">
        <v>43647</v>
      </c>
      <c r="B27" s="16" t="n">
        <v>43646</v>
      </c>
      <c r="C27" s="16" t="s">
        <v>32</v>
      </c>
      <c r="D27" s="17" t="n">
        <f aca="false">SUMIFS(planilha!$H$2:$H$9,planilha!$A$2:$A$9,DATE(YEAR(utilizacao!A27),MONTH(utilizacao!A27)-1,DAY(utilizacao!A27)))</f>
        <v>4404.71</v>
      </c>
      <c r="E27" s="18" t="n">
        <f aca="false">SUMIFS(planilha!$M$2:$M$9,planilha!$A$2:$A$9,DATE(YEAR(utilizacao!A27),MONTH(utilizacao!A27)-1,DAY(utilizacao!A27)))</f>
        <v>4878.29</v>
      </c>
    </row>
    <row r="28" customFormat="false" ht="12.8" hidden="false" customHeight="false" outlineLevel="0" collapsed="false">
      <c r="A28" s="1" t="n">
        <v>43647</v>
      </c>
      <c r="B28" s="1" t="n">
        <v>43661</v>
      </c>
      <c r="C28" s="1" t="s">
        <v>33</v>
      </c>
      <c r="D28" s="15" t="n">
        <v>4245</v>
      </c>
    </row>
    <row r="29" customFormat="false" ht="12.8" hidden="false" customHeight="false" outlineLevel="0" collapsed="false">
      <c r="A29" s="1" t="n">
        <v>43647</v>
      </c>
      <c r="B29" s="1" t="n">
        <v>43661</v>
      </c>
      <c r="C29" s="1" t="s">
        <v>39</v>
      </c>
      <c r="D29" s="15" t="n">
        <v>1959.56</v>
      </c>
    </row>
    <row r="30" customFormat="false" ht="12.8" hidden="false" customHeight="false" outlineLevel="0" collapsed="false">
      <c r="A30" s="1" t="n">
        <v>43647</v>
      </c>
      <c r="B30" s="1" t="n">
        <v>43648</v>
      </c>
      <c r="C30" s="1" t="s">
        <v>40</v>
      </c>
      <c r="D30" s="15" t="n">
        <v>35</v>
      </c>
    </row>
    <row r="31" customFormat="false" ht="12.8" hidden="false" customHeight="false" outlineLevel="0" collapsed="false">
      <c r="A31" s="1" t="n">
        <v>43647</v>
      </c>
      <c r="B31" s="1" t="n">
        <v>43665</v>
      </c>
      <c r="C31" s="1" t="s">
        <v>41</v>
      </c>
      <c r="D31" s="15" t="n">
        <v>50</v>
      </c>
    </row>
    <row r="32" customFormat="false" ht="12.8" hidden="false" customHeight="false" outlineLevel="0" collapsed="false">
      <c r="A32" s="1" t="n">
        <v>43647</v>
      </c>
      <c r="B32" s="1" t="n">
        <v>43677</v>
      </c>
      <c r="C32" s="1" t="s">
        <v>33</v>
      </c>
      <c r="D32" s="15" t="n">
        <v>3049.9</v>
      </c>
      <c r="F32" s="19"/>
    </row>
    <row r="33" customFormat="false" ht="12.8" hidden="false" customHeight="false" outlineLevel="0" collapsed="false">
      <c r="A33" s="16" t="n">
        <v>43678</v>
      </c>
      <c r="B33" s="16" t="n">
        <v>43677</v>
      </c>
      <c r="C33" s="16" t="s">
        <v>32</v>
      </c>
      <c r="D33" s="17" t="n">
        <f aca="false">SUMIFS(planilha!$H$2:$H$9,planilha!$A$2:$A$9,DATE(YEAR(utilizacao!A33),MONTH(utilizacao!A33)-1,DAY(utilizacao!A33)))</f>
        <v>1214.94</v>
      </c>
      <c r="E33" s="18" t="n">
        <f aca="false">SUMIFS(planilha!$M$2:$M$9,planilha!$A$2:$A$9,DATE(YEAR(utilizacao!A33),MONTH(utilizacao!A33)-1,DAY(utilizacao!A33)))</f>
        <v>9610.63</v>
      </c>
    </row>
    <row r="34" customFormat="false" ht="12.8" hidden="false" customHeight="false" outlineLevel="0" collapsed="false">
      <c r="A34" s="1" t="n">
        <v>43678</v>
      </c>
      <c r="B34" s="1" t="n">
        <v>43692</v>
      </c>
      <c r="C34" s="1" t="s">
        <v>33</v>
      </c>
      <c r="D34" s="19" t="n">
        <v>4245</v>
      </c>
    </row>
    <row r="35" customFormat="false" ht="12.8" hidden="false" customHeight="false" outlineLevel="0" collapsed="false">
      <c r="A35" s="1" t="n">
        <v>43678</v>
      </c>
      <c r="B35" s="1" t="n">
        <v>43708</v>
      </c>
      <c r="C35" s="1" t="s">
        <v>33</v>
      </c>
      <c r="D35" s="15" t="n">
        <v>3119.39</v>
      </c>
    </row>
    <row r="36" customFormat="false" ht="12.8" hidden="false" customHeight="false" outlineLevel="0" collapsed="false">
      <c r="A36" s="1" t="n">
        <v>43678</v>
      </c>
      <c r="B36" s="1" t="n">
        <v>43640</v>
      </c>
      <c r="C36" s="1" t="s">
        <v>42</v>
      </c>
      <c r="D36" s="15" t="n">
        <v>300.43</v>
      </c>
    </row>
    <row r="37" customFormat="false" ht="12.8" hidden="false" customHeight="false" outlineLevel="0" collapsed="false">
      <c r="A37" s="16" t="n">
        <v>43709</v>
      </c>
      <c r="B37" s="16" t="n">
        <v>43708</v>
      </c>
      <c r="C37" s="16" t="s">
        <v>32</v>
      </c>
      <c r="D37" s="17" t="n">
        <f aca="false">SUMIFS(planilha!$H$2:$H$9,planilha!$A$2:$A$9,DATE(YEAR(utilizacao!A37),MONTH(utilizacao!A37)-1,DAY(utilizacao!A37)))</f>
        <v>2597.76</v>
      </c>
      <c r="E37" s="18" t="n">
        <f aca="false">SUMIFS(planilha!$M$2:$M$9,planilha!$A$2:$A$9,DATE(YEAR(utilizacao!A37),MONTH(utilizacao!A37)-1,DAY(utilizacao!A37)))</f>
        <v>5023.2</v>
      </c>
    </row>
    <row r="38" customFormat="false" ht="12.8" hidden="false" customHeight="false" outlineLevel="0" collapsed="false">
      <c r="A38" s="1" t="n">
        <v>43709</v>
      </c>
      <c r="B38" s="1" t="n">
        <v>43723</v>
      </c>
      <c r="C38" s="1" t="s">
        <v>33</v>
      </c>
      <c r="D38" s="15" t="n">
        <v>4245</v>
      </c>
    </row>
    <row r="39" customFormat="false" ht="12.8" hidden="false" customHeight="false" outlineLevel="0" collapsed="false">
      <c r="A39" s="1" t="n">
        <v>43709</v>
      </c>
      <c r="B39" s="1" t="n">
        <v>43733</v>
      </c>
      <c r="C39" s="1" t="s">
        <v>43</v>
      </c>
      <c r="D39" s="15" t="n">
        <v>122.76</v>
      </c>
    </row>
    <row r="40" customFormat="false" ht="12.8" hidden="false" customHeight="false" outlineLevel="0" collapsed="false">
      <c r="A40" s="1" t="n">
        <v>43709</v>
      </c>
      <c r="B40" s="1" t="n">
        <v>43738</v>
      </c>
      <c r="C40" s="1" t="s">
        <v>33</v>
      </c>
      <c r="D40" s="15" t="n">
        <v>5638.41</v>
      </c>
    </row>
    <row r="41" customFormat="false" ht="12.8" hidden="false" customHeight="false" outlineLevel="0" collapsed="false">
      <c r="A41" s="16" t="n">
        <v>43739</v>
      </c>
      <c r="B41" s="16" t="n">
        <v>43738</v>
      </c>
      <c r="C41" s="16" t="s">
        <v>32</v>
      </c>
      <c r="D41" s="17" t="n">
        <f aca="false">SUMIFS(planilha!$H$2:$H$13,planilha!$A$2:$A$13,DATE(YEAR(utilizacao!A41),MONTH(utilizacao!A41)-1,DAY(utilizacao!A41)))</f>
        <v>3164.78000000001</v>
      </c>
      <c r="E41" s="18" t="n">
        <f aca="false">SUMIFS(planilha!$M$2:$M$13,planilha!$A$2:$A$13,DATE(YEAR(utilizacao!A41),MONTH(utilizacao!A41)-1,DAY(utilizacao!A41)))</f>
        <v>8802.96</v>
      </c>
    </row>
    <row r="42" customFormat="false" ht="12.8" hidden="false" customHeight="false" outlineLevel="0" collapsed="false">
      <c r="A42" s="1" t="n">
        <v>43739</v>
      </c>
      <c r="B42" s="1" t="n">
        <v>43753</v>
      </c>
      <c r="C42" s="1" t="s">
        <v>33</v>
      </c>
      <c r="D42" s="15" t="n">
        <v>4390</v>
      </c>
    </row>
    <row r="43" customFormat="false" ht="12.8" hidden="false" customHeight="false" outlineLevel="0" collapsed="false">
      <c r="A43" s="1" t="n">
        <v>43739</v>
      </c>
      <c r="B43" s="1" t="n">
        <v>43769</v>
      </c>
      <c r="C43" s="1" t="s">
        <v>33</v>
      </c>
      <c r="D43" s="15" t="n">
        <v>2866.87</v>
      </c>
    </row>
    <row r="44" customFormat="false" ht="12.8" hidden="false" customHeight="false" outlineLevel="0" collapsed="false">
      <c r="A44" s="16" t="n">
        <v>43770</v>
      </c>
      <c r="B44" s="16" t="n">
        <v>43769</v>
      </c>
      <c r="C44" s="16" t="s">
        <v>32</v>
      </c>
      <c r="D44" s="17" t="n">
        <f aca="false">SUMIFS(planilha!$H$2:$H$13,planilha!$A$2:$A$13,DATE(YEAR(utilizacao!A44),MONTH(utilizacao!A44)-1,DAY(utilizacao!A44)))</f>
        <v>2313.01000000001</v>
      </c>
      <c r="E44" s="18" t="n">
        <f aca="false">SUMIFS(planilha!$M$2:$M$13,planilha!$A$2:$A$13,DATE(YEAR(utilizacao!A44),MONTH(utilizacao!A44)-1,DAY(utilizacao!A44)))</f>
        <v>7123.88000000001</v>
      </c>
    </row>
    <row r="45" customFormat="false" ht="12.8" hidden="false" customHeight="false" outlineLevel="0" collapsed="false">
      <c r="A45" s="1" t="n">
        <v>43770</v>
      </c>
      <c r="B45" s="1" t="n">
        <v>43784</v>
      </c>
      <c r="C45" s="1" t="s">
        <v>33</v>
      </c>
      <c r="D45" s="15" t="n">
        <v>4390</v>
      </c>
    </row>
    <row r="46" customFormat="false" ht="12.8" hidden="false" customHeight="false" outlineLevel="0" collapsed="false">
      <c r="A46" s="1" t="n">
        <v>43770</v>
      </c>
      <c r="B46" s="1" t="n">
        <v>43799</v>
      </c>
      <c r="C46" s="1" t="s">
        <v>33</v>
      </c>
      <c r="D46" s="15" t="n">
        <v>3064.46</v>
      </c>
      <c r="F46" s="15"/>
    </row>
    <row r="47" customFormat="false" ht="12.8" hidden="false" customHeight="false" outlineLevel="0" collapsed="false">
      <c r="A47" s="16" t="n">
        <v>43800</v>
      </c>
      <c r="B47" s="16" t="n">
        <v>43799</v>
      </c>
      <c r="C47" s="16" t="s">
        <v>32</v>
      </c>
      <c r="D47" s="17" t="n">
        <f aca="false">SUMIFS(planilha!$H$2:$H$13,planilha!$A$2:$A$13,DATE(YEAR(utilizacao!A47),MONTH(utilizacao!A47)-1,DAY(utilizacao!A47)))</f>
        <v>94.4100000000162</v>
      </c>
      <c r="E47" s="18" t="n">
        <f aca="false">SUMIFS(planilha!$M$2:$M$13,planilha!$A$2:$A$13,DATE(YEAR(utilizacao!A47),MONTH(utilizacao!A47)-1,DAY(utilizacao!A47)))</f>
        <v>5015.74000000001</v>
      </c>
    </row>
    <row r="48" customFormat="false" ht="12.8" hidden="false" customHeight="false" outlineLevel="0" collapsed="false">
      <c r="A48" s="1" t="n">
        <v>43800</v>
      </c>
      <c r="B48" s="1" t="n">
        <v>43814</v>
      </c>
      <c r="C48" s="1" t="s">
        <v>33</v>
      </c>
      <c r="D48" s="15" t="n">
        <v>4390</v>
      </c>
    </row>
    <row r="49" customFormat="false" ht="12.8" hidden="false" customHeight="false" outlineLevel="0" collapsed="false">
      <c r="A49" s="1" t="n">
        <v>43800</v>
      </c>
      <c r="B49" s="1" t="n">
        <v>43814</v>
      </c>
      <c r="C49" s="1" t="s">
        <v>44</v>
      </c>
      <c r="D49" s="15" t="n">
        <v>6000</v>
      </c>
    </row>
    <row r="50" customFormat="false" ht="12.8" hidden="false" customHeight="false" outlineLevel="0" collapsed="false">
      <c r="A50" s="1" t="n">
        <v>43800</v>
      </c>
      <c r="B50" s="1" t="n">
        <v>43797</v>
      </c>
      <c r="C50" s="1" t="s">
        <v>45</v>
      </c>
      <c r="D50" s="15" t="n">
        <v>0</v>
      </c>
      <c r="F50" s="15"/>
    </row>
    <row r="51" customFormat="false" ht="12.8" hidden="false" customHeight="false" outlineLevel="0" collapsed="false">
      <c r="A51" s="1" t="n">
        <v>43800</v>
      </c>
      <c r="B51" s="1" t="n">
        <v>43798</v>
      </c>
      <c r="C51" s="1" t="s">
        <v>46</v>
      </c>
      <c r="D51" s="15" t="n">
        <v>1180</v>
      </c>
      <c r="F51" s="15"/>
    </row>
    <row r="52" customFormat="false" ht="12.8" hidden="false" customHeight="false" outlineLevel="0" collapsed="false">
      <c r="A52" s="20" t="n">
        <v>43800</v>
      </c>
      <c r="B52" s="20" t="n">
        <v>43819</v>
      </c>
      <c r="C52" s="20" t="s">
        <v>47</v>
      </c>
      <c r="D52" s="21" t="n">
        <v>350</v>
      </c>
      <c r="E52" s="22"/>
      <c r="F52" s="21"/>
      <c r="G52" s="22" t="n">
        <v>50</v>
      </c>
      <c r="H52" s="22" t="n">
        <v>50</v>
      </c>
      <c r="I52" s="22" t="n">
        <v>150</v>
      </c>
      <c r="J52" s="22" t="n">
        <v>100</v>
      </c>
      <c r="K52" s="22" t="n">
        <v>50</v>
      </c>
    </row>
    <row r="53" customFormat="false" ht="12.8" hidden="false" customHeight="false" outlineLevel="0" collapsed="false">
      <c r="A53" s="1" t="n">
        <v>43800</v>
      </c>
      <c r="B53" s="1" t="n">
        <v>43822</v>
      </c>
      <c r="C53" s="1" t="s">
        <v>35</v>
      </c>
      <c r="D53" s="15" t="n">
        <v>40</v>
      </c>
      <c r="F53" s="15"/>
      <c r="G53" s="0" t="n">
        <v>10</v>
      </c>
      <c r="H53" s="0" t="n">
        <v>5</v>
      </c>
      <c r="I53" s="0" t="n">
        <v>5</v>
      </c>
      <c r="J53" s="0" t="n">
        <v>10</v>
      </c>
      <c r="K53" s="0" t="n">
        <v>5</v>
      </c>
      <c r="L53" s="0" t="n">
        <v>5</v>
      </c>
    </row>
    <row r="54" customFormat="false" ht="12.8" hidden="false" customHeight="false" outlineLevel="0" collapsed="false">
      <c r="A54" s="1" t="n">
        <v>43800</v>
      </c>
      <c r="B54" s="1" t="n">
        <v>43830</v>
      </c>
      <c r="C54" s="1" t="s">
        <v>33</v>
      </c>
      <c r="D54" s="15" t="n">
        <v>0</v>
      </c>
    </row>
    <row r="55" customFormat="false" ht="12.8" hidden="false" customHeight="false" outlineLevel="0" collapsed="false">
      <c r="A55" s="1" t="n">
        <v>43800</v>
      </c>
      <c r="B55" s="1" t="n">
        <v>43829</v>
      </c>
      <c r="C55" s="1" t="s">
        <v>33</v>
      </c>
      <c r="D55" s="15" t="n">
        <v>125.97</v>
      </c>
      <c r="F55" s="15"/>
    </row>
    <row r="56" customFormat="false" ht="12.8" hidden="false" customHeight="false" outlineLevel="0" collapsed="false">
      <c r="A56" s="16" t="n">
        <v>43831</v>
      </c>
      <c r="B56" s="16" t="n">
        <v>43830</v>
      </c>
      <c r="C56" s="16" t="s">
        <v>32</v>
      </c>
      <c r="D56" s="17" t="n">
        <f aca="false">SUMIFS(planilha!$H$2:$H$13,planilha!$A$2:$A$13,DATE(YEAR(utilizacao!A56),MONTH(utilizacao!A56)-1,DAY(utilizacao!A56)))</f>
        <v>1271.83000000001</v>
      </c>
      <c r="E56" s="18" t="n">
        <f aca="false">SUMIFS(planilha!$M$2:$M$13,planilha!$A$2:$A$13,DATE(YEAR(utilizacao!A56),MONTH(utilizacao!A56)-1,DAY(utilizacao!A56)))</f>
        <v>8444.20000000001</v>
      </c>
      <c r="F56" s="0" t="n">
        <v>2740.74</v>
      </c>
      <c r="G56" s="12" t="n">
        <f aca="false">F56-D56</f>
        <v>1468.90999999999</v>
      </c>
    </row>
    <row r="57" customFormat="false" ht="12.8" hidden="false" customHeight="false" outlineLevel="0" collapsed="false">
      <c r="A57" s="1"/>
      <c r="B57" s="1"/>
      <c r="C57" s="1"/>
      <c r="D57" s="15"/>
    </row>
    <row r="58" customFormat="false" ht="12.8" hidden="false" customHeight="false" outlineLevel="0" collapsed="false">
      <c r="A58" s="16"/>
      <c r="B58" s="16"/>
      <c r="C58" s="16"/>
      <c r="D58" s="17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153"/>
  <sheetViews>
    <sheetView showFormulas="false" showGridLines="true" showRowColHeaders="true" showZeros="true" rightToLeft="false" tabSelected="false" showOutlineSymbols="true" defaultGridColor="true" view="normal" topLeftCell="A1126" colorId="64" zoomScale="100" zoomScaleNormal="100" zoomScalePageLayoutView="100" workbookViewId="0">
      <selection pane="topLeft" activeCell="B1073" activeCellId="1" sqref="A1:I15 B1073"/>
    </sheetView>
  </sheetViews>
  <sheetFormatPr defaultRowHeight="12.8" zeroHeight="false" outlineLevelRow="0" outlineLevelCol="0"/>
  <cols>
    <col collapsed="false" customWidth="true" hidden="false" outlineLevel="0" max="1" min="1" style="0" width="37.86"/>
    <col collapsed="false" customWidth="true" hidden="false" outlineLevel="0" max="2" min="2" style="23" width="13.86"/>
    <col collapsed="false" customWidth="true" hidden="false" outlineLevel="0" max="3" min="3" style="0" width="10.29"/>
    <col collapsed="false" customWidth="true" hidden="false" outlineLevel="0" max="4" min="4" style="0" width="14.57"/>
    <col collapsed="false" customWidth="true" hidden="false" outlineLevel="0" max="5" min="5" style="0" width="10.58"/>
    <col collapsed="false" customWidth="true" hidden="false" outlineLevel="0" max="6" min="6" style="0" width="11.71"/>
    <col collapsed="false" customWidth="true" hidden="false" outlineLevel="0" max="7" min="7" style="24" width="11.71"/>
    <col collapsed="false" customWidth="true" hidden="false" outlineLevel="0" max="8" min="8" style="24" width="13.63"/>
    <col collapsed="false" customWidth="true" hidden="false" outlineLevel="0" max="9" min="9" style="0" width="18"/>
    <col collapsed="false" customWidth="true" hidden="false" outlineLevel="0" max="10" min="10" style="0" width="18.58"/>
    <col collapsed="false" customWidth="true" hidden="false" outlineLevel="0" max="11" min="11" style="0" width="11.14"/>
    <col collapsed="false" customWidth="true" hidden="false" outlineLevel="0" max="1025" min="12" style="0" width="10.29"/>
  </cols>
  <sheetData>
    <row r="1" customFormat="false" ht="12.8" hidden="false" customHeight="false" outlineLevel="0" collapsed="false">
      <c r="A1" s="25" t="s">
        <v>48</v>
      </c>
      <c r="B1" s="26" t="s">
        <v>49</v>
      </c>
      <c r="C1" s="25" t="s">
        <v>50</v>
      </c>
      <c r="D1" s="25" t="s">
        <v>51</v>
      </c>
      <c r="E1" s="25" t="s">
        <v>52</v>
      </c>
      <c r="F1" s="25" t="s">
        <v>53</v>
      </c>
      <c r="G1" s="24" t="s">
        <v>54</v>
      </c>
      <c r="H1" s="27" t="s">
        <v>55</v>
      </c>
      <c r="I1" s="25" t="s">
        <v>56</v>
      </c>
      <c r="J1" s="25"/>
    </row>
    <row r="2" customFormat="false" ht="12.8" hidden="false" customHeight="false" outlineLevel="0" collapsed="false">
      <c r="A2" s="28" t="s">
        <v>57</v>
      </c>
      <c r="B2" s="29" t="n">
        <v>74.65</v>
      </c>
      <c r="C2" s="28" t="n">
        <v>1</v>
      </c>
      <c r="D2" s="28" t="n">
        <v>0</v>
      </c>
      <c r="E2" s="28" t="n">
        <v>0</v>
      </c>
      <c r="F2" s="28" t="n">
        <v>0</v>
      </c>
      <c r="G2" s="30" t="n">
        <v>43466</v>
      </c>
      <c r="H2" s="30" t="n">
        <v>43468</v>
      </c>
      <c r="I2" s="28" t="s">
        <v>58</v>
      </c>
    </row>
    <row r="3" customFormat="false" ht="12.8" hidden="false" customHeight="false" outlineLevel="0" collapsed="false">
      <c r="A3" s="28" t="s">
        <v>59</v>
      </c>
      <c r="B3" s="29" t="n">
        <v>310.22</v>
      </c>
      <c r="C3" s="28" t="n">
        <v>1</v>
      </c>
      <c r="D3" s="28" t="n">
        <v>0</v>
      </c>
      <c r="E3" s="28" t="n">
        <v>0</v>
      </c>
      <c r="F3" s="28" t="n">
        <v>0</v>
      </c>
      <c r="G3" s="30" t="n">
        <v>43466</v>
      </c>
      <c r="H3" s="30" t="n">
        <v>43483</v>
      </c>
      <c r="I3" s="28" t="s">
        <v>60</v>
      </c>
    </row>
    <row r="4" customFormat="false" ht="12.8" hidden="false" customHeight="false" outlineLevel="0" collapsed="false">
      <c r="A4" s="28" t="s">
        <v>61</v>
      </c>
      <c r="B4" s="29" t="n">
        <v>1468.59</v>
      </c>
      <c r="C4" s="28" t="n">
        <v>1</v>
      </c>
      <c r="D4" s="28" t="n">
        <v>0</v>
      </c>
      <c r="E4" s="28" t="n">
        <v>0</v>
      </c>
      <c r="F4" s="28" t="n">
        <v>0</v>
      </c>
      <c r="G4" s="30" t="n">
        <v>43466</v>
      </c>
      <c r="H4" s="30" t="n">
        <v>43476</v>
      </c>
      <c r="I4" s="28" t="s">
        <v>60</v>
      </c>
    </row>
    <row r="5" customFormat="false" ht="12.8" hidden="false" customHeight="false" outlineLevel="0" collapsed="false">
      <c r="A5" s="28" t="s">
        <v>62</v>
      </c>
      <c r="B5" s="29" t="n">
        <v>6.18</v>
      </c>
      <c r="C5" s="28" t="n">
        <v>1</v>
      </c>
      <c r="D5" s="28" t="n">
        <v>0</v>
      </c>
      <c r="E5" s="28" t="n">
        <v>0</v>
      </c>
      <c r="F5" s="28" t="n">
        <v>0</v>
      </c>
      <c r="G5" s="30" t="n">
        <v>43466</v>
      </c>
      <c r="H5" s="30" t="n">
        <v>43475</v>
      </c>
      <c r="I5" s="28" t="s">
        <v>58</v>
      </c>
    </row>
    <row r="6" customFormat="false" ht="12.8" hidden="false" customHeight="false" outlineLevel="0" collapsed="false">
      <c r="A6" s="28" t="s">
        <v>63</v>
      </c>
      <c r="B6" s="29" t="n">
        <v>75</v>
      </c>
      <c r="C6" s="28" t="n">
        <v>1</v>
      </c>
      <c r="D6" s="28" t="n">
        <v>0</v>
      </c>
      <c r="E6" s="28" t="n">
        <v>0</v>
      </c>
      <c r="F6" s="28" t="n">
        <v>0</v>
      </c>
      <c r="G6" s="30" t="n">
        <v>43466</v>
      </c>
      <c r="H6" s="30" t="n">
        <v>43480</v>
      </c>
      <c r="I6" s="28" t="s">
        <v>64</v>
      </c>
    </row>
    <row r="7" customFormat="false" ht="12.8" hidden="false" customHeight="false" outlineLevel="0" collapsed="false">
      <c r="A7" s="31" t="s">
        <v>65</v>
      </c>
      <c r="B7" s="32" t="n">
        <v>3000</v>
      </c>
      <c r="C7" s="31" t="n">
        <v>1</v>
      </c>
      <c r="D7" s="31" t="n">
        <v>0</v>
      </c>
      <c r="E7" s="31" t="n">
        <v>1</v>
      </c>
      <c r="F7" s="28" t="n">
        <v>0</v>
      </c>
      <c r="G7" s="33" t="n">
        <v>43466</v>
      </c>
      <c r="H7" s="33" t="n">
        <v>43496</v>
      </c>
      <c r="I7" s="31" t="s">
        <v>66</v>
      </c>
    </row>
    <row r="8" customFormat="false" ht="12.8" hidden="false" customHeight="false" outlineLevel="0" collapsed="false">
      <c r="A8" s="28" t="s">
        <v>67</v>
      </c>
      <c r="B8" s="29" t="n">
        <v>1035</v>
      </c>
      <c r="C8" s="28" t="n">
        <v>1</v>
      </c>
      <c r="D8" s="28" t="n">
        <v>0</v>
      </c>
      <c r="E8" s="28" t="n">
        <v>0</v>
      </c>
      <c r="F8" s="28" t="n">
        <v>0</v>
      </c>
      <c r="G8" s="30" t="n">
        <v>43466</v>
      </c>
      <c r="H8" s="30" t="n">
        <v>43466</v>
      </c>
      <c r="I8" s="28" t="s">
        <v>68</v>
      </c>
    </row>
    <row r="9" customFormat="false" ht="12.8" hidden="false" customHeight="false" outlineLevel="0" collapsed="false">
      <c r="A9" s="28" t="s">
        <v>69</v>
      </c>
      <c r="B9" s="29" t="n">
        <v>100</v>
      </c>
      <c r="C9" s="28" t="n">
        <v>1</v>
      </c>
      <c r="D9" s="28" t="n">
        <v>0</v>
      </c>
      <c r="E9" s="28" t="n">
        <v>0</v>
      </c>
      <c r="F9" s="28" t="n">
        <v>0</v>
      </c>
      <c r="G9" s="30" t="n">
        <v>43466</v>
      </c>
      <c r="H9" s="30" t="n">
        <v>43467</v>
      </c>
      <c r="I9" s="28" t="s">
        <v>70</v>
      </c>
    </row>
    <row r="10" customFormat="false" ht="12.8" hidden="false" customHeight="false" outlineLevel="0" collapsed="false">
      <c r="A10" s="28" t="s">
        <v>71</v>
      </c>
      <c r="B10" s="29" t="n">
        <v>6</v>
      </c>
      <c r="C10" s="28" t="n">
        <v>1</v>
      </c>
      <c r="D10" s="28" t="n">
        <v>0</v>
      </c>
      <c r="E10" s="28" t="n">
        <v>0</v>
      </c>
      <c r="F10" s="28" t="n">
        <v>0</v>
      </c>
      <c r="G10" s="30" t="n">
        <v>43466</v>
      </c>
      <c r="H10" s="30" t="n">
        <v>43467</v>
      </c>
      <c r="I10" s="28" t="s">
        <v>72</v>
      </c>
    </row>
    <row r="11" customFormat="false" ht="12.8" hidden="false" customHeight="false" outlineLevel="0" collapsed="false">
      <c r="A11" s="28" t="s">
        <v>73</v>
      </c>
      <c r="B11" s="29" t="n">
        <v>34.9</v>
      </c>
      <c r="C11" s="28" t="n">
        <v>1</v>
      </c>
      <c r="D11" s="28" t="n">
        <v>0</v>
      </c>
      <c r="E11" s="28" t="n">
        <v>0</v>
      </c>
      <c r="F11" s="28" t="n">
        <v>0</v>
      </c>
      <c r="G11" s="30" t="n">
        <v>43466</v>
      </c>
      <c r="H11" s="30" t="n">
        <v>43467</v>
      </c>
      <c r="I11" s="28" t="s">
        <v>73</v>
      </c>
    </row>
    <row r="12" customFormat="false" ht="12.8" hidden="false" customHeight="false" outlineLevel="0" collapsed="false">
      <c r="A12" s="28" t="s">
        <v>74</v>
      </c>
      <c r="B12" s="29" t="n">
        <v>2.45</v>
      </c>
      <c r="C12" s="28" t="n">
        <v>1</v>
      </c>
      <c r="D12" s="28" t="n">
        <v>0</v>
      </c>
      <c r="E12" s="28" t="n">
        <v>0</v>
      </c>
      <c r="F12" s="28" t="n">
        <v>0</v>
      </c>
      <c r="G12" s="30" t="n">
        <v>43466</v>
      </c>
      <c r="H12" s="30" t="n">
        <v>43467</v>
      </c>
      <c r="I12" s="28" t="s">
        <v>72</v>
      </c>
    </row>
    <row r="13" customFormat="false" ht="12.8" hidden="false" customHeight="false" outlineLevel="0" collapsed="false">
      <c r="A13" s="28" t="s">
        <v>75</v>
      </c>
      <c r="B13" s="29" t="n">
        <v>240.59</v>
      </c>
      <c r="C13" s="28" t="n">
        <v>1</v>
      </c>
      <c r="D13" s="28" t="n">
        <v>0</v>
      </c>
      <c r="E13" s="28" t="n">
        <v>0</v>
      </c>
      <c r="F13" s="28" t="n">
        <v>0</v>
      </c>
      <c r="G13" s="30" t="n">
        <v>43466</v>
      </c>
      <c r="H13" s="30" t="n">
        <v>43483</v>
      </c>
      <c r="I13" s="28" t="s">
        <v>76</v>
      </c>
    </row>
    <row r="14" customFormat="false" ht="12.8" hidden="false" customHeight="false" outlineLevel="0" collapsed="false">
      <c r="A14" s="28" t="s">
        <v>77</v>
      </c>
      <c r="B14" s="29" t="n">
        <v>130.99</v>
      </c>
      <c r="C14" s="28" t="n">
        <v>1</v>
      </c>
      <c r="D14" s="28" t="n">
        <v>0</v>
      </c>
      <c r="E14" s="28" t="n">
        <v>0</v>
      </c>
      <c r="F14" s="28" t="n">
        <v>0</v>
      </c>
      <c r="G14" s="30" t="n">
        <v>43466</v>
      </c>
      <c r="H14" s="30" t="n">
        <v>43483</v>
      </c>
      <c r="I14" s="28" t="s">
        <v>60</v>
      </c>
    </row>
    <row r="15" customFormat="false" ht="12.8" hidden="false" customHeight="false" outlineLevel="0" collapsed="false">
      <c r="A15" s="28" t="s">
        <v>78</v>
      </c>
      <c r="B15" s="29" t="n">
        <v>228.12</v>
      </c>
      <c r="C15" s="28" t="n">
        <v>0</v>
      </c>
      <c r="D15" s="28" t="n">
        <v>1</v>
      </c>
      <c r="E15" s="28" t="n">
        <v>0</v>
      </c>
      <c r="F15" s="28" t="n">
        <v>0</v>
      </c>
      <c r="G15" s="30" t="n">
        <v>43466</v>
      </c>
      <c r="H15" s="30" t="n">
        <v>43468</v>
      </c>
      <c r="I15" s="28" t="s">
        <v>79</v>
      </c>
    </row>
    <row r="16" customFormat="false" ht="12.8" hidden="false" customHeight="false" outlineLevel="0" collapsed="false">
      <c r="A16" s="28" t="s">
        <v>80</v>
      </c>
      <c r="B16" s="29" t="n">
        <v>24.5</v>
      </c>
      <c r="C16" s="28" t="n">
        <v>0</v>
      </c>
      <c r="D16" s="28" t="n">
        <v>1</v>
      </c>
      <c r="E16" s="28" t="n">
        <v>0</v>
      </c>
      <c r="F16" s="28" t="n">
        <v>0</v>
      </c>
      <c r="G16" s="30" t="n">
        <v>43466</v>
      </c>
      <c r="H16" s="30" t="n">
        <v>43469</v>
      </c>
      <c r="I16" s="28" t="s">
        <v>81</v>
      </c>
    </row>
    <row r="17" customFormat="false" ht="12.8" hidden="false" customHeight="false" outlineLevel="0" collapsed="false">
      <c r="A17" s="28" t="s">
        <v>82</v>
      </c>
      <c r="B17" s="29" t="n">
        <v>8.5</v>
      </c>
      <c r="C17" s="28" t="n">
        <v>0</v>
      </c>
      <c r="D17" s="28" t="n">
        <v>1</v>
      </c>
      <c r="E17" s="28" t="n">
        <v>0</v>
      </c>
      <c r="F17" s="28" t="n">
        <v>0</v>
      </c>
      <c r="G17" s="30" t="n">
        <v>43466</v>
      </c>
      <c r="H17" s="30" t="n">
        <v>43470</v>
      </c>
      <c r="I17" s="28" t="s">
        <v>72</v>
      </c>
    </row>
    <row r="18" customFormat="false" ht="12.8" hidden="false" customHeight="false" outlineLevel="0" collapsed="false">
      <c r="A18" s="28" t="s">
        <v>83</v>
      </c>
      <c r="B18" s="29" t="n">
        <v>4.21</v>
      </c>
      <c r="C18" s="28" t="n">
        <v>0</v>
      </c>
      <c r="D18" s="28" t="n">
        <v>1</v>
      </c>
      <c r="E18" s="28" t="n">
        <v>0</v>
      </c>
      <c r="F18" s="28" t="n">
        <v>0</v>
      </c>
      <c r="G18" s="30" t="n">
        <v>43466</v>
      </c>
      <c r="H18" s="30" t="n">
        <v>43470</v>
      </c>
      <c r="I18" s="28" t="s">
        <v>84</v>
      </c>
    </row>
    <row r="19" customFormat="false" ht="12.8" hidden="false" customHeight="false" outlineLevel="0" collapsed="false">
      <c r="A19" s="28" t="s">
        <v>85</v>
      </c>
      <c r="B19" s="29" t="n">
        <v>55</v>
      </c>
      <c r="C19" s="28" t="n">
        <v>0</v>
      </c>
      <c r="D19" s="28" t="n">
        <v>1</v>
      </c>
      <c r="E19" s="28" t="n">
        <v>0</v>
      </c>
      <c r="F19" s="28" t="n">
        <v>0</v>
      </c>
      <c r="G19" s="30" t="n">
        <v>43466</v>
      </c>
      <c r="H19" s="30" t="n">
        <v>43470</v>
      </c>
      <c r="I19" s="28" t="s">
        <v>85</v>
      </c>
    </row>
    <row r="20" customFormat="false" ht="12.8" hidden="false" customHeight="false" outlineLevel="0" collapsed="false">
      <c r="A20" s="28" t="s">
        <v>35</v>
      </c>
      <c r="B20" s="29" t="n">
        <v>45</v>
      </c>
      <c r="C20" s="28" t="n">
        <v>0</v>
      </c>
      <c r="D20" s="28" t="n">
        <v>1</v>
      </c>
      <c r="E20" s="28" t="n">
        <v>0</v>
      </c>
      <c r="F20" s="28" t="n">
        <v>0</v>
      </c>
      <c r="G20" s="30" t="n">
        <v>43466</v>
      </c>
      <c r="H20" s="30" t="n">
        <v>43471</v>
      </c>
      <c r="I20" s="28" t="s">
        <v>81</v>
      </c>
    </row>
    <row r="21" customFormat="false" ht="12.8" hidden="false" customHeight="false" outlineLevel="0" collapsed="false">
      <c r="A21" s="28" t="s">
        <v>68</v>
      </c>
      <c r="B21" s="29" t="n">
        <v>20</v>
      </c>
      <c r="C21" s="28" t="n">
        <v>0</v>
      </c>
      <c r="D21" s="28" t="n">
        <v>1</v>
      </c>
      <c r="E21" s="28" t="n">
        <v>0</v>
      </c>
      <c r="F21" s="28" t="n">
        <v>0</v>
      </c>
      <c r="G21" s="30" t="n">
        <v>43466</v>
      </c>
      <c r="H21" s="30" t="n">
        <v>43471</v>
      </c>
      <c r="I21" s="28" t="s">
        <v>68</v>
      </c>
    </row>
    <row r="22" customFormat="false" ht="12.8" hidden="false" customHeight="false" outlineLevel="0" collapsed="false">
      <c r="A22" s="28" t="s">
        <v>73</v>
      </c>
      <c r="B22" s="29" t="n">
        <v>39.9</v>
      </c>
      <c r="C22" s="28" t="n">
        <v>0</v>
      </c>
      <c r="D22" s="28" t="n">
        <v>1</v>
      </c>
      <c r="E22" s="28" t="n">
        <v>0</v>
      </c>
      <c r="F22" s="28" t="n">
        <v>0</v>
      </c>
      <c r="G22" s="30" t="n">
        <v>43466</v>
      </c>
      <c r="H22" s="30" t="n">
        <v>43471</v>
      </c>
      <c r="I22" s="28" t="s">
        <v>73</v>
      </c>
    </row>
    <row r="23" customFormat="false" ht="12.8" hidden="false" customHeight="false" outlineLevel="0" collapsed="false">
      <c r="A23" s="28" t="s">
        <v>86</v>
      </c>
      <c r="B23" s="29" t="n">
        <v>39.79</v>
      </c>
      <c r="C23" s="28" t="n">
        <v>0</v>
      </c>
      <c r="D23" s="28" t="n">
        <v>1</v>
      </c>
      <c r="E23" s="28" t="n">
        <v>0</v>
      </c>
      <c r="F23" s="28" t="n">
        <v>0</v>
      </c>
      <c r="G23" s="30" t="n">
        <v>43466</v>
      </c>
      <c r="H23" s="30" t="n">
        <v>43471</v>
      </c>
      <c r="I23" s="28" t="s">
        <v>84</v>
      </c>
    </row>
    <row r="24" customFormat="false" ht="12.8" hidden="false" customHeight="false" outlineLevel="0" collapsed="false">
      <c r="A24" s="28" t="s">
        <v>74</v>
      </c>
      <c r="B24" s="29" t="n">
        <v>2.99</v>
      </c>
      <c r="C24" s="28" t="n">
        <v>0</v>
      </c>
      <c r="D24" s="28" t="n">
        <v>1</v>
      </c>
      <c r="E24" s="28" t="n">
        <v>0</v>
      </c>
      <c r="F24" s="28" t="n">
        <v>0</v>
      </c>
      <c r="G24" s="30" t="n">
        <v>43466</v>
      </c>
      <c r="H24" s="30" t="n">
        <v>43472</v>
      </c>
      <c r="I24" s="28" t="s">
        <v>72</v>
      </c>
    </row>
    <row r="25" customFormat="false" ht="12.8" hidden="false" customHeight="false" outlineLevel="0" collapsed="false">
      <c r="A25" s="28" t="s">
        <v>73</v>
      </c>
      <c r="B25" s="29" t="n">
        <v>39.8</v>
      </c>
      <c r="C25" s="28" t="n">
        <v>0</v>
      </c>
      <c r="D25" s="28" t="n">
        <v>1</v>
      </c>
      <c r="E25" s="28" t="n">
        <v>0</v>
      </c>
      <c r="F25" s="28" t="n">
        <v>0</v>
      </c>
      <c r="G25" s="30" t="n">
        <v>43466</v>
      </c>
      <c r="H25" s="30" t="n">
        <v>43470</v>
      </c>
      <c r="I25" s="28" t="s">
        <v>73</v>
      </c>
    </row>
    <row r="26" customFormat="false" ht="12.8" hidden="false" customHeight="false" outlineLevel="0" collapsed="false">
      <c r="A26" s="31" t="s">
        <v>87</v>
      </c>
      <c r="B26" s="32" t="n">
        <v>852.04</v>
      </c>
      <c r="C26" s="31" t="n">
        <v>0</v>
      </c>
      <c r="D26" s="31" t="n">
        <v>1</v>
      </c>
      <c r="E26" s="31" t="n">
        <v>0</v>
      </c>
      <c r="F26" s="28" t="n">
        <v>0</v>
      </c>
      <c r="G26" s="33" t="n">
        <v>43466</v>
      </c>
      <c r="H26" s="33" t="n">
        <v>43472</v>
      </c>
      <c r="I26" s="31" t="s">
        <v>88</v>
      </c>
    </row>
    <row r="27" customFormat="false" ht="12.8" hidden="false" customHeight="false" outlineLevel="0" collapsed="false">
      <c r="A27" s="28" t="s">
        <v>89</v>
      </c>
      <c r="B27" s="29" t="n">
        <v>68</v>
      </c>
      <c r="C27" s="28" t="n">
        <v>0</v>
      </c>
      <c r="D27" s="28" t="n">
        <v>1</v>
      </c>
      <c r="E27" s="28" t="n">
        <v>0</v>
      </c>
      <c r="F27" s="28" t="n">
        <v>0</v>
      </c>
      <c r="G27" s="30" t="n">
        <v>43466</v>
      </c>
      <c r="H27" s="30" t="n">
        <v>43473</v>
      </c>
      <c r="I27" s="28" t="s">
        <v>81</v>
      </c>
    </row>
    <row r="28" customFormat="false" ht="12.8" hidden="false" customHeight="false" outlineLevel="0" collapsed="false">
      <c r="A28" s="28" t="s">
        <v>90</v>
      </c>
      <c r="B28" s="29" t="n">
        <v>143.2</v>
      </c>
      <c r="C28" s="28" t="n">
        <v>0</v>
      </c>
      <c r="D28" s="28" t="n">
        <v>1</v>
      </c>
      <c r="E28" s="28" t="n">
        <v>0</v>
      </c>
      <c r="F28" s="28" t="n">
        <v>0</v>
      </c>
      <c r="G28" s="30" t="n">
        <v>43466</v>
      </c>
      <c r="H28" s="30" t="n">
        <v>43474</v>
      </c>
      <c r="I28" s="28" t="s">
        <v>79</v>
      </c>
    </row>
    <row r="29" customFormat="false" ht="12.8" hidden="false" customHeight="false" outlineLevel="0" collapsed="false">
      <c r="A29" s="28" t="s">
        <v>73</v>
      </c>
      <c r="B29" s="29" t="n">
        <v>7.1</v>
      </c>
      <c r="C29" s="28" t="n">
        <v>0</v>
      </c>
      <c r="D29" s="28" t="n">
        <v>1</v>
      </c>
      <c r="E29" s="28" t="n">
        <v>0</v>
      </c>
      <c r="F29" s="28" t="n">
        <v>0</v>
      </c>
      <c r="G29" s="30" t="n">
        <v>43466</v>
      </c>
      <c r="H29" s="30" t="n">
        <v>43474</v>
      </c>
      <c r="I29" s="28" t="s">
        <v>73</v>
      </c>
    </row>
    <row r="30" customFormat="false" ht="12.8" hidden="false" customHeight="false" outlineLevel="0" collapsed="false">
      <c r="A30" s="28" t="s">
        <v>91</v>
      </c>
      <c r="B30" s="29" t="n">
        <v>20.89</v>
      </c>
      <c r="C30" s="28" t="n">
        <v>0</v>
      </c>
      <c r="D30" s="28" t="n">
        <v>1</v>
      </c>
      <c r="E30" s="28" t="n">
        <v>0</v>
      </c>
      <c r="F30" s="28" t="n">
        <v>0</v>
      </c>
      <c r="G30" s="30" t="n">
        <v>43466</v>
      </c>
      <c r="H30" s="30" t="n">
        <v>43475</v>
      </c>
      <c r="I30" s="28" t="s">
        <v>79</v>
      </c>
    </row>
    <row r="31" customFormat="false" ht="12.8" hidden="false" customHeight="false" outlineLevel="0" collapsed="false">
      <c r="A31" s="28" t="s">
        <v>91</v>
      </c>
      <c r="B31" s="29" t="n">
        <v>23.4</v>
      </c>
      <c r="C31" s="28" t="n">
        <v>0</v>
      </c>
      <c r="D31" s="28" t="n">
        <v>1</v>
      </c>
      <c r="E31" s="28" t="n">
        <v>0</v>
      </c>
      <c r="F31" s="28" t="n">
        <v>0</v>
      </c>
      <c r="G31" s="30" t="n">
        <v>43466</v>
      </c>
      <c r="H31" s="30" t="n">
        <v>43475</v>
      </c>
      <c r="I31" s="28" t="s">
        <v>79</v>
      </c>
    </row>
    <row r="32" customFormat="false" ht="12.8" hidden="false" customHeight="false" outlineLevel="0" collapsed="false">
      <c r="A32" s="28" t="s">
        <v>92</v>
      </c>
      <c r="B32" s="29" t="n">
        <v>23.7</v>
      </c>
      <c r="C32" s="28" t="n">
        <v>0</v>
      </c>
      <c r="D32" s="28" t="n">
        <v>1</v>
      </c>
      <c r="E32" s="28" t="n">
        <v>0</v>
      </c>
      <c r="F32" s="28" t="n">
        <v>0</v>
      </c>
      <c r="G32" s="30" t="n">
        <v>43466</v>
      </c>
      <c r="H32" s="30" t="n">
        <v>43476</v>
      </c>
      <c r="I32" s="28" t="s">
        <v>72</v>
      </c>
    </row>
    <row r="33" customFormat="false" ht="12.8" hidden="false" customHeight="false" outlineLevel="0" collapsed="false">
      <c r="A33" s="28" t="s">
        <v>93</v>
      </c>
      <c r="B33" s="29" t="n">
        <v>25.9</v>
      </c>
      <c r="C33" s="28" t="n">
        <v>0</v>
      </c>
      <c r="D33" s="28" t="n">
        <v>1</v>
      </c>
      <c r="E33" s="28" t="n">
        <v>0</v>
      </c>
      <c r="F33" s="28" t="n">
        <v>0</v>
      </c>
      <c r="G33" s="30" t="n">
        <v>43466</v>
      </c>
      <c r="H33" s="30" t="n">
        <v>43476</v>
      </c>
      <c r="I33" s="28" t="s">
        <v>73</v>
      </c>
    </row>
    <row r="34" customFormat="false" ht="12.8" hidden="false" customHeight="false" outlineLevel="0" collapsed="false">
      <c r="A34" s="28" t="s">
        <v>69</v>
      </c>
      <c r="B34" s="29" t="n">
        <v>30</v>
      </c>
      <c r="C34" s="28" t="n">
        <v>0</v>
      </c>
      <c r="D34" s="28" t="n">
        <v>1</v>
      </c>
      <c r="E34" s="28" t="n">
        <v>0</v>
      </c>
      <c r="F34" s="28" t="n">
        <v>0</v>
      </c>
      <c r="G34" s="30" t="n">
        <v>43466</v>
      </c>
      <c r="H34" s="30" t="n">
        <v>43476</v>
      </c>
      <c r="I34" s="28" t="s">
        <v>70</v>
      </c>
    </row>
    <row r="35" customFormat="false" ht="12.8" hidden="false" customHeight="false" outlineLevel="0" collapsed="false">
      <c r="A35" s="28" t="s">
        <v>85</v>
      </c>
      <c r="B35" s="29" t="n">
        <v>100</v>
      </c>
      <c r="C35" s="28" t="n">
        <v>0</v>
      </c>
      <c r="D35" s="28" t="n">
        <v>1</v>
      </c>
      <c r="E35" s="28" t="n">
        <v>0</v>
      </c>
      <c r="F35" s="28" t="n">
        <v>0</v>
      </c>
      <c r="G35" s="30" t="n">
        <v>43466</v>
      </c>
      <c r="H35" s="30" t="n">
        <v>43477</v>
      </c>
      <c r="I35" s="28" t="s">
        <v>85</v>
      </c>
    </row>
    <row r="36" customFormat="false" ht="12.8" hidden="false" customHeight="false" outlineLevel="0" collapsed="false">
      <c r="A36" s="28" t="s">
        <v>94</v>
      </c>
      <c r="B36" s="29" t="n">
        <v>8.48</v>
      </c>
      <c r="C36" s="28" t="n">
        <v>0</v>
      </c>
      <c r="D36" s="28" t="n">
        <v>1</v>
      </c>
      <c r="E36" s="28" t="n">
        <v>0</v>
      </c>
      <c r="F36" s="28" t="n">
        <v>0</v>
      </c>
      <c r="G36" s="30" t="n">
        <v>43466</v>
      </c>
      <c r="H36" s="30" t="n">
        <v>43477</v>
      </c>
      <c r="I36" s="28" t="s">
        <v>84</v>
      </c>
    </row>
    <row r="37" customFormat="false" ht="12.8" hidden="false" customHeight="false" outlineLevel="0" collapsed="false">
      <c r="A37" s="28" t="s">
        <v>95</v>
      </c>
      <c r="B37" s="29" t="n">
        <v>51.6</v>
      </c>
      <c r="C37" s="28" t="n">
        <v>0</v>
      </c>
      <c r="D37" s="28" t="n">
        <v>1</v>
      </c>
      <c r="E37" s="28" t="n">
        <v>0</v>
      </c>
      <c r="F37" s="28" t="n">
        <v>0</v>
      </c>
      <c r="G37" s="30" t="n">
        <v>43466</v>
      </c>
      <c r="H37" s="30" t="n">
        <v>43467</v>
      </c>
      <c r="I37" s="28" t="s">
        <v>88</v>
      </c>
    </row>
    <row r="38" customFormat="false" ht="12.8" hidden="false" customHeight="false" outlineLevel="0" collapsed="false">
      <c r="A38" s="28" t="s">
        <v>96</v>
      </c>
      <c r="B38" s="29" t="n">
        <v>18.4</v>
      </c>
      <c r="C38" s="28" t="n">
        <v>0</v>
      </c>
      <c r="D38" s="28" t="n">
        <v>1</v>
      </c>
      <c r="E38" s="28" t="n">
        <v>0</v>
      </c>
      <c r="F38" s="28" t="n">
        <v>0</v>
      </c>
      <c r="G38" s="30" t="n">
        <v>43466</v>
      </c>
      <c r="H38" s="30" t="n">
        <v>43479</v>
      </c>
      <c r="I38" s="28" t="s">
        <v>84</v>
      </c>
    </row>
    <row r="39" customFormat="false" ht="12.8" hidden="false" customHeight="false" outlineLevel="0" collapsed="false">
      <c r="A39" s="28" t="s">
        <v>97</v>
      </c>
      <c r="B39" s="29" t="n">
        <v>33.52</v>
      </c>
      <c r="C39" s="28" t="n">
        <v>0</v>
      </c>
      <c r="D39" s="28" t="n">
        <v>1</v>
      </c>
      <c r="E39" s="28" t="n">
        <v>0</v>
      </c>
      <c r="F39" s="28" t="n">
        <v>0</v>
      </c>
      <c r="G39" s="30" t="n">
        <v>43466</v>
      </c>
      <c r="H39" s="30" t="n">
        <v>43479</v>
      </c>
      <c r="I39" s="28" t="s">
        <v>72</v>
      </c>
    </row>
    <row r="40" customFormat="false" ht="12.8" hidden="false" customHeight="false" outlineLevel="0" collapsed="false">
      <c r="A40" s="28" t="s">
        <v>98</v>
      </c>
      <c r="B40" s="29" t="n">
        <v>23.9</v>
      </c>
      <c r="C40" s="28" t="n">
        <v>0</v>
      </c>
      <c r="D40" s="28" t="n">
        <v>1</v>
      </c>
      <c r="E40" s="28" t="n">
        <v>0</v>
      </c>
      <c r="F40" s="28" t="n">
        <v>0</v>
      </c>
      <c r="G40" s="30" t="n">
        <v>43466</v>
      </c>
      <c r="H40" s="30" t="n">
        <v>43479</v>
      </c>
      <c r="I40" s="28" t="s">
        <v>84</v>
      </c>
    </row>
    <row r="41" customFormat="false" ht="12.8" hidden="false" customHeight="false" outlineLevel="0" collapsed="false">
      <c r="A41" s="28" t="s">
        <v>98</v>
      </c>
      <c r="B41" s="29" t="n">
        <v>15.6</v>
      </c>
      <c r="C41" s="28" t="n">
        <v>0</v>
      </c>
      <c r="D41" s="28" t="n">
        <v>1</v>
      </c>
      <c r="E41" s="28" t="n">
        <v>0</v>
      </c>
      <c r="F41" s="28" t="n">
        <v>0</v>
      </c>
      <c r="G41" s="30" t="n">
        <v>43466</v>
      </c>
      <c r="H41" s="30" t="n">
        <v>43479</v>
      </c>
      <c r="I41" s="28" t="s">
        <v>84</v>
      </c>
    </row>
    <row r="42" customFormat="false" ht="12.8" hidden="false" customHeight="false" outlineLevel="0" collapsed="false">
      <c r="A42" s="28" t="s">
        <v>73</v>
      </c>
      <c r="B42" s="29" t="n">
        <v>27</v>
      </c>
      <c r="C42" s="28" t="n">
        <v>0</v>
      </c>
      <c r="D42" s="28" t="n">
        <v>1</v>
      </c>
      <c r="E42" s="28" t="n">
        <v>0</v>
      </c>
      <c r="F42" s="28" t="n">
        <v>0</v>
      </c>
      <c r="G42" s="30" t="n">
        <v>43466</v>
      </c>
      <c r="H42" s="30" t="n">
        <v>43479</v>
      </c>
      <c r="I42" s="28" t="s">
        <v>73</v>
      </c>
    </row>
    <row r="43" customFormat="false" ht="12.8" hidden="false" customHeight="false" outlineLevel="0" collapsed="false">
      <c r="A43" s="28" t="s">
        <v>84</v>
      </c>
      <c r="B43" s="29" t="n">
        <v>23.9</v>
      </c>
      <c r="C43" s="28" t="n">
        <v>0</v>
      </c>
      <c r="D43" s="28" t="n">
        <v>1</v>
      </c>
      <c r="E43" s="28" t="n">
        <v>0</v>
      </c>
      <c r="F43" s="28" t="n">
        <v>0</v>
      </c>
      <c r="G43" s="30" t="n">
        <v>43466</v>
      </c>
      <c r="H43" s="30" t="n">
        <v>43480</v>
      </c>
      <c r="I43" s="28" t="s">
        <v>84</v>
      </c>
    </row>
    <row r="44" customFormat="false" ht="12.8" hidden="false" customHeight="false" outlineLevel="0" collapsed="false">
      <c r="A44" s="28" t="s">
        <v>99</v>
      </c>
      <c r="B44" s="29" t="n">
        <v>1190</v>
      </c>
      <c r="C44" s="28" t="n">
        <v>0</v>
      </c>
      <c r="D44" s="28" t="n">
        <v>1</v>
      </c>
      <c r="E44" s="28" t="n">
        <v>0</v>
      </c>
      <c r="F44" s="28" t="n">
        <v>0</v>
      </c>
      <c r="G44" s="30" t="n">
        <v>43466</v>
      </c>
      <c r="H44" s="30" t="n">
        <v>43480</v>
      </c>
      <c r="I44" s="28" t="s">
        <v>81</v>
      </c>
    </row>
    <row r="45" customFormat="false" ht="12.8" hidden="false" customHeight="false" outlineLevel="0" collapsed="false">
      <c r="A45" s="28" t="s">
        <v>100</v>
      </c>
      <c r="B45" s="29" t="n">
        <v>24.9</v>
      </c>
      <c r="C45" s="28" t="n">
        <v>0</v>
      </c>
      <c r="D45" s="28" t="n">
        <v>1</v>
      </c>
      <c r="E45" s="28" t="n">
        <v>0</v>
      </c>
      <c r="F45" s="28" t="n">
        <v>0</v>
      </c>
      <c r="G45" s="30" t="n">
        <v>43466</v>
      </c>
      <c r="H45" s="30" t="n">
        <v>43480</v>
      </c>
      <c r="I45" s="28" t="s">
        <v>72</v>
      </c>
    </row>
    <row r="46" customFormat="false" ht="12.8" hidden="false" customHeight="false" outlineLevel="0" collapsed="false">
      <c r="A46" s="28" t="s">
        <v>101</v>
      </c>
      <c r="B46" s="29" t="n">
        <v>126.17</v>
      </c>
      <c r="C46" s="28" t="n">
        <v>0</v>
      </c>
      <c r="D46" s="28" t="n">
        <v>1</v>
      </c>
      <c r="E46" s="28" t="n">
        <v>0</v>
      </c>
      <c r="F46" s="28" t="n">
        <v>0</v>
      </c>
      <c r="G46" s="30" t="n">
        <v>43466</v>
      </c>
      <c r="H46" s="30" t="n">
        <v>43481</v>
      </c>
      <c r="I46" s="28" t="s">
        <v>73</v>
      </c>
    </row>
    <row r="47" customFormat="false" ht="12.8" hidden="false" customHeight="false" outlineLevel="0" collapsed="false">
      <c r="A47" s="28" t="s">
        <v>102</v>
      </c>
      <c r="B47" s="29" t="n">
        <v>10</v>
      </c>
      <c r="C47" s="28" t="n">
        <v>0</v>
      </c>
      <c r="D47" s="28" t="n">
        <v>1</v>
      </c>
      <c r="E47" s="28" t="n">
        <v>0</v>
      </c>
      <c r="F47" s="28" t="n">
        <v>0</v>
      </c>
      <c r="G47" s="30" t="n">
        <v>43466</v>
      </c>
      <c r="H47" s="30" t="n">
        <v>43481</v>
      </c>
      <c r="I47" s="28" t="s">
        <v>102</v>
      </c>
    </row>
    <row r="48" customFormat="false" ht="12.8" hidden="false" customHeight="false" outlineLevel="0" collapsed="false">
      <c r="A48" s="28" t="s">
        <v>103</v>
      </c>
      <c r="B48" s="29" t="n">
        <v>35.86</v>
      </c>
      <c r="C48" s="28" t="n">
        <v>0</v>
      </c>
      <c r="D48" s="28" t="n">
        <v>1</v>
      </c>
      <c r="E48" s="28" t="n">
        <v>0</v>
      </c>
      <c r="F48" s="28" t="n">
        <v>0</v>
      </c>
      <c r="G48" s="30" t="n">
        <v>43466</v>
      </c>
      <c r="H48" s="30" t="n">
        <v>43481</v>
      </c>
      <c r="I48" s="28" t="s">
        <v>72</v>
      </c>
    </row>
    <row r="49" customFormat="false" ht="12.8" hidden="false" customHeight="false" outlineLevel="0" collapsed="false">
      <c r="A49" s="28" t="s">
        <v>104</v>
      </c>
      <c r="B49" s="29" t="n">
        <v>12</v>
      </c>
      <c r="C49" s="28" t="n">
        <v>0</v>
      </c>
      <c r="D49" s="28" t="n">
        <v>1</v>
      </c>
      <c r="E49" s="28" t="n">
        <v>0</v>
      </c>
      <c r="F49" s="28" t="n">
        <v>0</v>
      </c>
      <c r="G49" s="30" t="n">
        <v>43466</v>
      </c>
      <c r="H49" s="30" t="n">
        <v>43482</v>
      </c>
      <c r="I49" s="28" t="s">
        <v>72</v>
      </c>
    </row>
    <row r="50" customFormat="false" ht="12.8" hidden="false" customHeight="false" outlineLevel="0" collapsed="false">
      <c r="A50" s="28" t="s">
        <v>105</v>
      </c>
      <c r="B50" s="29" t="n">
        <v>79.8</v>
      </c>
      <c r="C50" s="28" t="n">
        <v>0</v>
      </c>
      <c r="D50" s="28" t="n">
        <v>1</v>
      </c>
      <c r="E50" s="28" t="n">
        <v>0</v>
      </c>
      <c r="F50" s="28" t="n">
        <v>0</v>
      </c>
      <c r="G50" s="30" t="n">
        <v>43466</v>
      </c>
      <c r="H50" s="30" t="n">
        <v>43486</v>
      </c>
      <c r="I50" s="28" t="s">
        <v>106</v>
      </c>
    </row>
    <row r="51" customFormat="false" ht="12.8" hidden="false" customHeight="false" outlineLevel="0" collapsed="false">
      <c r="A51" s="28" t="s">
        <v>85</v>
      </c>
      <c r="B51" s="29" t="n">
        <v>60</v>
      </c>
      <c r="C51" s="28" t="n">
        <v>0</v>
      </c>
      <c r="D51" s="28" t="n">
        <v>1</v>
      </c>
      <c r="E51" s="28" t="n">
        <v>0</v>
      </c>
      <c r="F51" s="28" t="n">
        <v>0</v>
      </c>
      <c r="G51" s="30" t="n">
        <v>43466</v>
      </c>
      <c r="H51" s="30" t="n">
        <v>43486</v>
      </c>
      <c r="I51" s="28" t="s">
        <v>85</v>
      </c>
    </row>
    <row r="52" customFormat="false" ht="12.8" hidden="false" customHeight="false" outlineLevel="0" collapsed="false">
      <c r="A52" s="28" t="s">
        <v>35</v>
      </c>
      <c r="B52" s="29" t="n">
        <v>40</v>
      </c>
      <c r="C52" s="28" t="n">
        <v>0</v>
      </c>
      <c r="D52" s="28" t="n">
        <v>1</v>
      </c>
      <c r="E52" s="28" t="n">
        <v>0</v>
      </c>
      <c r="F52" s="28" t="n">
        <v>0</v>
      </c>
      <c r="G52" s="30" t="n">
        <v>43466</v>
      </c>
      <c r="H52" s="30" t="n">
        <v>43486</v>
      </c>
      <c r="I52" s="28" t="s">
        <v>35</v>
      </c>
    </row>
    <row r="53" customFormat="false" ht="12.8" hidden="false" customHeight="false" outlineLevel="0" collapsed="false">
      <c r="A53" s="28" t="s">
        <v>69</v>
      </c>
      <c r="B53" s="29" t="n">
        <v>110</v>
      </c>
      <c r="C53" s="28" t="n">
        <v>0</v>
      </c>
      <c r="D53" s="28" t="n">
        <v>1</v>
      </c>
      <c r="E53" s="28" t="n">
        <v>0</v>
      </c>
      <c r="F53" s="28" t="n">
        <v>0</v>
      </c>
      <c r="G53" s="30" t="n">
        <v>43466</v>
      </c>
      <c r="H53" s="30" t="n">
        <v>43486</v>
      </c>
      <c r="I53" s="28" t="s">
        <v>70</v>
      </c>
    </row>
    <row r="54" customFormat="false" ht="12.8" hidden="false" customHeight="false" outlineLevel="0" collapsed="false">
      <c r="A54" s="28" t="s">
        <v>78</v>
      </c>
      <c r="B54" s="29" t="n">
        <v>22.24</v>
      </c>
      <c r="C54" s="28" t="n">
        <v>0</v>
      </c>
      <c r="D54" s="28" t="n">
        <v>1</v>
      </c>
      <c r="E54" s="28" t="n">
        <v>0</v>
      </c>
      <c r="F54" s="28" t="n">
        <v>0</v>
      </c>
      <c r="G54" s="30" t="n">
        <v>43466</v>
      </c>
      <c r="H54" s="30" t="n">
        <v>43486</v>
      </c>
      <c r="I54" s="28" t="s">
        <v>79</v>
      </c>
    </row>
    <row r="55" customFormat="false" ht="12.8" hidden="false" customHeight="false" outlineLevel="0" collapsed="false">
      <c r="A55" s="28" t="s">
        <v>78</v>
      </c>
      <c r="B55" s="29" t="n">
        <v>268.49</v>
      </c>
      <c r="C55" s="28" t="n">
        <v>0</v>
      </c>
      <c r="D55" s="28" t="n">
        <v>1</v>
      </c>
      <c r="E55" s="28" t="n">
        <v>0</v>
      </c>
      <c r="F55" s="28" t="n">
        <v>0</v>
      </c>
      <c r="G55" s="30" t="n">
        <v>43466</v>
      </c>
      <c r="H55" s="30" t="n">
        <v>43486</v>
      </c>
      <c r="I55" s="28" t="s">
        <v>79</v>
      </c>
    </row>
    <row r="56" customFormat="false" ht="12.8" hidden="false" customHeight="false" outlineLevel="0" collapsed="false">
      <c r="A56" s="28" t="s">
        <v>74</v>
      </c>
      <c r="B56" s="29" t="n">
        <v>2.99</v>
      </c>
      <c r="C56" s="28" t="n">
        <v>0</v>
      </c>
      <c r="D56" s="28" t="n">
        <v>1</v>
      </c>
      <c r="E56" s="28" t="n">
        <v>0</v>
      </c>
      <c r="F56" s="28" t="n">
        <v>0</v>
      </c>
      <c r="G56" s="30" t="n">
        <v>43466</v>
      </c>
      <c r="H56" s="30" t="n">
        <v>43486</v>
      </c>
      <c r="I56" s="28" t="s">
        <v>72</v>
      </c>
    </row>
    <row r="57" customFormat="false" ht="12.8" hidden="false" customHeight="false" outlineLevel="0" collapsed="false">
      <c r="A57" s="28" t="s">
        <v>107</v>
      </c>
      <c r="B57" s="29" t="n">
        <v>7</v>
      </c>
      <c r="C57" s="28" t="n">
        <v>0</v>
      </c>
      <c r="D57" s="28" t="n">
        <v>1</v>
      </c>
      <c r="E57" s="28" t="n">
        <v>0</v>
      </c>
      <c r="F57" s="28" t="n">
        <v>0</v>
      </c>
      <c r="G57" s="30" t="n">
        <v>43466</v>
      </c>
      <c r="H57" s="30" t="n">
        <v>43486</v>
      </c>
      <c r="I57" s="28" t="s">
        <v>72</v>
      </c>
    </row>
    <row r="58" customFormat="false" ht="12.8" hidden="false" customHeight="false" outlineLevel="0" collapsed="false">
      <c r="A58" s="28" t="s">
        <v>69</v>
      </c>
      <c r="B58" s="29" t="n">
        <v>50</v>
      </c>
      <c r="C58" s="28" t="n">
        <v>0</v>
      </c>
      <c r="D58" s="28" t="n">
        <v>1</v>
      </c>
      <c r="E58" s="28" t="n">
        <v>0</v>
      </c>
      <c r="F58" s="28" t="n">
        <v>0</v>
      </c>
      <c r="G58" s="30" t="n">
        <v>43466</v>
      </c>
      <c r="H58" s="30" t="n">
        <v>43486</v>
      </c>
      <c r="I58" s="28" t="s">
        <v>70</v>
      </c>
    </row>
    <row r="59" customFormat="false" ht="12.8" hidden="false" customHeight="false" outlineLevel="0" collapsed="false">
      <c r="A59" s="28" t="s">
        <v>73</v>
      </c>
      <c r="B59" s="29" t="n">
        <v>31.91</v>
      </c>
      <c r="C59" s="28" t="n">
        <v>0</v>
      </c>
      <c r="D59" s="28" t="n">
        <v>1</v>
      </c>
      <c r="E59" s="28" t="n">
        <v>0</v>
      </c>
      <c r="F59" s="28" t="n">
        <v>0</v>
      </c>
      <c r="G59" s="30" t="n">
        <v>43466</v>
      </c>
      <c r="H59" s="30" t="n">
        <v>43486</v>
      </c>
      <c r="I59" s="28" t="s">
        <v>73</v>
      </c>
    </row>
    <row r="60" customFormat="false" ht="12.8" hidden="false" customHeight="false" outlineLevel="0" collapsed="false">
      <c r="A60" s="28" t="s">
        <v>108</v>
      </c>
      <c r="B60" s="29" t="n">
        <v>67</v>
      </c>
      <c r="C60" s="28" t="n">
        <v>0</v>
      </c>
      <c r="D60" s="28" t="n">
        <v>1</v>
      </c>
      <c r="E60" s="28" t="n">
        <v>0</v>
      </c>
      <c r="F60" s="28" t="n">
        <v>0</v>
      </c>
      <c r="G60" s="30" t="n">
        <v>43466</v>
      </c>
      <c r="H60" s="30" t="n">
        <v>43487</v>
      </c>
      <c r="I60" s="28" t="s">
        <v>81</v>
      </c>
    </row>
    <row r="61" customFormat="false" ht="12.8" hidden="false" customHeight="false" outlineLevel="0" collapsed="false">
      <c r="A61" s="28" t="s">
        <v>109</v>
      </c>
      <c r="B61" s="29" t="n">
        <v>18.5</v>
      </c>
      <c r="C61" s="28" t="n">
        <v>0</v>
      </c>
      <c r="D61" s="28" t="n">
        <v>1</v>
      </c>
      <c r="E61" s="28" t="n">
        <v>0</v>
      </c>
      <c r="F61" s="28" t="n">
        <v>0</v>
      </c>
      <c r="G61" s="30" t="n">
        <v>43466</v>
      </c>
      <c r="H61" s="30" t="n">
        <v>43488</v>
      </c>
      <c r="I61" s="28" t="s">
        <v>72</v>
      </c>
    </row>
    <row r="62" customFormat="false" ht="12.8" hidden="false" customHeight="false" outlineLevel="0" collapsed="false">
      <c r="A62" s="28" t="s">
        <v>110</v>
      </c>
      <c r="B62" s="29" t="n">
        <v>4.5</v>
      </c>
      <c r="C62" s="28" t="n">
        <v>0</v>
      </c>
      <c r="D62" s="28" t="n">
        <v>1</v>
      </c>
      <c r="E62" s="28" t="n">
        <v>0</v>
      </c>
      <c r="F62" s="28" t="n">
        <v>0</v>
      </c>
      <c r="G62" s="30" t="n">
        <v>43466</v>
      </c>
      <c r="H62" s="30" t="n">
        <v>43488</v>
      </c>
      <c r="I62" s="28" t="s">
        <v>72</v>
      </c>
    </row>
    <row r="63" customFormat="false" ht="12.8" hidden="false" customHeight="false" outlineLevel="0" collapsed="false">
      <c r="A63" s="28" t="s">
        <v>111</v>
      </c>
      <c r="B63" s="29" t="n">
        <v>20</v>
      </c>
      <c r="C63" s="28" t="n">
        <v>0</v>
      </c>
      <c r="D63" s="28" t="n">
        <v>1</v>
      </c>
      <c r="E63" s="28" t="n">
        <v>0</v>
      </c>
      <c r="F63" s="28" t="n">
        <v>0</v>
      </c>
      <c r="G63" s="30" t="n">
        <v>43466</v>
      </c>
      <c r="H63" s="30" t="n">
        <v>43489</v>
      </c>
      <c r="I63" s="28" t="s">
        <v>81</v>
      </c>
    </row>
    <row r="64" customFormat="false" ht="12.8" hidden="false" customHeight="false" outlineLevel="0" collapsed="false">
      <c r="A64" s="28" t="s">
        <v>82</v>
      </c>
      <c r="B64" s="29" t="n">
        <v>5.5</v>
      </c>
      <c r="C64" s="28" t="n">
        <v>0</v>
      </c>
      <c r="D64" s="28" t="n">
        <v>1</v>
      </c>
      <c r="E64" s="28" t="n">
        <v>0</v>
      </c>
      <c r="F64" s="28" t="n">
        <v>0</v>
      </c>
      <c r="G64" s="30" t="n">
        <v>43466</v>
      </c>
      <c r="H64" s="30" t="n">
        <v>43489</v>
      </c>
      <c r="I64" s="28" t="s">
        <v>72</v>
      </c>
    </row>
    <row r="65" customFormat="false" ht="12.8" hidden="false" customHeight="false" outlineLevel="0" collapsed="false">
      <c r="A65" s="28" t="s">
        <v>112</v>
      </c>
      <c r="B65" s="29" t="n">
        <v>5</v>
      </c>
      <c r="C65" s="28" t="n">
        <v>0</v>
      </c>
      <c r="D65" s="28" t="n">
        <v>1</v>
      </c>
      <c r="E65" s="28" t="n">
        <v>0</v>
      </c>
      <c r="F65" s="28" t="n">
        <v>0</v>
      </c>
      <c r="G65" s="30" t="n">
        <v>43466</v>
      </c>
      <c r="H65" s="30" t="n">
        <v>43489</v>
      </c>
      <c r="I65" s="28" t="s">
        <v>72</v>
      </c>
    </row>
    <row r="66" customFormat="false" ht="12.8" hidden="false" customHeight="false" outlineLevel="0" collapsed="false">
      <c r="A66" s="28" t="s">
        <v>113</v>
      </c>
      <c r="B66" s="29" t="n">
        <v>15</v>
      </c>
      <c r="C66" s="28" t="n">
        <v>0</v>
      </c>
      <c r="D66" s="28" t="n">
        <v>1</v>
      </c>
      <c r="E66" s="28" t="n">
        <v>0</v>
      </c>
      <c r="F66" s="28" t="n">
        <v>0</v>
      </c>
      <c r="G66" s="30" t="n">
        <v>43466</v>
      </c>
      <c r="H66" s="30" t="n">
        <v>43489</v>
      </c>
      <c r="I66" s="28" t="s">
        <v>72</v>
      </c>
    </row>
    <row r="67" customFormat="false" ht="12.8" hidden="false" customHeight="false" outlineLevel="0" collapsed="false">
      <c r="A67" s="28" t="s">
        <v>114</v>
      </c>
      <c r="B67" s="29" t="n">
        <v>1</v>
      </c>
      <c r="C67" s="28" t="n">
        <v>0</v>
      </c>
      <c r="D67" s="28" t="n">
        <v>1</v>
      </c>
      <c r="E67" s="28" t="n">
        <v>0</v>
      </c>
      <c r="F67" s="28" t="n">
        <v>0</v>
      </c>
      <c r="G67" s="30" t="n">
        <v>43466</v>
      </c>
      <c r="H67" s="30" t="n">
        <v>43489</v>
      </c>
      <c r="I67" s="28" t="s">
        <v>81</v>
      </c>
    </row>
    <row r="68" customFormat="false" ht="12.8" hidden="false" customHeight="false" outlineLevel="0" collapsed="false">
      <c r="A68" s="28" t="s">
        <v>78</v>
      </c>
      <c r="B68" s="34" t="n">
        <v>113.29</v>
      </c>
      <c r="C68" s="28" t="n">
        <v>0</v>
      </c>
      <c r="D68" s="28" t="n">
        <v>1</v>
      </c>
      <c r="E68" s="28" t="n">
        <v>0</v>
      </c>
      <c r="F68" s="28" t="n">
        <v>0</v>
      </c>
      <c r="G68" s="30" t="n">
        <v>43466</v>
      </c>
      <c r="H68" s="30" t="n">
        <v>43493</v>
      </c>
      <c r="I68" s="28" t="s">
        <v>79</v>
      </c>
    </row>
    <row r="69" customFormat="false" ht="12.8" hidden="false" customHeight="false" outlineLevel="0" collapsed="false">
      <c r="A69" s="28" t="s">
        <v>115</v>
      </c>
      <c r="B69" s="34" t="n">
        <v>2.57</v>
      </c>
      <c r="C69" s="28" t="n">
        <v>0</v>
      </c>
      <c r="D69" s="28" t="n">
        <v>1</v>
      </c>
      <c r="E69" s="28" t="n">
        <v>0</v>
      </c>
      <c r="F69" s="28" t="n">
        <v>0</v>
      </c>
      <c r="G69" s="30" t="n">
        <v>43466</v>
      </c>
      <c r="H69" s="30" t="n">
        <v>43493</v>
      </c>
      <c r="I69" s="28" t="s">
        <v>79</v>
      </c>
    </row>
    <row r="70" customFormat="false" ht="12.8" hidden="false" customHeight="false" outlineLevel="0" collapsed="false">
      <c r="A70" s="28" t="s">
        <v>115</v>
      </c>
      <c r="B70" s="34" t="n">
        <v>2.09</v>
      </c>
      <c r="C70" s="28" t="n">
        <v>0</v>
      </c>
      <c r="D70" s="28" t="n">
        <v>1</v>
      </c>
      <c r="E70" s="28" t="n">
        <v>0</v>
      </c>
      <c r="F70" s="28" t="n">
        <v>0</v>
      </c>
      <c r="G70" s="30" t="n">
        <v>43466</v>
      </c>
      <c r="H70" s="30" t="n">
        <v>43493</v>
      </c>
      <c r="I70" s="28" t="s">
        <v>79</v>
      </c>
    </row>
    <row r="71" customFormat="false" ht="12.8" hidden="false" customHeight="false" outlineLevel="0" collapsed="false">
      <c r="A71" s="28" t="s">
        <v>116</v>
      </c>
      <c r="B71" s="34" t="n">
        <v>8.39</v>
      </c>
      <c r="C71" s="28" t="n">
        <v>0</v>
      </c>
      <c r="D71" s="28" t="n">
        <v>1</v>
      </c>
      <c r="E71" s="28" t="n">
        <v>0</v>
      </c>
      <c r="F71" s="28" t="n">
        <v>0</v>
      </c>
      <c r="G71" s="30" t="n">
        <v>43466</v>
      </c>
      <c r="H71" s="30" t="n">
        <v>43493</v>
      </c>
      <c r="I71" s="28" t="s">
        <v>116</v>
      </c>
    </row>
    <row r="72" customFormat="false" ht="12.8" hidden="false" customHeight="false" outlineLevel="0" collapsed="false">
      <c r="A72" s="28" t="s">
        <v>117</v>
      </c>
      <c r="B72" s="34" t="n">
        <v>60</v>
      </c>
      <c r="C72" s="28" t="n">
        <v>0</v>
      </c>
      <c r="D72" s="28" t="n">
        <v>1</v>
      </c>
      <c r="E72" s="28" t="n">
        <v>0</v>
      </c>
      <c r="F72" s="28" t="n">
        <v>0</v>
      </c>
      <c r="G72" s="30" t="n">
        <v>43466</v>
      </c>
      <c r="H72" s="30" t="n">
        <v>43490</v>
      </c>
      <c r="I72" s="28" t="s">
        <v>81</v>
      </c>
    </row>
    <row r="73" customFormat="false" ht="12.8" hidden="false" customHeight="false" outlineLevel="0" collapsed="false">
      <c r="A73" s="28" t="s">
        <v>82</v>
      </c>
      <c r="B73" s="34" t="n">
        <v>9.5</v>
      </c>
      <c r="C73" s="28" t="n">
        <v>0</v>
      </c>
      <c r="D73" s="28" t="n">
        <v>1</v>
      </c>
      <c r="E73" s="28" t="n">
        <v>0</v>
      </c>
      <c r="F73" s="28" t="n">
        <v>0</v>
      </c>
      <c r="G73" s="30" t="n">
        <v>43466</v>
      </c>
      <c r="H73" s="30" t="n">
        <v>43493</v>
      </c>
      <c r="I73" s="28" t="s">
        <v>72</v>
      </c>
    </row>
    <row r="74" customFormat="false" ht="12.8" hidden="false" customHeight="false" outlineLevel="0" collapsed="false">
      <c r="A74" s="28" t="s">
        <v>73</v>
      </c>
      <c r="B74" s="29" t="n">
        <v>23.75</v>
      </c>
      <c r="C74" s="28" t="n">
        <v>0</v>
      </c>
      <c r="D74" s="28" t="n">
        <v>1</v>
      </c>
      <c r="E74" s="28" t="n">
        <v>0</v>
      </c>
      <c r="F74" s="28" t="n">
        <v>0</v>
      </c>
      <c r="G74" s="30" t="n">
        <v>43466</v>
      </c>
      <c r="H74" s="30" t="n">
        <v>43490</v>
      </c>
      <c r="I74" s="28" t="s">
        <v>73</v>
      </c>
    </row>
    <row r="75" customFormat="false" ht="12.8" hidden="false" customHeight="false" outlineLevel="0" collapsed="false">
      <c r="A75" s="28" t="s">
        <v>118</v>
      </c>
      <c r="B75" s="29" t="n">
        <v>3.48</v>
      </c>
      <c r="C75" s="28" t="n">
        <v>0</v>
      </c>
      <c r="D75" s="28" t="n">
        <v>1</v>
      </c>
      <c r="E75" s="28" t="n">
        <v>0</v>
      </c>
      <c r="F75" s="28" t="n">
        <v>0</v>
      </c>
      <c r="G75" s="30" t="n">
        <v>43466</v>
      </c>
      <c r="H75" s="30" t="n">
        <v>43492</v>
      </c>
      <c r="I75" s="28" t="s">
        <v>72</v>
      </c>
    </row>
    <row r="76" customFormat="false" ht="12.8" hidden="false" customHeight="false" outlineLevel="0" collapsed="false">
      <c r="A76" s="28" t="s">
        <v>119</v>
      </c>
      <c r="B76" s="29" t="n">
        <v>20.04</v>
      </c>
      <c r="C76" s="28" t="n">
        <v>0</v>
      </c>
      <c r="D76" s="28" t="n">
        <v>1</v>
      </c>
      <c r="E76" s="28" t="n">
        <v>0</v>
      </c>
      <c r="F76" s="28" t="n">
        <v>0</v>
      </c>
      <c r="G76" s="30" t="n">
        <v>43466</v>
      </c>
      <c r="H76" s="30" t="n">
        <v>43492</v>
      </c>
      <c r="I76" s="28" t="s">
        <v>79</v>
      </c>
    </row>
    <row r="77" customFormat="false" ht="12.8" hidden="false" customHeight="false" outlineLevel="0" collapsed="false">
      <c r="A77" s="28" t="s">
        <v>119</v>
      </c>
      <c r="B77" s="29" t="n">
        <v>126.21</v>
      </c>
      <c r="C77" s="28" t="n">
        <v>0</v>
      </c>
      <c r="D77" s="28" t="n">
        <v>1</v>
      </c>
      <c r="E77" s="28" t="n">
        <v>0</v>
      </c>
      <c r="F77" s="28" t="n">
        <v>0</v>
      </c>
      <c r="G77" s="30" t="n">
        <v>43466</v>
      </c>
      <c r="H77" s="30" t="n">
        <v>43492</v>
      </c>
      <c r="I77" s="28" t="s">
        <v>79</v>
      </c>
    </row>
    <row r="78" customFormat="false" ht="12.8" hidden="false" customHeight="false" outlineLevel="0" collapsed="false">
      <c r="A78" s="28" t="s">
        <v>120</v>
      </c>
      <c r="B78" s="29" t="n">
        <v>6.5</v>
      </c>
      <c r="C78" s="28" t="n">
        <v>0</v>
      </c>
      <c r="D78" s="28" t="n">
        <v>1</v>
      </c>
      <c r="E78" s="28" t="n">
        <v>0</v>
      </c>
      <c r="F78" s="28" t="n">
        <v>0</v>
      </c>
      <c r="G78" s="30" t="n">
        <v>43466</v>
      </c>
      <c r="H78" s="30" t="n">
        <v>43492</v>
      </c>
      <c r="I78" s="28" t="s">
        <v>72</v>
      </c>
    </row>
    <row r="79" customFormat="false" ht="12.8" hidden="false" customHeight="false" outlineLevel="0" collapsed="false">
      <c r="A79" s="28" t="s">
        <v>119</v>
      </c>
      <c r="B79" s="29" t="n">
        <v>22.8</v>
      </c>
      <c r="C79" s="28" t="n">
        <v>0</v>
      </c>
      <c r="D79" s="28" t="n">
        <v>1</v>
      </c>
      <c r="E79" s="28" t="n">
        <v>0</v>
      </c>
      <c r="F79" s="28" t="n">
        <v>0</v>
      </c>
      <c r="G79" s="30" t="n">
        <v>43466</v>
      </c>
      <c r="H79" s="30" t="n">
        <v>43492</v>
      </c>
      <c r="I79" s="28" t="s">
        <v>79</v>
      </c>
    </row>
    <row r="80" customFormat="false" ht="12.8" hidden="false" customHeight="false" outlineLevel="0" collapsed="false">
      <c r="A80" s="28" t="s">
        <v>74</v>
      </c>
      <c r="B80" s="29" t="n">
        <v>2.99</v>
      </c>
      <c r="C80" s="28" t="n">
        <v>0</v>
      </c>
      <c r="D80" s="28" t="n">
        <v>1</v>
      </c>
      <c r="E80" s="28" t="n">
        <v>0</v>
      </c>
      <c r="F80" s="28" t="n">
        <v>0</v>
      </c>
      <c r="G80" s="30" t="n">
        <v>43466</v>
      </c>
      <c r="H80" s="30" t="n">
        <v>43493</v>
      </c>
      <c r="I80" s="28" t="s">
        <v>72</v>
      </c>
    </row>
    <row r="81" customFormat="false" ht="12.8" hidden="false" customHeight="false" outlineLevel="0" collapsed="false">
      <c r="A81" s="28" t="s">
        <v>100</v>
      </c>
      <c r="B81" s="29" t="n">
        <v>14.8</v>
      </c>
      <c r="C81" s="28" t="n">
        <v>0</v>
      </c>
      <c r="D81" s="28" t="n">
        <v>1</v>
      </c>
      <c r="E81" s="28" t="n">
        <v>0</v>
      </c>
      <c r="F81" s="28" t="n">
        <v>0</v>
      </c>
      <c r="G81" s="30" t="n">
        <v>43466</v>
      </c>
      <c r="H81" s="30" t="n">
        <v>43495</v>
      </c>
      <c r="I81" s="28" t="s">
        <v>72</v>
      </c>
    </row>
    <row r="82" customFormat="false" ht="12.8" hidden="false" customHeight="false" outlineLevel="0" collapsed="false">
      <c r="A82" s="28" t="s">
        <v>121</v>
      </c>
      <c r="B82" s="29" t="n">
        <v>16.75</v>
      </c>
      <c r="C82" s="28" t="n">
        <v>0</v>
      </c>
      <c r="D82" s="28" t="n">
        <v>1</v>
      </c>
      <c r="E82" s="28" t="n">
        <v>0</v>
      </c>
      <c r="F82" s="28" t="n">
        <v>0</v>
      </c>
      <c r="G82" s="30" t="n">
        <v>43466</v>
      </c>
      <c r="H82" s="30" t="n">
        <v>43495</v>
      </c>
      <c r="I82" s="28" t="s">
        <v>72</v>
      </c>
    </row>
    <row r="83" customFormat="false" ht="12.8" hidden="false" customHeight="false" outlineLevel="0" collapsed="false">
      <c r="A83" s="28" t="s">
        <v>114</v>
      </c>
      <c r="B83" s="29" t="n">
        <v>0.3</v>
      </c>
      <c r="C83" s="28" t="n">
        <v>0</v>
      </c>
      <c r="D83" s="28" t="n">
        <v>1</v>
      </c>
      <c r="E83" s="28" t="n">
        <v>0</v>
      </c>
      <c r="F83" s="28" t="n">
        <v>0</v>
      </c>
      <c r="G83" s="30" t="n">
        <v>43466</v>
      </c>
      <c r="H83" s="30" t="n">
        <v>43496</v>
      </c>
      <c r="I83" s="28" t="s">
        <v>81</v>
      </c>
    </row>
    <row r="84" customFormat="false" ht="12.8" hidden="false" customHeight="false" outlineLevel="0" collapsed="false">
      <c r="A84" s="28" t="s">
        <v>122</v>
      </c>
      <c r="B84" s="29" t="n">
        <v>14.99</v>
      </c>
      <c r="C84" s="28" t="n">
        <v>0</v>
      </c>
      <c r="D84" s="28" t="n">
        <v>1</v>
      </c>
      <c r="E84" s="28" t="n">
        <v>0</v>
      </c>
      <c r="F84" s="28" t="n">
        <v>0</v>
      </c>
      <c r="G84" s="30" t="n">
        <v>43466</v>
      </c>
      <c r="H84" s="30" t="n">
        <v>43496</v>
      </c>
      <c r="I84" s="28" t="s">
        <v>72</v>
      </c>
    </row>
    <row r="85" customFormat="false" ht="12.8" hidden="false" customHeight="false" outlineLevel="0" collapsed="false">
      <c r="A85" s="0" t="s">
        <v>123</v>
      </c>
      <c r="B85" s="26" t="n">
        <v>100</v>
      </c>
      <c r="C85" s="0" t="n">
        <v>0</v>
      </c>
      <c r="D85" s="0" t="n">
        <v>1</v>
      </c>
      <c r="E85" s="0" t="n">
        <v>0</v>
      </c>
      <c r="F85" s="28" t="n">
        <v>0</v>
      </c>
      <c r="G85" s="1" t="n">
        <v>43497</v>
      </c>
      <c r="H85" s="1" t="n">
        <v>43497</v>
      </c>
      <c r="I85" s="0" t="s">
        <v>124</v>
      </c>
    </row>
    <row r="86" customFormat="false" ht="12.8" hidden="false" customHeight="false" outlineLevel="0" collapsed="false">
      <c r="A86" s="0" t="s">
        <v>79</v>
      </c>
      <c r="B86" s="26" t="n">
        <v>14.59</v>
      </c>
      <c r="C86" s="0" t="n">
        <v>0</v>
      </c>
      <c r="D86" s="0" t="n">
        <v>1</v>
      </c>
      <c r="E86" s="0" t="n">
        <v>0</v>
      </c>
      <c r="F86" s="28" t="n">
        <v>0</v>
      </c>
      <c r="G86" s="1" t="n">
        <v>43497</v>
      </c>
      <c r="H86" s="1" t="n">
        <v>43497</v>
      </c>
    </row>
    <row r="87" customFormat="false" ht="12.8" hidden="false" customHeight="false" outlineLevel="0" collapsed="false">
      <c r="A87" s="0" t="s">
        <v>72</v>
      </c>
      <c r="B87" s="26" t="n">
        <v>12.9</v>
      </c>
      <c r="C87" s="0" t="n">
        <v>0</v>
      </c>
      <c r="D87" s="0" t="n">
        <v>1</v>
      </c>
      <c r="E87" s="0" t="n">
        <v>0</v>
      </c>
      <c r="F87" s="28" t="n">
        <v>0</v>
      </c>
      <c r="G87" s="1" t="n">
        <v>43497</v>
      </c>
      <c r="H87" s="1" t="n">
        <v>43497</v>
      </c>
    </row>
    <row r="88" customFormat="false" ht="12.8" hidden="false" customHeight="false" outlineLevel="0" collapsed="false">
      <c r="A88" s="0" t="s">
        <v>72</v>
      </c>
      <c r="B88" s="26" t="n">
        <v>10.48</v>
      </c>
      <c r="C88" s="0" t="n">
        <v>0</v>
      </c>
      <c r="D88" s="0" t="n">
        <v>1</v>
      </c>
      <c r="E88" s="0" t="n">
        <v>0</v>
      </c>
      <c r="F88" s="28" t="n">
        <v>0</v>
      </c>
      <c r="G88" s="1" t="n">
        <v>43497</v>
      </c>
      <c r="H88" s="1" t="n">
        <v>43497</v>
      </c>
    </row>
    <row r="89" customFormat="false" ht="12.8" hidden="false" customHeight="false" outlineLevel="0" collapsed="false">
      <c r="A89" s="0" t="s">
        <v>125</v>
      </c>
      <c r="B89" s="26" t="n">
        <v>99</v>
      </c>
      <c r="C89" s="0" t="n">
        <v>0</v>
      </c>
      <c r="D89" s="0" t="n">
        <v>1</v>
      </c>
      <c r="E89" s="0" t="n">
        <v>0</v>
      </c>
      <c r="F89" s="28" t="n">
        <v>0</v>
      </c>
      <c r="G89" s="1" t="n">
        <v>43497</v>
      </c>
      <c r="H89" s="1" t="n">
        <v>43497</v>
      </c>
    </row>
    <row r="90" customFormat="false" ht="12.8" hidden="false" customHeight="false" outlineLevel="0" collapsed="false">
      <c r="A90" s="0" t="s">
        <v>126</v>
      </c>
      <c r="B90" s="26" t="n">
        <v>27.99</v>
      </c>
      <c r="C90" s="0" t="n">
        <v>0</v>
      </c>
      <c r="D90" s="0" t="n">
        <v>1</v>
      </c>
      <c r="E90" s="0" t="n">
        <v>0</v>
      </c>
      <c r="F90" s="28" t="n">
        <v>0</v>
      </c>
      <c r="G90" s="1" t="n">
        <v>43497</v>
      </c>
      <c r="H90" s="1" t="n">
        <v>43497</v>
      </c>
    </row>
    <row r="91" customFormat="false" ht="12.8" hidden="false" customHeight="false" outlineLevel="0" collapsed="false">
      <c r="A91" s="0" t="s">
        <v>95</v>
      </c>
      <c r="B91" s="26" t="n">
        <v>36.37</v>
      </c>
      <c r="C91" s="0" t="n">
        <v>0</v>
      </c>
      <c r="D91" s="0" t="n">
        <v>1</v>
      </c>
      <c r="E91" s="0" t="n">
        <v>0</v>
      </c>
      <c r="F91" s="28" t="n">
        <v>0</v>
      </c>
      <c r="G91" s="1" t="n">
        <v>43497</v>
      </c>
      <c r="H91" s="1" t="n">
        <v>43497</v>
      </c>
    </row>
    <row r="92" customFormat="false" ht="12.8" hidden="false" customHeight="false" outlineLevel="0" collapsed="false">
      <c r="A92" s="0" t="s">
        <v>74</v>
      </c>
      <c r="B92" s="26" t="n">
        <v>2.99</v>
      </c>
      <c r="C92" s="0" t="n">
        <v>0</v>
      </c>
      <c r="D92" s="0" t="n">
        <v>1</v>
      </c>
      <c r="E92" s="0" t="n">
        <v>0</v>
      </c>
      <c r="F92" s="28" t="n">
        <v>0</v>
      </c>
      <c r="G92" s="1" t="n">
        <v>43497</v>
      </c>
      <c r="H92" s="1" t="n">
        <v>43500</v>
      </c>
    </row>
    <row r="93" customFormat="false" ht="12.8" hidden="false" customHeight="false" outlineLevel="0" collapsed="false">
      <c r="A93" s="0" t="s">
        <v>127</v>
      </c>
      <c r="B93" s="26" t="n">
        <v>14.9</v>
      </c>
      <c r="C93" s="0" t="n">
        <v>0</v>
      </c>
      <c r="D93" s="0" t="n">
        <v>1</v>
      </c>
      <c r="E93" s="0" t="n">
        <v>0</v>
      </c>
      <c r="F93" s="28" t="n">
        <v>0</v>
      </c>
      <c r="G93" s="1" t="n">
        <v>43497</v>
      </c>
      <c r="H93" s="1" t="n">
        <v>43500</v>
      </c>
    </row>
    <row r="94" customFormat="false" ht="12.8" hidden="false" customHeight="false" outlineLevel="0" collapsed="false">
      <c r="A94" s="0" t="s">
        <v>128</v>
      </c>
      <c r="B94" s="26" t="n">
        <v>6</v>
      </c>
      <c r="C94" s="0" t="n">
        <v>0</v>
      </c>
      <c r="D94" s="0" t="n">
        <v>1</v>
      </c>
      <c r="E94" s="0" t="n">
        <v>0</v>
      </c>
      <c r="F94" s="28" t="n">
        <v>0</v>
      </c>
      <c r="G94" s="1" t="n">
        <v>43497</v>
      </c>
      <c r="H94" s="1" t="n">
        <v>43500</v>
      </c>
    </row>
    <row r="95" customFormat="false" ht="12.8" hidden="false" customHeight="false" outlineLevel="0" collapsed="false">
      <c r="A95" s="6" t="s">
        <v>129</v>
      </c>
      <c r="B95" s="35" t="n">
        <v>159.1</v>
      </c>
      <c r="C95" s="0" t="n">
        <v>1</v>
      </c>
      <c r="D95" s="0" t="n">
        <v>0</v>
      </c>
      <c r="E95" s="0" t="n">
        <v>0</v>
      </c>
      <c r="F95" s="28" t="n">
        <v>0</v>
      </c>
      <c r="G95" s="1" t="n">
        <v>43497</v>
      </c>
      <c r="H95" s="24" t="n">
        <v>43503</v>
      </c>
      <c r="I95" s="6" t="s">
        <v>60</v>
      </c>
    </row>
    <row r="96" customFormat="false" ht="12.8" hidden="false" customHeight="false" outlineLevel="0" collapsed="false">
      <c r="A96" s="6" t="s">
        <v>130</v>
      </c>
      <c r="B96" s="35" t="n">
        <v>604.55</v>
      </c>
      <c r="C96" s="0" t="n">
        <v>0</v>
      </c>
      <c r="D96" s="0" t="n">
        <v>1</v>
      </c>
      <c r="E96" s="0" t="n">
        <v>0</v>
      </c>
      <c r="F96" s="28" t="n">
        <v>0</v>
      </c>
      <c r="G96" s="1" t="n">
        <v>43497</v>
      </c>
      <c r="H96" s="24" t="n">
        <v>43500</v>
      </c>
      <c r="I96" s="6" t="s">
        <v>131</v>
      </c>
    </row>
    <row r="97" customFormat="false" ht="12.8" hidden="false" customHeight="false" outlineLevel="0" collapsed="false">
      <c r="A97" s="6" t="s">
        <v>132</v>
      </c>
      <c r="B97" s="35" t="n">
        <v>646.8</v>
      </c>
      <c r="C97" s="0" t="n">
        <v>0</v>
      </c>
      <c r="D97" s="0" t="n">
        <v>1</v>
      </c>
      <c r="E97" s="0" t="n">
        <v>0</v>
      </c>
      <c r="F97" s="28" t="n">
        <v>0</v>
      </c>
      <c r="G97" s="1" t="n">
        <v>43497</v>
      </c>
      <c r="H97" s="24" t="n">
        <v>43511</v>
      </c>
      <c r="I97" s="6" t="s">
        <v>131</v>
      </c>
    </row>
    <row r="98" customFormat="false" ht="12.8" hidden="false" customHeight="false" outlineLevel="0" collapsed="false">
      <c r="A98" s="6" t="s">
        <v>75</v>
      </c>
      <c r="B98" s="35" t="n">
        <v>250.59</v>
      </c>
      <c r="C98" s="0" t="n">
        <v>1</v>
      </c>
      <c r="D98" s="0" t="n">
        <v>0</v>
      </c>
      <c r="E98" s="0" t="n">
        <v>0</v>
      </c>
      <c r="F98" s="28" t="n">
        <v>0</v>
      </c>
      <c r="G98" s="1" t="n">
        <v>43497</v>
      </c>
      <c r="H98" s="24" t="n">
        <v>43497</v>
      </c>
      <c r="I98" s="6" t="s">
        <v>76</v>
      </c>
    </row>
    <row r="99" customFormat="false" ht="12.8" hidden="false" customHeight="false" outlineLevel="0" collapsed="false">
      <c r="A99" s="6" t="s">
        <v>133</v>
      </c>
      <c r="B99" s="35" t="n">
        <v>788.42</v>
      </c>
      <c r="C99" s="0" t="n">
        <v>1</v>
      </c>
      <c r="D99" s="0" t="n">
        <v>0</v>
      </c>
      <c r="E99" s="0" t="n">
        <v>0</v>
      </c>
      <c r="F99" s="28" t="n">
        <v>0</v>
      </c>
      <c r="G99" s="1" t="n">
        <v>43497</v>
      </c>
      <c r="H99" s="24" t="n">
        <v>43501</v>
      </c>
      <c r="I99" s="6" t="s">
        <v>88</v>
      </c>
      <c r="J99" s="36"/>
    </row>
    <row r="100" customFormat="false" ht="12.8" hidden="false" customHeight="false" outlineLevel="0" collapsed="false">
      <c r="A100" s="0" t="s">
        <v>105</v>
      </c>
      <c r="B100" s="26" t="n">
        <v>184.5</v>
      </c>
      <c r="C100" s="0" t="n">
        <v>1</v>
      </c>
      <c r="D100" s="0" t="n">
        <v>0</v>
      </c>
      <c r="E100" s="0" t="n">
        <v>0</v>
      </c>
      <c r="F100" s="28" t="n">
        <v>0</v>
      </c>
      <c r="G100" s="1" t="n">
        <v>43497</v>
      </c>
      <c r="H100" s="1" t="n">
        <v>43500</v>
      </c>
      <c r="I100" s="0" t="s">
        <v>106</v>
      </c>
      <c r="J100" s="36"/>
    </row>
    <row r="101" customFormat="false" ht="12.8" hidden="false" customHeight="false" outlineLevel="0" collapsed="false">
      <c r="A101" s="0" t="s">
        <v>69</v>
      </c>
      <c r="B101" s="26" t="n">
        <v>330</v>
      </c>
      <c r="C101" s="0" t="n">
        <v>1</v>
      </c>
      <c r="D101" s="0" t="n">
        <v>0</v>
      </c>
      <c r="E101" s="0" t="n">
        <v>0</v>
      </c>
      <c r="F101" s="28" t="n">
        <v>0</v>
      </c>
      <c r="G101" s="1" t="n">
        <v>43497</v>
      </c>
      <c r="H101" s="1" t="n">
        <v>43500</v>
      </c>
      <c r="I101" s="0" t="s">
        <v>70</v>
      </c>
      <c r="J101" s="36"/>
    </row>
    <row r="102" customFormat="false" ht="12.8" hidden="false" customHeight="false" outlineLevel="0" collapsed="false">
      <c r="A102" s="0" t="s">
        <v>67</v>
      </c>
      <c r="B102" s="26" t="n">
        <v>1061.1</v>
      </c>
      <c r="C102" s="0" t="n">
        <v>1</v>
      </c>
      <c r="D102" s="0" t="n">
        <v>0</v>
      </c>
      <c r="E102" s="0" t="n">
        <v>0</v>
      </c>
      <c r="F102" s="28" t="n">
        <v>0</v>
      </c>
      <c r="G102" s="1" t="n">
        <v>43497</v>
      </c>
      <c r="H102" s="1" t="n">
        <v>43506</v>
      </c>
      <c r="I102" s="0" t="s">
        <v>68</v>
      </c>
    </row>
    <row r="103" customFormat="false" ht="12.8" hidden="false" customHeight="false" outlineLevel="0" collapsed="false">
      <c r="A103" s="0" t="s">
        <v>57</v>
      </c>
      <c r="B103" s="26" t="n">
        <v>74.65</v>
      </c>
      <c r="C103" s="0" t="n">
        <v>1</v>
      </c>
      <c r="D103" s="0" t="n">
        <v>0</v>
      </c>
      <c r="E103" s="0" t="n">
        <v>0</v>
      </c>
      <c r="F103" s="28" t="n">
        <v>0</v>
      </c>
      <c r="G103" s="1" t="n">
        <v>43497</v>
      </c>
      <c r="H103" s="1" t="n">
        <v>43501</v>
      </c>
      <c r="I103" s="0" t="s">
        <v>58</v>
      </c>
    </row>
    <row r="104" customFormat="false" ht="12.8" hidden="false" customHeight="false" outlineLevel="0" collapsed="false">
      <c r="A104" s="0" t="s">
        <v>134</v>
      </c>
      <c r="B104" s="26" t="n">
        <v>342.77</v>
      </c>
      <c r="C104" s="0" t="n">
        <v>1</v>
      </c>
      <c r="D104" s="0" t="n">
        <v>0</v>
      </c>
      <c r="E104" s="0" t="n">
        <v>0</v>
      </c>
      <c r="F104" s="28" t="n">
        <v>0</v>
      </c>
      <c r="G104" s="1" t="n">
        <v>43497</v>
      </c>
      <c r="H104" s="1" t="n">
        <v>43516</v>
      </c>
      <c r="I104" s="0" t="s">
        <v>60</v>
      </c>
    </row>
    <row r="105" customFormat="false" ht="12.8" hidden="false" customHeight="false" outlineLevel="0" collapsed="false">
      <c r="A105" s="0" t="s">
        <v>61</v>
      </c>
      <c r="B105" s="26" t="n">
        <v>1492.67</v>
      </c>
      <c r="C105" s="0" t="n">
        <v>1</v>
      </c>
      <c r="D105" s="0" t="n">
        <v>0</v>
      </c>
      <c r="E105" s="0" t="n">
        <v>0</v>
      </c>
      <c r="F105" s="28" t="n">
        <v>0</v>
      </c>
      <c r="G105" s="1" t="n">
        <v>43497</v>
      </c>
      <c r="H105" s="1" t="n">
        <v>43516</v>
      </c>
      <c r="I105" s="0" t="s">
        <v>60</v>
      </c>
    </row>
    <row r="106" customFormat="false" ht="12.8" hidden="false" customHeight="false" outlineLevel="0" collapsed="false">
      <c r="A106" s="0" t="s">
        <v>135</v>
      </c>
      <c r="B106" s="23" t="n">
        <f aca="false">SUMIFS(credito!$B$1:$B$87,credito!$F$1:$F$87,debito!G106,credito!$G$1:$G$87,0)</f>
        <v>1553</v>
      </c>
      <c r="C106" s="0" t="n">
        <v>0</v>
      </c>
      <c r="D106" s="0" t="n">
        <v>1</v>
      </c>
      <c r="E106" s="0" t="n">
        <v>0</v>
      </c>
      <c r="F106" s="28" t="n">
        <v>0</v>
      </c>
      <c r="G106" s="1" t="n">
        <v>43497</v>
      </c>
      <c r="H106" s="1" t="n">
        <v>43514</v>
      </c>
      <c r="I106" s="0" t="s">
        <v>131</v>
      </c>
    </row>
    <row r="107" customFormat="false" ht="12.8" hidden="false" customHeight="false" outlineLevel="0" collapsed="false">
      <c r="A107" s="0" t="s">
        <v>62</v>
      </c>
      <c r="B107" s="23" t="n">
        <v>6.18</v>
      </c>
      <c r="C107" s="0" t="n">
        <v>1</v>
      </c>
      <c r="D107" s="0" t="n">
        <v>0</v>
      </c>
      <c r="E107" s="0" t="n">
        <v>0</v>
      </c>
      <c r="F107" s="28" t="n">
        <v>0</v>
      </c>
      <c r="G107" s="1" t="n">
        <v>43497</v>
      </c>
      <c r="H107" s="1" t="n">
        <v>43507</v>
      </c>
      <c r="I107" s="0" t="s">
        <v>58</v>
      </c>
    </row>
    <row r="108" customFormat="false" ht="12.8" hidden="false" customHeight="false" outlineLevel="0" collapsed="false">
      <c r="A108" s="0" t="s">
        <v>63</v>
      </c>
      <c r="B108" s="23" t="n">
        <v>75</v>
      </c>
      <c r="C108" s="0" t="n">
        <v>1</v>
      </c>
      <c r="D108" s="0" t="n">
        <v>0</v>
      </c>
      <c r="E108" s="0" t="n">
        <v>0</v>
      </c>
      <c r="F108" s="28" t="n">
        <v>0</v>
      </c>
      <c r="G108" s="1" t="n">
        <v>43497</v>
      </c>
      <c r="H108" s="1" t="n">
        <v>43511</v>
      </c>
      <c r="I108" s="0" t="s">
        <v>64</v>
      </c>
    </row>
    <row r="109" customFormat="false" ht="12.8" hidden="false" customHeight="false" outlineLevel="0" collapsed="false">
      <c r="A109" s="0" t="s">
        <v>75</v>
      </c>
      <c r="B109" s="23" t="n">
        <v>250.59</v>
      </c>
      <c r="C109" s="0" t="n">
        <v>1</v>
      </c>
      <c r="D109" s="0" t="n">
        <v>0</v>
      </c>
      <c r="E109" s="0" t="n">
        <v>0</v>
      </c>
      <c r="F109" s="28" t="n">
        <v>0</v>
      </c>
      <c r="G109" s="1" t="n">
        <v>43497</v>
      </c>
      <c r="H109" s="1" t="n">
        <v>43511</v>
      </c>
      <c r="I109" s="0" t="s">
        <v>76</v>
      </c>
    </row>
    <row r="110" customFormat="false" ht="12.8" hidden="false" customHeight="false" outlineLevel="0" collapsed="false">
      <c r="A110" s="0" t="s">
        <v>85</v>
      </c>
      <c r="B110" s="23" t="n">
        <v>50</v>
      </c>
      <c r="C110" s="0" t="n">
        <v>0</v>
      </c>
      <c r="D110" s="0" t="n">
        <v>1</v>
      </c>
      <c r="E110" s="0" t="n">
        <v>0</v>
      </c>
      <c r="F110" s="28" t="n">
        <v>0</v>
      </c>
      <c r="G110" s="1" t="n">
        <v>43497</v>
      </c>
      <c r="H110" s="1" t="n">
        <v>43500</v>
      </c>
      <c r="I110" s="0" t="s">
        <v>85</v>
      </c>
    </row>
    <row r="111" customFormat="false" ht="12.8" hidden="false" customHeight="false" outlineLevel="0" collapsed="false">
      <c r="A111" s="0" t="s">
        <v>136</v>
      </c>
      <c r="B111" s="23" t="n">
        <v>50</v>
      </c>
      <c r="C111" s="0" t="n">
        <v>0</v>
      </c>
      <c r="D111" s="0" t="n">
        <v>1</v>
      </c>
      <c r="E111" s="0" t="n">
        <v>0</v>
      </c>
      <c r="F111" s="28" t="n">
        <v>0</v>
      </c>
      <c r="G111" s="1" t="n">
        <v>43497</v>
      </c>
      <c r="H111" s="1" t="n">
        <v>43500</v>
      </c>
      <c r="I111" s="0" t="s">
        <v>136</v>
      </c>
    </row>
    <row r="112" customFormat="false" ht="12.8" hidden="false" customHeight="false" outlineLevel="0" collapsed="false">
      <c r="A112" s="0" t="s">
        <v>137</v>
      </c>
      <c r="B112" s="23" t="n">
        <v>8.5</v>
      </c>
      <c r="C112" s="0" t="n">
        <v>0</v>
      </c>
      <c r="D112" s="0" t="n">
        <v>1</v>
      </c>
      <c r="E112" s="0" t="n">
        <v>0</v>
      </c>
      <c r="F112" s="28" t="n">
        <v>0</v>
      </c>
      <c r="G112" s="1" t="n">
        <v>43497</v>
      </c>
      <c r="H112" s="1" t="n">
        <v>43500</v>
      </c>
      <c r="I112" s="0" t="s">
        <v>138</v>
      </c>
    </row>
    <row r="113" customFormat="false" ht="12.8" hidden="false" customHeight="false" outlineLevel="0" collapsed="false">
      <c r="A113" s="0" t="s">
        <v>137</v>
      </c>
      <c r="B113" s="23" t="n">
        <v>3.8</v>
      </c>
      <c r="C113" s="0" t="n">
        <v>0</v>
      </c>
      <c r="D113" s="0" t="n">
        <v>1</v>
      </c>
      <c r="E113" s="0" t="n">
        <v>0</v>
      </c>
      <c r="F113" s="28" t="n">
        <v>0</v>
      </c>
      <c r="G113" s="1" t="n">
        <v>43497</v>
      </c>
      <c r="H113" s="1" t="n">
        <v>43500</v>
      </c>
      <c r="I113" s="0" t="s">
        <v>138</v>
      </c>
    </row>
    <row r="114" customFormat="false" ht="12.8" hidden="false" customHeight="false" outlineLevel="0" collapsed="false">
      <c r="A114" s="0" t="s">
        <v>79</v>
      </c>
      <c r="B114" s="23" t="n">
        <v>39.78</v>
      </c>
      <c r="C114" s="0" t="n">
        <v>0</v>
      </c>
      <c r="D114" s="0" t="n">
        <v>1</v>
      </c>
      <c r="E114" s="0" t="n">
        <v>0</v>
      </c>
      <c r="F114" s="28" t="n">
        <v>0</v>
      </c>
      <c r="G114" s="1" t="n">
        <v>43497</v>
      </c>
      <c r="H114" s="1" t="n">
        <v>43500</v>
      </c>
      <c r="I114" s="0" t="s">
        <v>79</v>
      </c>
    </row>
    <row r="115" customFormat="false" ht="12.8" hidden="false" customHeight="false" outlineLevel="0" collapsed="false">
      <c r="A115" s="0" t="s">
        <v>79</v>
      </c>
      <c r="B115" s="23" t="n">
        <v>3.5</v>
      </c>
      <c r="C115" s="0" t="n">
        <v>0</v>
      </c>
      <c r="D115" s="0" t="n">
        <v>1</v>
      </c>
      <c r="E115" s="0" t="n">
        <v>0</v>
      </c>
      <c r="F115" s="28" t="n">
        <v>0</v>
      </c>
      <c r="G115" s="1" t="n">
        <v>43497</v>
      </c>
      <c r="H115" s="1" t="n">
        <v>43500</v>
      </c>
      <c r="I115" s="0" t="s">
        <v>79</v>
      </c>
    </row>
    <row r="116" customFormat="false" ht="12.8" hidden="false" customHeight="false" outlineLevel="0" collapsed="false">
      <c r="A116" s="0" t="s">
        <v>139</v>
      </c>
      <c r="B116" s="23" t="n">
        <v>13</v>
      </c>
      <c r="C116" s="0" t="n">
        <v>0</v>
      </c>
      <c r="D116" s="0" t="n">
        <v>1</v>
      </c>
      <c r="E116" s="0" t="n">
        <v>0</v>
      </c>
      <c r="F116" s="28" t="n">
        <v>0</v>
      </c>
      <c r="G116" s="1" t="n">
        <v>43497</v>
      </c>
      <c r="H116" s="1" t="n">
        <v>43501</v>
      </c>
      <c r="I116" s="0" t="s">
        <v>72</v>
      </c>
    </row>
    <row r="117" customFormat="false" ht="12.8" hidden="false" customHeight="false" outlineLevel="0" collapsed="false">
      <c r="A117" s="0" t="s">
        <v>85</v>
      </c>
      <c r="B117" s="23" t="n">
        <v>50</v>
      </c>
      <c r="C117" s="0" t="n">
        <v>0</v>
      </c>
      <c r="D117" s="0" t="n">
        <v>1</v>
      </c>
      <c r="E117" s="0" t="n">
        <v>0</v>
      </c>
      <c r="F117" s="28" t="n">
        <v>0</v>
      </c>
      <c r="G117" s="1" t="n">
        <v>43497</v>
      </c>
      <c r="H117" s="1" t="n">
        <v>43505</v>
      </c>
      <c r="I117" s="0" t="s">
        <v>85</v>
      </c>
    </row>
    <row r="118" customFormat="false" ht="12.8" hidden="false" customHeight="false" outlineLevel="0" collapsed="false">
      <c r="A118" s="0" t="s">
        <v>68</v>
      </c>
      <c r="B118" s="23" t="n">
        <v>20</v>
      </c>
      <c r="C118" s="0" t="n">
        <v>0</v>
      </c>
      <c r="D118" s="0" t="n">
        <v>1</v>
      </c>
      <c r="E118" s="0" t="n">
        <v>0</v>
      </c>
      <c r="F118" s="28" t="n">
        <v>0</v>
      </c>
      <c r="G118" s="1" t="n">
        <v>43497</v>
      </c>
      <c r="H118" s="1" t="n">
        <v>43506</v>
      </c>
      <c r="I118" s="0" t="s">
        <v>68</v>
      </c>
    </row>
    <row r="119" customFormat="false" ht="12.8" hidden="false" customHeight="false" outlineLevel="0" collapsed="false">
      <c r="A119" s="0" t="s">
        <v>35</v>
      </c>
      <c r="B119" s="23" t="n">
        <v>20</v>
      </c>
      <c r="C119" s="0" t="n">
        <v>0</v>
      </c>
      <c r="D119" s="0" t="n">
        <v>1</v>
      </c>
      <c r="E119" s="0" t="n">
        <v>0</v>
      </c>
      <c r="F119" s="28" t="n">
        <v>0</v>
      </c>
      <c r="G119" s="1" t="n">
        <v>43497</v>
      </c>
      <c r="H119" s="1" t="n">
        <v>43506</v>
      </c>
      <c r="I119" s="0" t="s">
        <v>81</v>
      </c>
    </row>
    <row r="120" customFormat="false" ht="12.8" hidden="false" customHeight="false" outlineLevel="0" collapsed="false">
      <c r="A120" s="0" t="s">
        <v>140</v>
      </c>
      <c r="B120" s="23" t="n">
        <v>10</v>
      </c>
      <c r="C120" s="0" t="n">
        <v>0</v>
      </c>
      <c r="D120" s="0" t="n">
        <v>1</v>
      </c>
      <c r="E120" s="0" t="n">
        <v>0</v>
      </c>
      <c r="F120" s="28" t="n">
        <v>0</v>
      </c>
      <c r="G120" s="1" t="n">
        <v>43497</v>
      </c>
      <c r="H120" s="1" t="n">
        <v>43506</v>
      </c>
      <c r="I120" s="0" t="s">
        <v>72</v>
      </c>
    </row>
    <row r="121" customFormat="false" ht="12.8" hidden="false" customHeight="false" outlineLevel="0" collapsed="false">
      <c r="A121" s="0" t="s">
        <v>78</v>
      </c>
      <c r="B121" s="23" t="n">
        <v>203.85</v>
      </c>
      <c r="C121" s="0" t="n">
        <v>0</v>
      </c>
      <c r="D121" s="0" t="n">
        <v>1</v>
      </c>
      <c r="E121" s="0" t="n">
        <v>0</v>
      </c>
      <c r="F121" s="28" t="n">
        <v>0</v>
      </c>
      <c r="G121" s="1" t="n">
        <v>43497</v>
      </c>
      <c r="H121" s="1" t="n">
        <v>43502</v>
      </c>
      <c r="I121" s="0" t="s">
        <v>79</v>
      </c>
    </row>
    <row r="122" customFormat="false" ht="12.8" hidden="false" customHeight="false" outlineLevel="0" collapsed="false">
      <c r="A122" s="0" t="s">
        <v>74</v>
      </c>
      <c r="B122" s="23" t="n">
        <v>2.99</v>
      </c>
      <c r="C122" s="0" t="n">
        <v>0</v>
      </c>
      <c r="D122" s="0" t="n">
        <v>1</v>
      </c>
      <c r="E122" s="0" t="n">
        <v>0</v>
      </c>
      <c r="F122" s="28" t="n">
        <v>0</v>
      </c>
      <c r="G122" s="1" t="n">
        <v>43497</v>
      </c>
      <c r="H122" s="1" t="n">
        <v>43502</v>
      </c>
      <c r="I122" s="0" t="s">
        <v>72</v>
      </c>
    </row>
    <row r="123" customFormat="false" ht="12.8" hidden="false" customHeight="false" outlineLevel="0" collapsed="false">
      <c r="A123" s="0" t="s">
        <v>141</v>
      </c>
      <c r="B123" s="23" t="n">
        <v>20.89</v>
      </c>
      <c r="C123" s="0" t="n">
        <v>0</v>
      </c>
      <c r="D123" s="0" t="n">
        <v>1</v>
      </c>
      <c r="E123" s="0" t="n">
        <v>0</v>
      </c>
      <c r="F123" s="28" t="n">
        <v>0</v>
      </c>
      <c r="G123" s="1" t="n">
        <v>43497</v>
      </c>
      <c r="H123" s="1" t="n">
        <v>43503</v>
      </c>
      <c r="I123" s="0" t="s">
        <v>116</v>
      </c>
    </row>
    <row r="124" customFormat="false" ht="12.8" hidden="false" customHeight="false" outlineLevel="0" collapsed="false">
      <c r="A124" s="0" t="s">
        <v>142</v>
      </c>
      <c r="B124" s="23" t="n">
        <v>12.87</v>
      </c>
      <c r="C124" s="0" t="n">
        <v>0</v>
      </c>
      <c r="D124" s="0" t="n">
        <v>1</v>
      </c>
      <c r="E124" s="0" t="n">
        <v>0</v>
      </c>
      <c r="F124" s="28" t="n">
        <v>0</v>
      </c>
      <c r="G124" s="1" t="n">
        <v>43497</v>
      </c>
      <c r="H124" s="1" t="n">
        <v>43503</v>
      </c>
      <c r="I124" s="0" t="s">
        <v>116</v>
      </c>
    </row>
    <row r="125" customFormat="false" ht="12.8" hidden="false" customHeight="false" outlineLevel="0" collapsed="false">
      <c r="A125" s="0" t="s">
        <v>143</v>
      </c>
      <c r="B125" s="23" t="n">
        <v>43.5</v>
      </c>
      <c r="C125" s="0" t="n">
        <v>0</v>
      </c>
      <c r="D125" s="0" t="n">
        <v>1</v>
      </c>
      <c r="E125" s="0" t="n">
        <v>0</v>
      </c>
      <c r="F125" s="28" t="n">
        <v>0</v>
      </c>
      <c r="G125" s="1" t="n">
        <v>43497</v>
      </c>
      <c r="H125" s="1" t="n">
        <v>43504</v>
      </c>
      <c r="I125" s="0" t="s">
        <v>72</v>
      </c>
    </row>
    <row r="126" customFormat="false" ht="12.8" hidden="false" customHeight="false" outlineLevel="0" collapsed="false">
      <c r="A126" s="0" t="s">
        <v>144</v>
      </c>
      <c r="B126" s="23" t="n">
        <v>100</v>
      </c>
      <c r="C126" s="0" t="n">
        <v>0</v>
      </c>
      <c r="D126" s="0" t="n">
        <v>1</v>
      </c>
      <c r="E126" s="0" t="n">
        <v>0</v>
      </c>
      <c r="F126" s="28" t="n">
        <v>0</v>
      </c>
      <c r="G126" s="1" t="n">
        <v>43497</v>
      </c>
      <c r="H126" s="1" t="n">
        <v>43502</v>
      </c>
      <c r="I126" s="0" t="s">
        <v>138</v>
      </c>
    </row>
    <row r="127" customFormat="false" ht="12.8" hidden="false" customHeight="false" outlineLevel="0" collapsed="false">
      <c r="A127" s="0" t="s">
        <v>145</v>
      </c>
      <c r="B127" s="23" t="n">
        <v>38.73</v>
      </c>
      <c r="C127" s="0" t="n">
        <v>0</v>
      </c>
      <c r="D127" s="0" t="n">
        <v>1</v>
      </c>
      <c r="E127" s="0" t="n">
        <v>0</v>
      </c>
      <c r="F127" s="28" t="n">
        <v>0</v>
      </c>
      <c r="G127" s="1" t="n">
        <v>43497</v>
      </c>
      <c r="H127" s="1" t="n">
        <v>43505</v>
      </c>
      <c r="I127" s="0" t="s">
        <v>138</v>
      </c>
    </row>
    <row r="128" customFormat="false" ht="12.8" hidden="false" customHeight="false" outlineLevel="0" collapsed="false">
      <c r="A128" s="0" t="s">
        <v>146</v>
      </c>
      <c r="B128" s="23" t="n">
        <v>37.9</v>
      </c>
      <c r="C128" s="0" t="n">
        <v>0</v>
      </c>
      <c r="D128" s="0" t="n">
        <v>1</v>
      </c>
      <c r="E128" s="0" t="n">
        <v>0</v>
      </c>
      <c r="F128" s="28" t="n">
        <v>0</v>
      </c>
      <c r="G128" s="1" t="n">
        <v>43497</v>
      </c>
      <c r="H128" s="1" t="n">
        <v>43505</v>
      </c>
      <c r="I128" s="0" t="s">
        <v>138</v>
      </c>
    </row>
    <row r="129" customFormat="false" ht="12.8" hidden="false" customHeight="false" outlineLevel="0" collapsed="false">
      <c r="A129" s="0" t="s">
        <v>147</v>
      </c>
      <c r="B129" s="23" t="n">
        <v>187.9</v>
      </c>
      <c r="C129" s="0" t="n">
        <v>0</v>
      </c>
      <c r="D129" s="0" t="n">
        <v>1</v>
      </c>
      <c r="E129" s="0" t="n">
        <v>0</v>
      </c>
      <c r="F129" s="28" t="n">
        <v>0</v>
      </c>
      <c r="G129" s="1" t="n">
        <v>43497</v>
      </c>
      <c r="H129" s="1" t="n">
        <v>43506</v>
      </c>
      <c r="I129" s="0" t="s">
        <v>138</v>
      </c>
    </row>
    <row r="130" customFormat="false" ht="12.8" hidden="false" customHeight="false" outlineLevel="0" collapsed="false">
      <c r="A130" s="31" t="s">
        <v>65</v>
      </c>
      <c r="B130" s="32" t="n">
        <v>2700</v>
      </c>
      <c r="C130" s="31" t="n">
        <v>1</v>
      </c>
      <c r="D130" s="31" t="n">
        <v>0</v>
      </c>
      <c r="E130" s="31" t="n">
        <v>1</v>
      </c>
      <c r="F130" s="28" t="n">
        <v>0</v>
      </c>
      <c r="G130" s="33" t="n">
        <v>43497</v>
      </c>
      <c r="H130" s="33" t="n">
        <v>43524</v>
      </c>
      <c r="I130" s="31" t="s">
        <v>66</v>
      </c>
    </row>
    <row r="131" customFormat="false" ht="12.8" hidden="false" customHeight="false" outlineLevel="0" collapsed="false">
      <c r="A131" s="0" t="s">
        <v>148</v>
      </c>
      <c r="B131" s="26" t="n">
        <v>32.9</v>
      </c>
      <c r="C131" s="0" t="n">
        <v>0</v>
      </c>
      <c r="D131" s="0" t="n">
        <v>1</v>
      </c>
      <c r="E131" s="0" t="n">
        <v>0</v>
      </c>
      <c r="F131" s="28" t="n">
        <v>0</v>
      </c>
      <c r="G131" s="1" t="n">
        <v>43497</v>
      </c>
      <c r="H131" s="1" t="n">
        <v>43507</v>
      </c>
      <c r="I131" s="0" t="s">
        <v>73</v>
      </c>
    </row>
    <row r="132" customFormat="false" ht="12.8" hidden="false" customHeight="false" outlineLevel="0" collapsed="false">
      <c r="A132" s="0" t="s">
        <v>113</v>
      </c>
      <c r="B132" s="26" t="n">
        <v>14</v>
      </c>
      <c r="C132" s="0" t="n">
        <v>0</v>
      </c>
      <c r="D132" s="0" t="n">
        <v>1</v>
      </c>
      <c r="E132" s="0" t="n">
        <v>0</v>
      </c>
      <c r="F132" s="28" t="n">
        <v>0</v>
      </c>
      <c r="G132" s="1" t="n">
        <v>43497</v>
      </c>
      <c r="H132" s="1" t="n">
        <v>43507</v>
      </c>
      <c r="I132" s="0" t="s">
        <v>72</v>
      </c>
    </row>
    <row r="133" customFormat="false" ht="12.8" hidden="false" customHeight="false" outlineLevel="0" collapsed="false">
      <c r="A133" s="0" t="s">
        <v>79</v>
      </c>
      <c r="B133" s="26" t="n">
        <v>247.44</v>
      </c>
      <c r="C133" s="0" t="n">
        <v>0</v>
      </c>
      <c r="D133" s="0" t="n">
        <v>1</v>
      </c>
      <c r="E133" s="0" t="n">
        <v>0</v>
      </c>
      <c r="F133" s="28" t="n">
        <v>0</v>
      </c>
      <c r="G133" s="1" t="n">
        <v>43497</v>
      </c>
      <c r="H133" s="1" t="n">
        <v>43508</v>
      </c>
      <c r="I133" s="0" t="s">
        <v>79</v>
      </c>
    </row>
    <row r="134" customFormat="false" ht="12.8" hidden="false" customHeight="false" outlineLevel="0" collapsed="false">
      <c r="A134" s="0" t="s">
        <v>149</v>
      </c>
      <c r="B134" s="26" t="n">
        <v>68</v>
      </c>
      <c r="C134" s="0" t="n">
        <v>0</v>
      </c>
      <c r="D134" s="0" t="n">
        <v>1</v>
      </c>
      <c r="E134" s="0" t="n">
        <v>0</v>
      </c>
      <c r="F134" s="28" t="n">
        <v>0</v>
      </c>
      <c r="G134" s="1" t="n">
        <v>43497</v>
      </c>
      <c r="H134" s="1" t="n">
        <v>43508</v>
      </c>
      <c r="I134" s="0" t="s">
        <v>81</v>
      </c>
    </row>
    <row r="135" customFormat="false" ht="12.8" hidden="false" customHeight="false" outlineLevel="0" collapsed="false">
      <c r="A135" s="0" t="s">
        <v>150</v>
      </c>
      <c r="B135" s="26" t="n">
        <v>79.9</v>
      </c>
      <c r="C135" s="0" t="n">
        <v>0</v>
      </c>
      <c r="D135" s="0" t="n">
        <v>1</v>
      </c>
      <c r="E135" s="0" t="n">
        <v>0</v>
      </c>
      <c r="F135" s="28" t="n">
        <v>0</v>
      </c>
      <c r="G135" s="1" t="n">
        <v>43497</v>
      </c>
      <c r="H135" s="1" t="n">
        <v>43508</v>
      </c>
      <c r="I135" s="0" t="s">
        <v>81</v>
      </c>
    </row>
    <row r="136" customFormat="false" ht="12.8" hidden="false" customHeight="false" outlineLevel="0" collapsed="false">
      <c r="A136" s="0" t="s">
        <v>79</v>
      </c>
      <c r="B136" s="26" t="n">
        <v>39.11</v>
      </c>
      <c r="C136" s="0" t="n">
        <v>0</v>
      </c>
      <c r="D136" s="0" t="n">
        <v>1</v>
      </c>
      <c r="E136" s="0" t="n">
        <v>0</v>
      </c>
      <c r="F136" s="28" t="n">
        <v>0</v>
      </c>
      <c r="G136" s="1" t="n">
        <v>43497</v>
      </c>
      <c r="H136" s="1" t="n">
        <v>43509</v>
      </c>
      <c r="I136" s="0" t="s">
        <v>79</v>
      </c>
    </row>
    <row r="137" customFormat="false" ht="12.8" hidden="false" customHeight="false" outlineLevel="0" collapsed="false">
      <c r="A137" s="0" t="s">
        <v>151</v>
      </c>
      <c r="B137" s="26" t="n">
        <v>15.45</v>
      </c>
      <c r="C137" s="0" t="n">
        <v>0</v>
      </c>
      <c r="D137" s="0" t="n">
        <v>1</v>
      </c>
      <c r="E137" s="0" t="n">
        <v>0</v>
      </c>
      <c r="F137" s="28" t="n">
        <v>0</v>
      </c>
      <c r="G137" s="1" t="n">
        <v>43497</v>
      </c>
      <c r="H137" s="1" t="n">
        <v>43509</v>
      </c>
      <c r="I137" s="0" t="s">
        <v>72</v>
      </c>
    </row>
    <row r="138" customFormat="false" ht="12.8" hidden="false" customHeight="false" outlineLevel="0" collapsed="false">
      <c r="A138" s="0" t="s">
        <v>152</v>
      </c>
      <c r="B138" s="26" t="n">
        <v>8.9</v>
      </c>
      <c r="C138" s="0" t="n">
        <v>0</v>
      </c>
      <c r="D138" s="0" t="n">
        <v>1</v>
      </c>
      <c r="E138" s="0" t="n">
        <v>0</v>
      </c>
      <c r="F138" s="28" t="n">
        <v>0</v>
      </c>
      <c r="G138" s="1" t="n">
        <v>43497</v>
      </c>
      <c r="H138" s="1" t="n">
        <v>43509</v>
      </c>
      <c r="I138" s="0" t="s">
        <v>81</v>
      </c>
    </row>
    <row r="139" customFormat="false" ht="12.8" hidden="false" customHeight="false" outlineLevel="0" collapsed="false">
      <c r="A139" s="0" t="s">
        <v>74</v>
      </c>
      <c r="B139" s="26" t="n">
        <v>2.99</v>
      </c>
      <c r="C139" s="0" t="n">
        <v>0</v>
      </c>
      <c r="D139" s="0" t="n">
        <v>1</v>
      </c>
      <c r="E139" s="0" t="n">
        <v>0</v>
      </c>
      <c r="F139" s="28" t="n">
        <v>0</v>
      </c>
      <c r="G139" s="1" t="n">
        <v>43497</v>
      </c>
      <c r="H139" s="1" t="n">
        <v>43511</v>
      </c>
      <c r="I139" s="0" t="s">
        <v>72</v>
      </c>
    </row>
    <row r="140" customFormat="false" ht="12.8" hidden="false" customHeight="false" outlineLevel="0" collapsed="false">
      <c r="A140" s="0" t="s">
        <v>139</v>
      </c>
      <c r="B140" s="26" t="n">
        <v>15</v>
      </c>
      <c r="C140" s="0" t="n">
        <v>0</v>
      </c>
      <c r="D140" s="0" t="n">
        <v>1</v>
      </c>
      <c r="E140" s="0" t="n">
        <v>0</v>
      </c>
      <c r="F140" s="28" t="n">
        <v>0</v>
      </c>
      <c r="G140" s="1" t="n">
        <v>43497</v>
      </c>
      <c r="H140" s="1" t="n">
        <v>43511</v>
      </c>
      <c r="I140" s="0" t="s">
        <v>72</v>
      </c>
    </row>
    <row r="141" customFormat="false" ht="12.8" hidden="false" customHeight="false" outlineLevel="0" collapsed="false">
      <c r="A141" s="0" t="s">
        <v>153</v>
      </c>
      <c r="B141" s="26" t="n">
        <v>45</v>
      </c>
      <c r="C141" s="0" t="n">
        <v>0</v>
      </c>
      <c r="D141" s="0" t="n">
        <v>1</v>
      </c>
      <c r="E141" s="0" t="n">
        <v>0</v>
      </c>
      <c r="F141" s="28" t="n">
        <v>0</v>
      </c>
      <c r="G141" s="1" t="n">
        <v>43497</v>
      </c>
      <c r="H141" s="1" t="n">
        <v>43511</v>
      </c>
      <c r="I141" s="0" t="s">
        <v>72</v>
      </c>
    </row>
    <row r="142" customFormat="false" ht="12.8" hidden="false" customHeight="false" outlineLevel="0" collapsed="false">
      <c r="A142" s="0" t="s">
        <v>94</v>
      </c>
      <c r="B142" s="26" t="n">
        <v>56.56</v>
      </c>
      <c r="C142" s="0" t="n">
        <v>0</v>
      </c>
      <c r="D142" s="0" t="n">
        <v>1</v>
      </c>
      <c r="E142" s="0" t="n">
        <v>0</v>
      </c>
      <c r="F142" s="28" t="n">
        <v>0</v>
      </c>
      <c r="G142" s="1" t="n">
        <v>43497</v>
      </c>
      <c r="H142" s="1" t="n">
        <v>43513</v>
      </c>
      <c r="I142" s="0" t="s">
        <v>84</v>
      </c>
    </row>
    <row r="143" customFormat="false" ht="12.8" hidden="false" customHeight="false" outlineLevel="0" collapsed="false">
      <c r="A143" s="0" t="s">
        <v>74</v>
      </c>
      <c r="B143" s="26" t="n">
        <v>2.99</v>
      </c>
      <c r="C143" s="0" t="n">
        <v>0</v>
      </c>
      <c r="D143" s="0" t="n">
        <v>1</v>
      </c>
      <c r="E143" s="0" t="n">
        <v>0</v>
      </c>
      <c r="F143" s="28" t="n">
        <v>0</v>
      </c>
      <c r="G143" s="1" t="n">
        <v>43497</v>
      </c>
      <c r="H143" s="1" t="n">
        <v>43514</v>
      </c>
      <c r="I143" s="0" t="s">
        <v>72</v>
      </c>
    </row>
    <row r="144" customFormat="false" ht="12.8" hidden="false" customHeight="false" outlineLevel="0" collapsed="false">
      <c r="A144" s="0" t="s">
        <v>154</v>
      </c>
      <c r="B144" s="26" t="n">
        <v>104.6</v>
      </c>
      <c r="C144" s="0" t="n">
        <v>0</v>
      </c>
      <c r="D144" s="0" t="n">
        <v>1</v>
      </c>
      <c r="E144" s="0" t="n">
        <v>0</v>
      </c>
      <c r="F144" s="28" t="n">
        <v>0</v>
      </c>
      <c r="G144" s="1" t="n">
        <v>43497</v>
      </c>
      <c r="H144" s="1" t="n">
        <v>43513</v>
      </c>
      <c r="I144" s="0" t="s">
        <v>106</v>
      </c>
    </row>
    <row r="145" customFormat="false" ht="12.8" hidden="false" customHeight="false" outlineLevel="0" collapsed="false">
      <c r="A145" s="0" t="s">
        <v>136</v>
      </c>
      <c r="B145" s="26" t="n">
        <v>50</v>
      </c>
      <c r="C145" s="0" t="n">
        <v>0</v>
      </c>
      <c r="D145" s="0" t="n">
        <v>1</v>
      </c>
      <c r="E145" s="0" t="n">
        <v>0</v>
      </c>
      <c r="F145" s="28" t="n">
        <v>0</v>
      </c>
      <c r="G145" s="1" t="n">
        <v>43497</v>
      </c>
      <c r="H145" s="1" t="n">
        <v>43512</v>
      </c>
      <c r="I145" s="0" t="s">
        <v>136</v>
      </c>
    </row>
    <row r="146" customFormat="false" ht="12.8" hidden="false" customHeight="false" outlineLevel="0" collapsed="false">
      <c r="A146" s="0" t="s">
        <v>155</v>
      </c>
      <c r="B146" s="26" t="n">
        <v>60</v>
      </c>
      <c r="C146" s="0" t="n">
        <v>0</v>
      </c>
      <c r="D146" s="0" t="n">
        <v>1</v>
      </c>
      <c r="E146" s="0" t="n">
        <v>0</v>
      </c>
      <c r="F146" s="28" t="n">
        <v>0</v>
      </c>
      <c r="G146" s="1" t="n">
        <v>43497</v>
      </c>
      <c r="H146" s="1" t="n">
        <v>43516</v>
      </c>
      <c r="I146" s="0" t="s">
        <v>81</v>
      </c>
    </row>
    <row r="147" customFormat="false" ht="12.8" hidden="false" customHeight="false" outlineLevel="0" collapsed="false">
      <c r="A147" s="0" t="s">
        <v>156</v>
      </c>
      <c r="B147" s="26" t="n">
        <v>10</v>
      </c>
      <c r="C147" s="0" t="n">
        <v>0</v>
      </c>
      <c r="D147" s="0" t="n">
        <v>1</v>
      </c>
      <c r="E147" s="0" t="n">
        <v>0</v>
      </c>
      <c r="F147" s="28" t="n">
        <v>0</v>
      </c>
      <c r="G147" s="1" t="n">
        <v>43497</v>
      </c>
      <c r="H147" s="1" t="n">
        <v>43516</v>
      </c>
      <c r="I147" s="0" t="s">
        <v>72</v>
      </c>
    </row>
    <row r="148" customFormat="false" ht="12.8" hidden="false" customHeight="false" outlineLevel="0" collapsed="false">
      <c r="A148" s="0" t="s">
        <v>157</v>
      </c>
      <c r="B148" s="26" t="n">
        <v>10</v>
      </c>
      <c r="C148" s="0" t="n">
        <v>0</v>
      </c>
      <c r="D148" s="0" t="n">
        <v>1</v>
      </c>
      <c r="E148" s="0" t="n">
        <v>0</v>
      </c>
      <c r="F148" s="28" t="n">
        <v>0</v>
      </c>
      <c r="G148" s="1" t="n">
        <v>43497</v>
      </c>
      <c r="H148" s="1" t="n">
        <v>43517</v>
      </c>
      <c r="I148" s="0" t="s">
        <v>72</v>
      </c>
    </row>
    <row r="149" customFormat="false" ht="12.8" hidden="false" customHeight="false" outlineLevel="0" collapsed="false">
      <c r="A149" s="0" t="s">
        <v>74</v>
      </c>
      <c r="B149" s="26" t="n">
        <v>3</v>
      </c>
      <c r="C149" s="0" t="n">
        <v>0</v>
      </c>
      <c r="D149" s="0" t="n">
        <v>1</v>
      </c>
      <c r="E149" s="0" t="n">
        <v>0</v>
      </c>
      <c r="F149" s="28" t="n">
        <v>0</v>
      </c>
      <c r="G149" s="1" t="n">
        <v>43497</v>
      </c>
      <c r="H149" s="1" t="n">
        <v>43517</v>
      </c>
      <c r="I149" s="0" t="s">
        <v>72</v>
      </c>
    </row>
    <row r="150" customFormat="false" ht="12.8" hidden="false" customHeight="false" outlineLevel="0" collapsed="false">
      <c r="A150" s="0" t="s">
        <v>158</v>
      </c>
      <c r="B150" s="26" t="n">
        <v>10</v>
      </c>
      <c r="C150" s="0" t="n">
        <v>0</v>
      </c>
      <c r="D150" s="0" t="n">
        <v>1</v>
      </c>
      <c r="E150" s="0" t="n">
        <v>0</v>
      </c>
      <c r="F150" s="28" t="n">
        <v>0</v>
      </c>
      <c r="G150" s="1" t="n">
        <v>43497</v>
      </c>
      <c r="H150" s="1" t="n">
        <v>43517</v>
      </c>
      <c r="I150" s="0" t="s">
        <v>72</v>
      </c>
    </row>
    <row r="151" customFormat="false" ht="12.8" hidden="false" customHeight="false" outlineLevel="0" collapsed="false">
      <c r="A151" s="0" t="s">
        <v>159</v>
      </c>
      <c r="B151" s="26" t="n">
        <v>5</v>
      </c>
      <c r="C151" s="0" t="n">
        <v>0</v>
      </c>
      <c r="D151" s="0" t="n">
        <v>1</v>
      </c>
      <c r="E151" s="0" t="n">
        <v>0</v>
      </c>
      <c r="F151" s="28" t="n">
        <v>0</v>
      </c>
      <c r="G151" s="1" t="n">
        <v>43497</v>
      </c>
      <c r="H151" s="1" t="n">
        <v>43517</v>
      </c>
      <c r="I151" s="0" t="s">
        <v>72</v>
      </c>
    </row>
    <row r="152" customFormat="false" ht="12.8" hidden="false" customHeight="false" outlineLevel="0" collapsed="false">
      <c r="A152" s="0" t="s">
        <v>160</v>
      </c>
      <c r="B152" s="26" t="n">
        <v>17.99</v>
      </c>
      <c r="C152" s="0" t="n">
        <v>0</v>
      </c>
      <c r="D152" s="0" t="n">
        <v>1</v>
      </c>
      <c r="E152" s="0" t="n">
        <v>0</v>
      </c>
      <c r="F152" s="28" t="n">
        <v>0</v>
      </c>
      <c r="G152" s="1" t="n">
        <v>43497</v>
      </c>
      <c r="H152" s="1" t="n">
        <v>43518</v>
      </c>
      <c r="I152" s="0" t="s">
        <v>72</v>
      </c>
    </row>
    <row r="153" customFormat="false" ht="12.8" hidden="false" customHeight="false" outlineLevel="0" collapsed="false">
      <c r="A153" s="0" t="s">
        <v>79</v>
      </c>
      <c r="B153" s="26" t="n">
        <v>8.72</v>
      </c>
      <c r="C153" s="0" t="n">
        <v>0</v>
      </c>
      <c r="D153" s="0" t="n">
        <v>1</v>
      </c>
      <c r="E153" s="0" t="n">
        <v>0</v>
      </c>
      <c r="F153" s="28" t="n">
        <v>0</v>
      </c>
      <c r="G153" s="1" t="n">
        <v>43497</v>
      </c>
      <c r="H153" s="1" t="n">
        <v>43518</v>
      </c>
      <c r="I153" s="0" t="s">
        <v>79</v>
      </c>
    </row>
    <row r="154" customFormat="false" ht="12.8" hidden="false" customHeight="false" outlineLevel="0" collapsed="false">
      <c r="A154" s="0" t="s">
        <v>136</v>
      </c>
      <c r="B154" s="26" t="n">
        <v>100</v>
      </c>
      <c r="C154" s="0" t="n">
        <v>0</v>
      </c>
      <c r="D154" s="0" t="n">
        <v>1</v>
      </c>
      <c r="E154" s="0" t="n">
        <v>0</v>
      </c>
      <c r="F154" s="28" t="n">
        <v>0</v>
      </c>
      <c r="G154" s="1" t="n">
        <v>43497</v>
      </c>
      <c r="H154" s="1" t="n">
        <v>43519</v>
      </c>
      <c r="I154" s="0" t="s">
        <v>136</v>
      </c>
    </row>
    <row r="155" customFormat="false" ht="12.8" hidden="false" customHeight="false" outlineLevel="0" collapsed="false">
      <c r="A155" s="0" t="s">
        <v>161</v>
      </c>
      <c r="B155" s="26" t="n">
        <v>41</v>
      </c>
      <c r="C155" s="0" t="n">
        <v>0</v>
      </c>
      <c r="D155" s="0" t="n">
        <v>1</v>
      </c>
      <c r="E155" s="0" t="n">
        <v>0</v>
      </c>
      <c r="F155" s="28" t="n">
        <v>0</v>
      </c>
      <c r="G155" s="1" t="n">
        <v>43497</v>
      </c>
      <c r="H155" s="1" t="n">
        <v>43519</v>
      </c>
      <c r="I155" s="0" t="s">
        <v>81</v>
      </c>
    </row>
    <row r="156" customFormat="false" ht="12.8" hidden="false" customHeight="false" outlineLevel="0" collapsed="false">
      <c r="A156" s="0" t="s">
        <v>100</v>
      </c>
      <c r="B156" s="26" t="n">
        <v>7</v>
      </c>
      <c r="C156" s="0" t="n">
        <v>0</v>
      </c>
      <c r="D156" s="0" t="n">
        <v>1</v>
      </c>
      <c r="E156" s="0" t="n">
        <v>0</v>
      </c>
      <c r="F156" s="28" t="n">
        <v>0</v>
      </c>
      <c r="G156" s="1" t="n">
        <v>43497</v>
      </c>
      <c r="H156" s="1" t="n">
        <v>43519</v>
      </c>
      <c r="I156" s="0" t="s">
        <v>72</v>
      </c>
    </row>
    <row r="157" customFormat="false" ht="12.8" hidden="false" customHeight="false" outlineLevel="0" collapsed="false">
      <c r="A157" s="0" t="s">
        <v>162</v>
      </c>
      <c r="B157" s="26" t="n">
        <v>7.5</v>
      </c>
      <c r="C157" s="0" t="n">
        <v>0</v>
      </c>
      <c r="D157" s="0" t="n">
        <v>1</v>
      </c>
      <c r="E157" s="0" t="n">
        <v>0</v>
      </c>
      <c r="F157" s="28" t="n">
        <v>0</v>
      </c>
      <c r="G157" s="1" t="n">
        <v>43497</v>
      </c>
      <c r="H157" s="1" t="n">
        <v>43519</v>
      </c>
      <c r="I157" s="0" t="s">
        <v>72</v>
      </c>
    </row>
    <row r="158" customFormat="false" ht="12.8" hidden="false" customHeight="false" outlineLevel="0" collapsed="false">
      <c r="A158" s="0" t="s">
        <v>163</v>
      </c>
      <c r="B158" s="26" t="n">
        <v>9.28</v>
      </c>
      <c r="C158" s="0" t="n">
        <v>0</v>
      </c>
      <c r="D158" s="0" t="n">
        <v>1</v>
      </c>
      <c r="E158" s="0" t="n">
        <v>0</v>
      </c>
      <c r="F158" s="28" t="n">
        <v>0</v>
      </c>
      <c r="G158" s="1" t="n">
        <v>43497</v>
      </c>
      <c r="H158" s="1" t="n">
        <v>43520</v>
      </c>
      <c r="I158" s="0" t="s">
        <v>79</v>
      </c>
    </row>
    <row r="159" customFormat="false" ht="12.8" hidden="false" customHeight="false" outlineLevel="0" collapsed="false">
      <c r="A159" s="0" t="s">
        <v>79</v>
      </c>
      <c r="B159" s="26" t="n">
        <v>242.51</v>
      </c>
      <c r="C159" s="0" t="n">
        <v>0</v>
      </c>
      <c r="D159" s="0" t="n">
        <v>1</v>
      </c>
      <c r="E159" s="0" t="n">
        <v>0</v>
      </c>
      <c r="F159" s="28" t="n">
        <v>0</v>
      </c>
      <c r="G159" s="1" t="n">
        <v>43497</v>
      </c>
      <c r="H159" s="1" t="n">
        <v>43515</v>
      </c>
      <c r="I159" s="0" t="s">
        <v>79</v>
      </c>
    </row>
    <row r="160" customFormat="false" ht="12.8" hidden="false" customHeight="false" outlineLevel="0" collapsed="false">
      <c r="A160" s="0" t="s">
        <v>164</v>
      </c>
      <c r="B160" s="26" t="n">
        <v>50</v>
      </c>
      <c r="C160" s="0" t="n">
        <v>0</v>
      </c>
      <c r="D160" s="0" t="n">
        <v>1</v>
      </c>
      <c r="E160" s="0" t="n">
        <v>0</v>
      </c>
      <c r="F160" s="28" t="n">
        <v>0</v>
      </c>
      <c r="G160" s="1" t="n">
        <v>43497</v>
      </c>
      <c r="H160" s="1" t="n">
        <v>43522</v>
      </c>
      <c r="I160" s="0" t="s">
        <v>81</v>
      </c>
    </row>
    <row r="161" customFormat="false" ht="12.8" hidden="false" customHeight="false" outlineLevel="0" collapsed="false">
      <c r="A161" s="0" t="s">
        <v>79</v>
      </c>
      <c r="B161" s="26" t="n">
        <v>101.29</v>
      </c>
      <c r="C161" s="0" t="n">
        <v>0</v>
      </c>
      <c r="D161" s="0" t="n">
        <v>1</v>
      </c>
      <c r="E161" s="0" t="n">
        <v>0</v>
      </c>
      <c r="F161" s="28" t="n">
        <v>0</v>
      </c>
      <c r="G161" s="1" t="n">
        <v>43497</v>
      </c>
      <c r="H161" s="1" t="n">
        <v>43522</v>
      </c>
      <c r="I161" s="0" t="s">
        <v>79</v>
      </c>
    </row>
    <row r="162" customFormat="false" ht="12.8" hidden="false" customHeight="false" outlineLevel="0" collapsed="false">
      <c r="A162" s="0" t="s">
        <v>165</v>
      </c>
      <c r="B162" s="26" t="n">
        <v>62</v>
      </c>
      <c r="C162" s="0" t="n">
        <v>0</v>
      </c>
      <c r="D162" s="0" t="n">
        <v>1</v>
      </c>
      <c r="E162" s="0" t="n">
        <v>0</v>
      </c>
      <c r="F162" s="28" t="n">
        <v>0</v>
      </c>
      <c r="G162" s="1" t="n">
        <v>43497</v>
      </c>
      <c r="H162" s="1" t="n">
        <v>43524</v>
      </c>
      <c r="I162" s="0" t="s">
        <v>79</v>
      </c>
    </row>
    <row r="163" customFormat="false" ht="12.8" hidden="false" customHeight="false" outlineLevel="0" collapsed="false">
      <c r="A163" s="8" t="s">
        <v>57</v>
      </c>
      <c r="B163" s="37" t="n">
        <v>74.65</v>
      </c>
      <c r="C163" s="8" t="n">
        <v>1</v>
      </c>
      <c r="D163" s="8" t="n">
        <v>0</v>
      </c>
      <c r="E163" s="8" t="n">
        <v>0</v>
      </c>
      <c r="F163" s="28" t="n">
        <v>0</v>
      </c>
      <c r="G163" s="9" t="n">
        <v>43525</v>
      </c>
      <c r="H163" s="9" t="n">
        <v>43530</v>
      </c>
      <c r="I163" s="8" t="s">
        <v>58</v>
      </c>
    </row>
    <row r="164" customFormat="false" ht="12.8" hidden="false" customHeight="false" outlineLevel="0" collapsed="false">
      <c r="A164" s="8" t="s">
        <v>59</v>
      </c>
      <c r="B164" s="37" t="n">
        <v>399.56</v>
      </c>
      <c r="C164" s="8" t="n">
        <v>1</v>
      </c>
      <c r="D164" s="8" t="n">
        <v>0</v>
      </c>
      <c r="E164" s="8" t="n">
        <v>0</v>
      </c>
      <c r="F164" s="28" t="n">
        <v>0</v>
      </c>
      <c r="G164" s="9" t="n">
        <v>43525</v>
      </c>
      <c r="H164" s="9" t="n">
        <v>43542</v>
      </c>
      <c r="I164" s="8" t="s">
        <v>60</v>
      </c>
    </row>
    <row r="165" customFormat="false" ht="12.8" hidden="false" customHeight="false" outlineLevel="0" collapsed="false">
      <c r="A165" s="8" t="s">
        <v>61</v>
      </c>
      <c r="B165" s="37" t="n">
        <v>1493.45</v>
      </c>
      <c r="C165" s="8" t="n">
        <v>1</v>
      </c>
      <c r="D165" s="8" t="n">
        <v>0</v>
      </c>
      <c r="E165" s="8" t="n">
        <v>0</v>
      </c>
      <c r="F165" s="28" t="n">
        <v>0</v>
      </c>
      <c r="G165" s="9" t="n">
        <v>43525</v>
      </c>
      <c r="H165" s="9" t="n">
        <v>43553</v>
      </c>
      <c r="I165" s="8" t="s">
        <v>60</v>
      </c>
    </row>
    <row r="166" customFormat="false" ht="12.8" hidden="false" customHeight="false" outlineLevel="0" collapsed="false">
      <c r="A166" s="8" t="s">
        <v>129</v>
      </c>
      <c r="B166" s="37" t="n">
        <v>131.2</v>
      </c>
      <c r="C166" s="8" t="n">
        <v>1</v>
      </c>
      <c r="D166" s="8" t="n">
        <v>0</v>
      </c>
      <c r="E166" s="8" t="n">
        <v>0</v>
      </c>
      <c r="F166" s="28" t="n">
        <v>0</v>
      </c>
      <c r="G166" s="9" t="n">
        <v>43525</v>
      </c>
      <c r="H166" s="9" t="n">
        <v>43546</v>
      </c>
      <c r="I166" s="8" t="s">
        <v>60</v>
      </c>
    </row>
    <row r="167" customFormat="false" ht="12.8" hidden="false" customHeight="false" outlineLevel="0" collapsed="false">
      <c r="A167" s="8" t="s">
        <v>135</v>
      </c>
      <c r="B167" s="37" t="n">
        <f aca="false">SUMIFS(credito!$B$1:$B$87,credito!$F$1:$F$87,debito!G167,credito!$G$1:$G$87,0)</f>
        <v>537.94</v>
      </c>
      <c r="C167" s="8" t="n">
        <v>0</v>
      </c>
      <c r="D167" s="8" t="n">
        <v>1</v>
      </c>
      <c r="E167" s="8" t="n">
        <v>0</v>
      </c>
      <c r="F167" s="28" t="n">
        <v>0</v>
      </c>
      <c r="G167" s="9" t="n">
        <v>43525</v>
      </c>
      <c r="H167" s="9" t="n">
        <v>43539</v>
      </c>
      <c r="I167" s="8" t="s">
        <v>131</v>
      </c>
    </row>
    <row r="168" customFormat="false" ht="12.8" hidden="false" customHeight="false" outlineLevel="0" collapsed="false">
      <c r="A168" s="8" t="s">
        <v>132</v>
      </c>
      <c r="B168" s="37" t="n">
        <v>313.54</v>
      </c>
      <c r="C168" s="8" t="n">
        <v>0</v>
      </c>
      <c r="D168" s="8" t="n">
        <v>1</v>
      </c>
      <c r="E168" s="8" t="n">
        <v>0</v>
      </c>
      <c r="F168" s="28" t="n">
        <v>0</v>
      </c>
      <c r="G168" s="9" t="n">
        <v>43525</v>
      </c>
      <c r="H168" s="9" t="n">
        <v>43539</v>
      </c>
      <c r="I168" s="8" t="s">
        <v>131</v>
      </c>
    </row>
    <row r="169" customFormat="false" ht="12.8" hidden="false" customHeight="false" outlineLevel="0" collapsed="false">
      <c r="A169" s="8" t="s">
        <v>69</v>
      </c>
      <c r="B169" s="37" t="n">
        <v>0</v>
      </c>
      <c r="C169" s="8" t="n">
        <v>1</v>
      </c>
      <c r="D169" s="8" t="n">
        <v>0</v>
      </c>
      <c r="E169" s="8" t="n">
        <v>1</v>
      </c>
      <c r="F169" s="28" t="n">
        <v>0</v>
      </c>
      <c r="G169" s="9" t="n">
        <v>43525</v>
      </c>
      <c r="H169" s="9"/>
      <c r="I169" s="8" t="s">
        <v>70</v>
      </c>
    </row>
    <row r="170" customFormat="false" ht="12.8" hidden="false" customHeight="false" outlineLevel="0" collapsed="false">
      <c r="A170" s="8" t="s">
        <v>62</v>
      </c>
      <c r="B170" s="37" t="n">
        <v>6.18</v>
      </c>
      <c r="C170" s="8" t="n">
        <v>1</v>
      </c>
      <c r="D170" s="8" t="n">
        <v>0</v>
      </c>
      <c r="E170" s="8" t="n">
        <v>0</v>
      </c>
      <c r="F170" s="28" t="n">
        <v>0</v>
      </c>
      <c r="G170" s="9" t="n">
        <v>43525</v>
      </c>
      <c r="H170" s="9" t="n">
        <v>43535</v>
      </c>
      <c r="I170" s="8" t="s">
        <v>58</v>
      </c>
    </row>
    <row r="171" customFormat="false" ht="12.8" hidden="false" customHeight="false" outlineLevel="0" collapsed="false">
      <c r="A171" s="8" t="s">
        <v>63</v>
      </c>
      <c r="B171" s="37" t="n">
        <v>75</v>
      </c>
      <c r="C171" s="8" t="n">
        <v>1</v>
      </c>
      <c r="D171" s="8" t="n">
        <v>0</v>
      </c>
      <c r="E171" s="8" t="n">
        <v>0</v>
      </c>
      <c r="F171" s="28" t="n">
        <v>0</v>
      </c>
      <c r="G171" s="9" t="n">
        <v>43525</v>
      </c>
      <c r="H171" s="9" t="n">
        <v>43543</v>
      </c>
      <c r="I171" s="8" t="s">
        <v>64</v>
      </c>
    </row>
    <row r="172" customFormat="false" ht="12.8" hidden="false" customHeight="false" outlineLevel="0" collapsed="false">
      <c r="A172" s="8" t="s">
        <v>75</v>
      </c>
      <c r="B172" s="37" t="n">
        <v>250.59</v>
      </c>
      <c r="C172" s="8" t="n">
        <v>1</v>
      </c>
      <c r="D172" s="8" t="n">
        <v>0</v>
      </c>
      <c r="E172" s="8" t="n">
        <v>0</v>
      </c>
      <c r="F172" s="28" t="n">
        <v>0</v>
      </c>
      <c r="G172" s="9" t="n">
        <v>43525</v>
      </c>
      <c r="H172" s="9" t="n">
        <v>43542</v>
      </c>
      <c r="I172" s="8" t="s">
        <v>76</v>
      </c>
    </row>
    <row r="173" customFormat="false" ht="12.8" hidden="false" customHeight="false" outlineLevel="0" collapsed="false">
      <c r="A173" s="31" t="s">
        <v>65</v>
      </c>
      <c r="B173" s="32" t="n">
        <v>2700</v>
      </c>
      <c r="C173" s="31" t="n">
        <v>1</v>
      </c>
      <c r="D173" s="31" t="n">
        <v>0</v>
      </c>
      <c r="E173" s="31" t="n">
        <v>1</v>
      </c>
      <c r="F173" s="28" t="n">
        <v>0</v>
      </c>
      <c r="G173" s="33" t="n">
        <v>43525</v>
      </c>
      <c r="H173" s="33" t="n">
        <v>43555</v>
      </c>
      <c r="I173" s="31" t="s">
        <v>66</v>
      </c>
    </row>
    <row r="174" customFormat="false" ht="12.8" hidden="false" customHeight="false" outlineLevel="0" collapsed="false">
      <c r="A174" s="38" t="s">
        <v>166</v>
      </c>
      <c r="B174" s="39" t="n">
        <v>954</v>
      </c>
      <c r="C174" s="8" t="n">
        <v>0</v>
      </c>
      <c r="D174" s="8" t="n">
        <v>1</v>
      </c>
      <c r="E174" s="8" t="n">
        <v>0</v>
      </c>
      <c r="F174" s="28" t="n">
        <v>0</v>
      </c>
      <c r="G174" s="9" t="n">
        <v>43525</v>
      </c>
      <c r="H174" s="40" t="n">
        <v>43531</v>
      </c>
      <c r="I174" s="38" t="s">
        <v>166</v>
      </c>
    </row>
    <row r="175" customFormat="false" ht="12.8" hidden="false" customHeight="false" outlineLevel="0" collapsed="false">
      <c r="A175" s="38" t="s">
        <v>167</v>
      </c>
      <c r="B175" s="39" t="n">
        <v>930.52</v>
      </c>
      <c r="C175" s="8" t="n">
        <v>0</v>
      </c>
      <c r="D175" s="8" t="n">
        <v>1</v>
      </c>
      <c r="E175" s="8" t="n">
        <v>0</v>
      </c>
      <c r="F175" s="28" t="n">
        <v>0</v>
      </c>
      <c r="G175" s="9" t="n">
        <v>43525</v>
      </c>
      <c r="H175" s="40" t="n">
        <v>43530</v>
      </c>
      <c r="I175" s="38" t="s">
        <v>88</v>
      </c>
    </row>
    <row r="176" customFormat="false" ht="12.8" hidden="false" customHeight="false" outlineLevel="0" collapsed="false">
      <c r="A176" s="38" t="s">
        <v>95</v>
      </c>
      <c r="B176" s="39" t="n">
        <v>51.82</v>
      </c>
      <c r="C176" s="8" t="n">
        <v>0</v>
      </c>
      <c r="D176" s="8" t="n">
        <v>1</v>
      </c>
      <c r="E176" s="8" t="n">
        <v>0</v>
      </c>
      <c r="F176" s="28" t="n">
        <v>0</v>
      </c>
      <c r="G176" s="9" t="n">
        <v>43525</v>
      </c>
      <c r="H176" s="40" t="n">
        <v>43530</v>
      </c>
      <c r="I176" s="38" t="s">
        <v>88</v>
      </c>
    </row>
    <row r="177" customFormat="false" ht="12.8" hidden="false" customHeight="false" outlineLevel="0" collapsed="false">
      <c r="A177" s="38" t="s">
        <v>168</v>
      </c>
      <c r="B177" s="39" t="n">
        <v>5.69</v>
      </c>
      <c r="C177" s="8" t="n">
        <v>0</v>
      </c>
      <c r="D177" s="8" t="n">
        <v>1</v>
      </c>
      <c r="E177" s="8" t="n">
        <v>0</v>
      </c>
      <c r="F177" s="28" t="n">
        <v>0</v>
      </c>
      <c r="G177" s="9" t="n">
        <v>43525</v>
      </c>
      <c r="H177" s="40" t="n">
        <v>43525</v>
      </c>
      <c r="I177" s="38" t="s">
        <v>116</v>
      </c>
    </row>
    <row r="178" customFormat="false" ht="12.8" hidden="false" customHeight="false" outlineLevel="0" collapsed="false">
      <c r="A178" s="38" t="s">
        <v>169</v>
      </c>
      <c r="B178" s="39" t="n">
        <v>8</v>
      </c>
      <c r="C178" s="8" t="n">
        <v>0</v>
      </c>
      <c r="D178" s="8" t="n">
        <v>1</v>
      </c>
      <c r="E178" s="8" t="n">
        <v>0</v>
      </c>
      <c r="F178" s="28" t="n">
        <v>0</v>
      </c>
      <c r="G178" s="9" t="n">
        <v>43525</v>
      </c>
      <c r="H178" s="40" t="n">
        <v>43525</v>
      </c>
      <c r="I178" s="38" t="s">
        <v>72</v>
      </c>
    </row>
    <row r="179" customFormat="false" ht="12.8" hidden="false" customHeight="false" outlineLevel="0" collapsed="false">
      <c r="A179" s="38" t="s">
        <v>85</v>
      </c>
      <c r="B179" s="39" t="n">
        <v>50</v>
      </c>
      <c r="C179" s="8" t="n">
        <v>0</v>
      </c>
      <c r="D179" s="8" t="n">
        <v>1</v>
      </c>
      <c r="E179" s="8" t="n">
        <v>0</v>
      </c>
      <c r="F179" s="28" t="n">
        <v>0</v>
      </c>
      <c r="G179" s="9" t="n">
        <v>43525</v>
      </c>
      <c r="H179" s="40" t="n">
        <v>43526</v>
      </c>
      <c r="I179" s="38" t="s">
        <v>85</v>
      </c>
    </row>
    <row r="180" customFormat="false" ht="12.8" hidden="false" customHeight="false" outlineLevel="0" collapsed="false">
      <c r="A180" s="38" t="s">
        <v>136</v>
      </c>
      <c r="B180" s="39" t="n">
        <v>50</v>
      </c>
      <c r="C180" s="8" t="n">
        <v>0</v>
      </c>
      <c r="D180" s="8" t="n">
        <v>1</v>
      </c>
      <c r="E180" s="8" t="n">
        <v>0</v>
      </c>
      <c r="F180" s="28" t="n">
        <v>0</v>
      </c>
      <c r="G180" s="9" t="n">
        <v>43525</v>
      </c>
      <c r="H180" s="40" t="n">
        <v>43526</v>
      </c>
      <c r="I180" s="38" t="s">
        <v>136</v>
      </c>
    </row>
    <row r="181" customFormat="false" ht="12.8" hidden="false" customHeight="false" outlineLevel="0" collapsed="false">
      <c r="A181" s="38" t="s">
        <v>84</v>
      </c>
      <c r="B181" s="39" t="n">
        <v>23.15</v>
      </c>
      <c r="C181" s="8" t="n">
        <v>0</v>
      </c>
      <c r="D181" s="8" t="n">
        <v>1</v>
      </c>
      <c r="E181" s="8" t="n">
        <v>0</v>
      </c>
      <c r="F181" s="28" t="n">
        <v>0</v>
      </c>
      <c r="G181" s="9" t="n">
        <v>43525</v>
      </c>
      <c r="H181" s="40" t="n">
        <v>43527</v>
      </c>
      <c r="I181" s="38" t="s">
        <v>84</v>
      </c>
    </row>
    <row r="182" customFormat="false" ht="12.8" hidden="false" customHeight="false" outlineLevel="0" collapsed="false">
      <c r="A182" s="38" t="s">
        <v>170</v>
      </c>
      <c r="B182" s="39" t="n">
        <v>27</v>
      </c>
      <c r="C182" s="8" t="n">
        <v>0</v>
      </c>
      <c r="D182" s="8" t="n">
        <v>1</v>
      </c>
      <c r="E182" s="8" t="n">
        <v>0</v>
      </c>
      <c r="F182" s="28" t="n">
        <v>0</v>
      </c>
      <c r="G182" s="9" t="n">
        <v>43525</v>
      </c>
      <c r="H182" s="40" t="n">
        <v>43527</v>
      </c>
      <c r="I182" s="38" t="s">
        <v>73</v>
      </c>
    </row>
    <row r="183" customFormat="false" ht="12.8" hidden="false" customHeight="false" outlineLevel="0" collapsed="false">
      <c r="A183" s="38" t="s">
        <v>79</v>
      </c>
      <c r="B183" s="39" t="n">
        <v>196.75</v>
      </c>
      <c r="C183" s="8" t="n">
        <v>0</v>
      </c>
      <c r="D183" s="8" t="n">
        <v>1</v>
      </c>
      <c r="E183" s="8" t="n">
        <v>0</v>
      </c>
      <c r="F183" s="28" t="n">
        <v>0</v>
      </c>
      <c r="G183" s="9" t="n">
        <v>43525</v>
      </c>
      <c r="H183" s="40" t="n">
        <v>43529</v>
      </c>
      <c r="I183" s="38" t="s">
        <v>79</v>
      </c>
    </row>
    <row r="184" customFormat="false" ht="12.8" hidden="false" customHeight="false" outlineLevel="0" collapsed="false">
      <c r="A184" s="38" t="s">
        <v>171</v>
      </c>
      <c r="B184" s="39" t="n">
        <v>80.45</v>
      </c>
      <c r="C184" s="8" t="n">
        <v>0</v>
      </c>
      <c r="D184" s="8" t="n">
        <v>1</v>
      </c>
      <c r="E184" s="8" t="n">
        <v>0</v>
      </c>
      <c r="F184" s="28" t="n">
        <v>0</v>
      </c>
      <c r="G184" s="9" t="n">
        <v>43525</v>
      </c>
      <c r="H184" s="40" t="n">
        <v>43529</v>
      </c>
      <c r="I184" s="38" t="s">
        <v>79</v>
      </c>
    </row>
    <row r="185" customFormat="false" ht="12.8" hidden="false" customHeight="false" outlineLevel="0" collapsed="false">
      <c r="A185" s="38" t="s">
        <v>172</v>
      </c>
      <c r="B185" s="39" t="n">
        <v>20</v>
      </c>
      <c r="C185" s="8" t="n">
        <v>0</v>
      </c>
      <c r="D185" s="8" t="n">
        <v>1</v>
      </c>
      <c r="E185" s="8" t="n">
        <v>0</v>
      </c>
      <c r="F185" s="28" t="n">
        <v>0</v>
      </c>
      <c r="G185" s="9" t="n">
        <v>43525</v>
      </c>
      <c r="H185" s="40" t="n">
        <v>43529</v>
      </c>
      <c r="I185" s="38" t="s">
        <v>138</v>
      </c>
    </row>
    <row r="186" customFormat="false" ht="12.8" hidden="false" customHeight="false" outlineLevel="0" collapsed="false">
      <c r="A186" s="38" t="s">
        <v>173</v>
      </c>
      <c r="B186" s="39" t="n">
        <v>43.4</v>
      </c>
      <c r="C186" s="8" t="n">
        <v>0</v>
      </c>
      <c r="D186" s="8" t="n">
        <v>1</v>
      </c>
      <c r="E186" s="8" t="n">
        <v>0</v>
      </c>
      <c r="F186" s="28" t="n">
        <v>0</v>
      </c>
      <c r="G186" s="9" t="n">
        <v>43525</v>
      </c>
      <c r="H186" s="40" t="n">
        <v>43529</v>
      </c>
      <c r="I186" s="38" t="s">
        <v>73</v>
      </c>
    </row>
    <row r="187" customFormat="false" ht="12.8" hidden="false" customHeight="false" outlineLevel="0" collapsed="false">
      <c r="A187" s="38" t="s">
        <v>158</v>
      </c>
      <c r="B187" s="39" t="n">
        <v>13</v>
      </c>
      <c r="C187" s="8" t="n">
        <v>0</v>
      </c>
      <c r="D187" s="8" t="n">
        <v>1</v>
      </c>
      <c r="E187" s="8" t="n">
        <v>0</v>
      </c>
      <c r="F187" s="28" t="n">
        <v>0</v>
      </c>
      <c r="G187" s="9" t="n">
        <v>43525</v>
      </c>
      <c r="H187" s="40" t="n">
        <v>43529</v>
      </c>
      <c r="I187" s="38" t="s">
        <v>72</v>
      </c>
    </row>
    <row r="188" customFormat="false" ht="12.8" hidden="false" customHeight="false" outlineLevel="0" collapsed="false">
      <c r="A188" s="38" t="s">
        <v>174</v>
      </c>
      <c r="B188" s="39" t="n">
        <v>69.99</v>
      </c>
      <c r="C188" s="8" t="n">
        <v>0</v>
      </c>
      <c r="D188" s="8" t="n">
        <v>1</v>
      </c>
      <c r="E188" s="8" t="n">
        <v>0</v>
      </c>
      <c r="F188" s="28" t="n">
        <v>0</v>
      </c>
      <c r="G188" s="9" t="n">
        <v>43525</v>
      </c>
      <c r="H188" s="40" t="n">
        <v>43529</v>
      </c>
      <c r="I188" s="38" t="s">
        <v>81</v>
      </c>
    </row>
    <row r="189" customFormat="false" ht="12.8" hidden="false" customHeight="false" outlineLevel="0" collapsed="false">
      <c r="A189" s="38" t="s">
        <v>175</v>
      </c>
      <c r="B189" s="39" t="n">
        <f aca="false">200-187.87</f>
        <v>12.13</v>
      </c>
      <c r="C189" s="8" t="n">
        <v>0</v>
      </c>
      <c r="D189" s="8" t="n">
        <v>1</v>
      </c>
      <c r="E189" s="8" t="n">
        <v>0</v>
      </c>
      <c r="F189" s="28" t="n">
        <v>0</v>
      </c>
      <c r="G189" s="9" t="n">
        <v>43525</v>
      </c>
      <c r="H189" s="40" t="n">
        <v>43552</v>
      </c>
      <c r="I189" s="38" t="s">
        <v>32</v>
      </c>
    </row>
    <row r="190" customFormat="false" ht="12.8" hidden="false" customHeight="false" outlineLevel="0" collapsed="false">
      <c r="A190" s="38" t="s">
        <v>79</v>
      </c>
      <c r="B190" s="39" t="n">
        <v>6.9</v>
      </c>
      <c r="C190" s="8" t="n">
        <v>0</v>
      </c>
      <c r="D190" s="8" t="n">
        <v>1</v>
      </c>
      <c r="E190" s="8" t="n">
        <v>0</v>
      </c>
      <c r="F190" s="28" t="n">
        <v>0</v>
      </c>
      <c r="G190" s="9" t="n">
        <v>43525</v>
      </c>
      <c r="H190" s="40" t="n">
        <v>43531</v>
      </c>
      <c r="I190" s="38" t="s">
        <v>79</v>
      </c>
    </row>
    <row r="191" customFormat="false" ht="12.8" hidden="false" customHeight="false" outlineLevel="0" collapsed="false">
      <c r="A191" s="38" t="s">
        <v>136</v>
      </c>
      <c r="B191" s="39" t="n">
        <v>20</v>
      </c>
      <c r="C191" s="8" t="n">
        <v>0</v>
      </c>
      <c r="D191" s="8" t="n">
        <v>1</v>
      </c>
      <c r="E191" s="8" t="n">
        <v>0</v>
      </c>
      <c r="F191" s="28" t="n">
        <v>0</v>
      </c>
      <c r="G191" s="9" t="n">
        <v>43525</v>
      </c>
      <c r="H191" s="40" t="n">
        <v>43532</v>
      </c>
      <c r="I191" s="38" t="s">
        <v>136</v>
      </c>
    </row>
    <row r="192" customFormat="false" ht="12.8" hidden="false" customHeight="false" outlineLevel="0" collapsed="false">
      <c r="A192" s="38" t="s">
        <v>69</v>
      </c>
      <c r="B192" s="39" t="n">
        <v>22</v>
      </c>
      <c r="C192" s="8" t="n">
        <v>0</v>
      </c>
      <c r="D192" s="8" t="n">
        <v>1</v>
      </c>
      <c r="E192" s="8" t="n">
        <v>0</v>
      </c>
      <c r="F192" s="28" t="n">
        <v>0</v>
      </c>
      <c r="G192" s="9" t="n">
        <v>43525</v>
      </c>
      <c r="H192" s="40" t="n">
        <v>43532</v>
      </c>
      <c r="I192" s="38" t="s">
        <v>70</v>
      </c>
    </row>
    <row r="193" customFormat="false" ht="12.8" hidden="false" customHeight="false" outlineLevel="0" collapsed="false">
      <c r="A193" s="38" t="s">
        <v>69</v>
      </c>
      <c r="B193" s="39" t="n">
        <v>88</v>
      </c>
      <c r="C193" s="8" t="n">
        <v>0</v>
      </c>
      <c r="D193" s="8" t="n">
        <v>1</v>
      </c>
      <c r="E193" s="8" t="n">
        <v>0</v>
      </c>
      <c r="F193" s="28" t="n">
        <v>0</v>
      </c>
      <c r="G193" s="9" t="n">
        <v>43525</v>
      </c>
      <c r="H193" s="40" t="n">
        <v>43535</v>
      </c>
      <c r="I193" s="38" t="s">
        <v>70</v>
      </c>
    </row>
    <row r="194" customFormat="false" ht="12.8" hidden="false" customHeight="false" outlineLevel="0" collapsed="false">
      <c r="A194" s="38" t="s">
        <v>79</v>
      </c>
      <c r="B194" s="39" t="n">
        <v>14.9</v>
      </c>
      <c r="C194" s="8" t="n">
        <v>0</v>
      </c>
      <c r="D194" s="8" t="n">
        <v>1</v>
      </c>
      <c r="E194" s="8" t="n">
        <v>0</v>
      </c>
      <c r="F194" s="28" t="n">
        <v>0</v>
      </c>
      <c r="G194" s="9" t="n">
        <v>43525</v>
      </c>
      <c r="H194" s="40" t="n">
        <v>43535</v>
      </c>
      <c r="I194" s="38" t="s">
        <v>79</v>
      </c>
    </row>
    <row r="195" customFormat="false" ht="12.8" hidden="false" customHeight="false" outlineLevel="0" collapsed="false">
      <c r="A195" s="38" t="s">
        <v>176</v>
      </c>
      <c r="B195" s="39" t="n">
        <v>30</v>
      </c>
      <c r="C195" s="8" t="n">
        <v>0</v>
      </c>
      <c r="D195" s="8" t="n">
        <v>1</v>
      </c>
      <c r="E195" s="8" t="n">
        <v>0</v>
      </c>
      <c r="F195" s="28" t="n">
        <v>0</v>
      </c>
      <c r="G195" s="9" t="n">
        <v>43525</v>
      </c>
      <c r="H195" s="40" t="n">
        <v>43536</v>
      </c>
      <c r="I195" s="38" t="s">
        <v>81</v>
      </c>
    </row>
    <row r="196" customFormat="false" ht="12.8" hidden="false" customHeight="false" outlineLevel="0" collapsed="false">
      <c r="A196" s="38" t="s">
        <v>79</v>
      </c>
      <c r="B196" s="39" t="n">
        <v>124.27</v>
      </c>
      <c r="C196" s="38" t="n">
        <v>0</v>
      </c>
      <c r="D196" s="38" t="n">
        <v>1</v>
      </c>
      <c r="E196" s="38" t="n">
        <v>0</v>
      </c>
      <c r="F196" s="28" t="n">
        <v>0</v>
      </c>
      <c r="G196" s="40" t="n">
        <v>43525</v>
      </c>
      <c r="H196" s="40" t="n">
        <v>43530</v>
      </c>
      <c r="I196" s="38" t="s">
        <v>79</v>
      </c>
    </row>
    <row r="197" customFormat="false" ht="12.8" hidden="false" customHeight="false" outlineLevel="0" collapsed="false">
      <c r="A197" s="38" t="s">
        <v>89</v>
      </c>
      <c r="B197" s="39" t="n">
        <v>70</v>
      </c>
      <c r="C197" s="38" t="n">
        <v>0</v>
      </c>
      <c r="D197" s="38" t="n">
        <v>1</v>
      </c>
      <c r="E197" s="38" t="n">
        <v>0</v>
      </c>
      <c r="F197" s="28" t="n">
        <v>0</v>
      </c>
      <c r="G197" s="40" t="n">
        <v>43525</v>
      </c>
      <c r="H197" s="40" t="n">
        <v>43535</v>
      </c>
      <c r="I197" s="38" t="s">
        <v>89</v>
      </c>
    </row>
    <row r="198" customFormat="false" ht="12.8" hidden="false" customHeight="false" outlineLevel="0" collapsed="false">
      <c r="A198" s="38" t="s">
        <v>177</v>
      </c>
      <c r="B198" s="39" t="n">
        <v>187.87</v>
      </c>
      <c r="C198" s="38" t="n">
        <v>1</v>
      </c>
      <c r="D198" s="38" t="n">
        <v>0</v>
      </c>
      <c r="E198" s="38" t="n">
        <v>0</v>
      </c>
      <c r="F198" s="28" t="n">
        <v>0</v>
      </c>
      <c r="G198" s="40" t="n">
        <v>43525</v>
      </c>
      <c r="H198" s="40" t="n">
        <v>43524</v>
      </c>
      <c r="I198" s="38" t="s">
        <v>106</v>
      </c>
    </row>
    <row r="199" customFormat="false" ht="12.8" hidden="false" customHeight="false" outlineLevel="0" collapsed="false">
      <c r="A199" s="38" t="s">
        <v>102</v>
      </c>
      <c r="B199" s="39" t="n">
        <v>10</v>
      </c>
      <c r="C199" s="38" t="n">
        <v>0</v>
      </c>
      <c r="D199" s="38" t="n">
        <v>1</v>
      </c>
      <c r="E199" s="38" t="n">
        <v>0</v>
      </c>
      <c r="F199" s="28" t="n">
        <v>0</v>
      </c>
      <c r="G199" s="40" t="n">
        <v>43525</v>
      </c>
      <c r="H199" s="40" t="n">
        <v>43535</v>
      </c>
      <c r="I199" s="38" t="s">
        <v>102</v>
      </c>
    </row>
    <row r="200" customFormat="false" ht="12.8" hidden="false" customHeight="false" outlineLevel="0" collapsed="false">
      <c r="A200" s="38" t="s">
        <v>79</v>
      </c>
      <c r="B200" s="39" t="n">
        <v>50</v>
      </c>
      <c r="C200" s="38" t="n">
        <v>0</v>
      </c>
      <c r="D200" s="38" t="n">
        <v>1</v>
      </c>
      <c r="E200" s="38" t="n">
        <v>0</v>
      </c>
      <c r="F200" s="28" t="n">
        <v>0</v>
      </c>
      <c r="G200" s="40" t="n">
        <v>43525</v>
      </c>
      <c r="H200" s="40" t="n">
        <v>43535</v>
      </c>
      <c r="I200" s="38" t="s">
        <v>79</v>
      </c>
    </row>
    <row r="201" customFormat="false" ht="12.8" hidden="false" customHeight="false" outlineLevel="0" collapsed="false">
      <c r="A201" s="38" t="s">
        <v>78</v>
      </c>
      <c r="B201" s="39" t="n">
        <v>0.84</v>
      </c>
      <c r="C201" s="38" t="n">
        <v>0</v>
      </c>
      <c r="D201" s="38" t="n">
        <v>1</v>
      </c>
      <c r="E201" s="38" t="n">
        <v>0</v>
      </c>
      <c r="F201" s="28" t="n">
        <v>0</v>
      </c>
      <c r="G201" s="40" t="n">
        <v>43525</v>
      </c>
      <c r="H201" s="40" t="n">
        <v>43535</v>
      </c>
      <c r="I201" s="38" t="s">
        <v>79</v>
      </c>
    </row>
    <row r="202" customFormat="false" ht="12.8" hidden="false" customHeight="false" outlineLevel="0" collapsed="false">
      <c r="A202" s="38" t="s">
        <v>79</v>
      </c>
      <c r="B202" s="39" t="n">
        <v>11.41</v>
      </c>
      <c r="C202" s="38" t="n">
        <v>0</v>
      </c>
      <c r="D202" s="38" t="n">
        <v>1</v>
      </c>
      <c r="E202" s="38" t="n">
        <v>0</v>
      </c>
      <c r="F202" s="28" t="n">
        <v>0</v>
      </c>
      <c r="G202" s="40" t="n">
        <v>43525</v>
      </c>
      <c r="H202" s="40" t="n">
        <v>43535</v>
      </c>
      <c r="I202" s="38" t="s">
        <v>79</v>
      </c>
    </row>
    <row r="203" customFormat="false" ht="12.8" hidden="false" customHeight="false" outlineLevel="0" collapsed="false">
      <c r="A203" s="38" t="s">
        <v>178</v>
      </c>
      <c r="B203" s="39" t="n">
        <v>368.22</v>
      </c>
      <c r="C203" s="38" t="n">
        <v>0</v>
      </c>
      <c r="D203" s="38" t="n">
        <v>1</v>
      </c>
      <c r="E203" s="38" t="n">
        <v>0</v>
      </c>
      <c r="F203" s="28" t="n">
        <v>0</v>
      </c>
      <c r="G203" s="40" t="n">
        <v>43525</v>
      </c>
      <c r="H203" s="40" t="n">
        <v>43539</v>
      </c>
      <c r="I203" s="38" t="s">
        <v>138</v>
      </c>
    </row>
    <row r="204" customFormat="false" ht="12.8" hidden="false" customHeight="false" outlineLevel="0" collapsed="false">
      <c r="A204" s="38" t="s">
        <v>105</v>
      </c>
      <c r="B204" s="39" t="n">
        <v>183.42</v>
      </c>
      <c r="C204" s="38" t="n">
        <v>0</v>
      </c>
      <c r="D204" s="38" t="n">
        <v>1</v>
      </c>
      <c r="E204" s="38" t="n">
        <v>0</v>
      </c>
      <c r="F204" s="28" t="n">
        <v>0</v>
      </c>
      <c r="G204" s="40" t="n">
        <v>43525</v>
      </c>
      <c r="H204" s="40" t="n">
        <v>43542</v>
      </c>
      <c r="I204" s="38" t="s">
        <v>106</v>
      </c>
    </row>
    <row r="205" customFormat="false" ht="12.8" hidden="false" customHeight="false" outlineLevel="0" collapsed="false">
      <c r="A205" s="38" t="s">
        <v>69</v>
      </c>
      <c r="B205" s="39" t="n">
        <v>110</v>
      </c>
      <c r="C205" s="38" t="n">
        <v>0</v>
      </c>
      <c r="D205" s="38" t="n">
        <v>1</v>
      </c>
      <c r="E205" s="38" t="n">
        <v>0</v>
      </c>
      <c r="F205" s="28" t="n">
        <v>0</v>
      </c>
      <c r="G205" s="40" t="n">
        <v>43525</v>
      </c>
      <c r="H205" s="40" t="n">
        <v>43542</v>
      </c>
      <c r="I205" s="38" t="s">
        <v>70</v>
      </c>
    </row>
    <row r="206" customFormat="false" ht="12.8" hidden="false" customHeight="false" outlineLevel="0" collapsed="false">
      <c r="A206" s="38" t="s">
        <v>179</v>
      </c>
      <c r="B206" s="39" t="n">
        <v>180</v>
      </c>
      <c r="C206" s="38" t="n">
        <v>0</v>
      </c>
      <c r="D206" s="38" t="n">
        <v>1</v>
      </c>
      <c r="E206" s="38" t="n">
        <v>0</v>
      </c>
      <c r="F206" s="28" t="n">
        <v>0</v>
      </c>
      <c r="G206" s="40" t="n">
        <v>43525</v>
      </c>
      <c r="H206" s="40" t="n">
        <v>43543</v>
      </c>
      <c r="I206" s="38" t="s">
        <v>81</v>
      </c>
    </row>
    <row r="207" customFormat="false" ht="12.8" hidden="false" customHeight="false" outlineLevel="0" collapsed="false">
      <c r="A207" s="38" t="s">
        <v>180</v>
      </c>
      <c r="B207" s="39" t="n">
        <v>156.55</v>
      </c>
      <c r="C207" s="38" t="n">
        <v>0</v>
      </c>
      <c r="D207" s="38" t="n">
        <v>1</v>
      </c>
      <c r="E207" s="38" t="n">
        <v>0</v>
      </c>
      <c r="F207" s="28" t="n">
        <v>0</v>
      </c>
      <c r="G207" s="40" t="n">
        <v>43525</v>
      </c>
      <c r="H207" s="40" t="n">
        <v>43543</v>
      </c>
      <c r="I207" s="38" t="s">
        <v>81</v>
      </c>
    </row>
    <row r="208" customFormat="false" ht="12.8" hidden="false" customHeight="false" outlineLevel="0" collapsed="false">
      <c r="A208" s="38" t="s">
        <v>82</v>
      </c>
      <c r="B208" s="39" t="n">
        <v>13.2</v>
      </c>
      <c r="C208" s="38" t="n">
        <v>0</v>
      </c>
      <c r="D208" s="38" t="n">
        <v>1</v>
      </c>
      <c r="E208" s="38" t="n">
        <v>0</v>
      </c>
      <c r="F208" s="28" t="n">
        <v>0</v>
      </c>
      <c r="G208" s="40" t="n">
        <v>43525</v>
      </c>
      <c r="H208" s="40" t="n">
        <v>43543</v>
      </c>
      <c r="I208" s="38" t="s">
        <v>72</v>
      </c>
    </row>
    <row r="209" customFormat="false" ht="12.8" hidden="false" customHeight="false" outlineLevel="0" collapsed="false">
      <c r="A209" s="38" t="s">
        <v>112</v>
      </c>
      <c r="B209" s="39" t="n">
        <v>4</v>
      </c>
      <c r="C209" s="38" t="n">
        <v>0</v>
      </c>
      <c r="D209" s="38" t="n">
        <v>1</v>
      </c>
      <c r="E209" s="38" t="n">
        <v>0</v>
      </c>
      <c r="F209" s="28" t="n">
        <v>0</v>
      </c>
      <c r="G209" s="40" t="n">
        <v>43525</v>
      </c>
      <c r="H209" s="40" t="n">
        <v>43544</v>
      </c>
      <c r="I209" s="38" t="s">
        <v>72</v>
      </c>
    </row>
    <row r="210" customFormat="false" ht="12.8" hidden="false" customHeight="false" outlineLevel="0" collapsed="false">
      <c r="A210" s="38" t="s">
        <v>112</v>
      </c>
      <c r="B210" s="39" t="n">
        <v>5</v>
      </c>
      <c r="C210" s="38" t="n">
        <v>0</v>
      </c>
      <c r="D210" s="38" t="n">
        <v>1</v>
      </c>
      <c r="E210" s="38" t="n">
        <v>0</v>
      </c>
      <c r="F210" s="28" t="n">
        <v>0</v>
      </c>
      <c r="G210" s="40" t="n">
        <v>43525</v>
      </c>
      <c r="H210" s="40" t="n">
        <v>43545</v>
      </c>
      <c r="I210" s="38" t="s">
        <v>72</v>
      </c>
    </row>
    <row r="211" customFormat="false" ht="12.8" hidden="false" customHeight="false" outlineLevel="0" collapsed="false">
      <c r="A211" s="38" t="s">
        <v>181</v>
      </c>
      <c r="B211" s="39" t="n">
        <v>7.8</v>
      </c>
      <c r="C211" s="38" t="n">
        <v>0</v>
      </c>
      <c r="D211" s="38" t="n">
        <v>1</v>
      </c>
      <c r="E211" s="38" t="n">
        <v>0</v>
      </c>
      <c r="F211" s="28" t="n">
        <v>0</v>
      </c>
      <c r="G211" s="40" t="n">
        <v>43525</v>
      </c>
      <c r="H211" s="40" t="n">
        <v>43545</v>
      </c>
      <c r="I211" s="38" t="s">
        <v>81</v>
      </c>
    </row>
    <row r="212" customFormat="false" ht="12.8" hidden="false" customHeight="false" outlineLevel="0" collapsed="false">
      <c r="A212" s="38" t="s">
        <v>82</v>
      </c>
      <c r="B212" s="39" t="n">
        <v>2.39</v>
      </c>
      <c r="C212" s="38" t="n">
        <v>0</v>
      </c>
      <c r="D212" s="38" t="n">
        <v>1</v>
      </c>
      <c r="E212" s="38" t="n">
        <v>0</v>
      </c>
      <c r="F212" s="28" t="n">
        <v>0</v>
      </c>
      <c r="G212" s="40" t="n">
        <v>43525</v>
      </c>
      <c r="H212" s="40" t="n">
        <v>43546</v>
      </c>
      <c r="I212" s="38" t="s">
        <v>72</v>
      </c>
    </row>
    <row r="213" customFormat="false" ht="12.8" hidden="false" customHeight="false" outlineLevel="0" collapsed="false">
      <c r="A213" s="38" t="s">
        <v>182</v>
      </c>
      <c r="B213" s="39" t="n">
        <v>16.87</v>
      </c>
      <c r="C213" s="38" t="n">
        <v>0</v>
      </c>
      <c r="D213" s="38" t="n">
        <v>1</v>
      </c>
      <c r="E213" s="38" t="n">
        <v>0</v>
      </c>
      <c r="F213" s="28" t="n">
        <v>0</v>
      </c>
      <c r="G213" s="40" t="n">
        <v>43525</v>
      </c>
      <c r="H213" s="40" t="n">
        <v>43548</v>
      </c>
      <c r="I213" s="38" t="s">
        <v>84</v>
      </c>
    </row>
    <row r="214" customFormat="false" ht="12.8" hidden="false" customHeight="false" outlineLevel="0" collapsed="false">
      <c r="A214" s="38" t="s">
        <v>69</v>
      </c>
      <c r="B214" s="39" t="n">
        <v>66</v>
      </c>
      <c r="C214" s="38" t="n">
        <v>0</v>
      </c>
      <c r="D214" s="38" t="n">
        <v>1</v>
      </c>
      <c r="E214" s="38" t="n">
        <v>0</v>
      </c>
      <c r="F214" s="28" t="n">
        <v>0</v>
      </c>
      <c r="G214" s="40" t="n">
        <v>43525</v>
      </c>
      <c r="H214" s="40" t="n">
        <v>43549</v>
      </c>
      <c r="I214" s="38" t="s">
        <v>70</v>
      </c>
    </row>
    <row r="215" customFormat="false" ht="12.8" hidden="false" customHeight="false" outlineLevel="0" collapsed="false">
      <c r="A215" s="38" t="s">
        <v>183</v>
      </c>
      <c r="B215" s="39" t="n">
        <v>200</v>
      </c>
      <c r="C215" s="38" t="n">
        <v>0</v>
      </c>
      <c r="D215" s="38" t="n">
        <v>1</v>
      </c>
      <c r="E215" s="38" t="n">
        <v>0</v>
      </c>
      <c r="F215" s="28" t="n">
        <v>0</v>
      </c>
      <c r="G215" s="40" t="n">
        <v>43525</v>
      </c>
      <c r="H215" s="40" t="n">
        <v>43547</v>
      </c>
      <c r="I215" s="38" t="s">
        <v>184</v>
      </c>
    </row>
    <row r="216" customFormat="false" ht="12.8" hidden="false" customHeight="false" outlineLevel="0" collapsed="false">
      <c r="A216" s="38" t="s">
        <v>100</v>
      </c>
      <c r="B216" s="39" t="n">
        <v>53.6</v>
      </c>
      <c r="C216" s="38" t="n">
        <v>0</v>
      </c>
      <c r="D216" s="38" t="n">
        <v>1</v>
      </c>
      <c r="E216" s="38" t="n">
        <v>0</v>
      </c>
      <c r="F216" s="28" t="n">
        <v>0</v>
      </c>
      <c r="G216" s="40" t="n">
        <v>43525</v>
      </c>
      <c r="H216" s="40" t="n">
        <v>43547</v>
      </c>
      <c r="I216" s="38" t="s">
        <v>138</v>
      </c>
    </row>
    <row r="217" customFormat="false" ht="12.8" hidden="false" customHeight="false" outlineLevel="0" collapsed="false">
      <c r="A217" s="38" t="s">
        <v>69</v>
      </c>
      <c r="B217" s="39" t="n">
        <v>10</v>
      </c>
      <c r="C217" s="38" t="n">
        <v>0</v>
      </c>
      <c r="D217" s="38" t="n">
        <v>1</v>
      </c>
      <c r="E217" s="38" t="n">
        <v>0</v>
      </c>
      <c r="F217" s="28" t="n">
        <v>0</v>
      </c>
      <c r="G217" s="40" t="n">
        <v>43525</v>
      </c>
      <c r="H217" s="40" t="n">
        <v>43548</v>
      </c>
      <c r="I217" s="38" t="s">
        <v>70</v>
      </c>
    </row>
    <row r="218" customFormat="false" ht="12.8" hidden="false" customHeight="false" outlineLevel="0" collapsed="false">
      <c r="A218" s="38" t="s">
        <v>79</v>
      </c>
      <c r="B218" s="39" t="n">
        <v>10.49</v>
      </c>
      <c r="C218" s="38" t="n">
        <v>0</v>
      </c>
      <c r="D218" s="38" t="n">
        <v>1</v>
      </c>
      <c r="E218" s="38" t="n">
        <v>0</v>
      </c>
      <c r="F218" s="28" t="n">
        <v>0</v>
      </c>
      <c r="G218" s="40" t="n">
        <v>43525</v>
      </c>
      <c r="H218" s="40" t="n">
        <v>43549</v>
      </c>
      <c r="I218" s="38" t="s">
        <v>79</v>
      </c>
    </row>
    <row r="219" customFormat="false" ht="12.8" hidden="false" customHeight="false" outlineLevel="0" collapsed="false">
      <c r="A219" s="38" t="s">
        <v>185</v>
      </c>
      <c r="B219" s="39" t="n">
        <v>14</v>
      </c>
      <c r="C219" s="38" t="n">
        <v>0</v>
      </c>
      <c r="D219" s="38" t="n">
        <v>1</v>
      </c>
      <c r="E219" s="38" t="n">
        <v>0</v>
      </c>
      <c r="F219" s="28" t="n">
        <v>0</v>
      </c>
      <c r="G219" s="40" t="n">
        <v>43525</v>
      </c>
      <c r="H219" s="40" t="n">
        <v>43549</v>
      </c>
      <c r="I219" s="38" t="s">
        <v>81</v>
      </c>
    </row>
    <row r="220" customFormat="false" ht="12.8" hidden="false" customHeight="false" outlineLevel="0" collapsed="false">
      <c r="A220" s="38" t="s">
        <v>79</v>
      </c>
      <c r="B220" s="39" t="n">
        <v>126.76</v>
      </c>
      <c r="C220" s="38" t="n">
        <v>0</v>
      </c>
      <c r="D220" s="38" t="n">
        <v>1</v>
      </c>
      <c r="E220" s="38" t="n">
        <v>0</v>
      </c>
      <c r="F220" s="28" t="n">
        <v>0</v>
      </c>
      <c r="G220" s="40" t="n">
        <v>43525</v>
      </c>
      <c r="H220" s="40" t="n">
        <v>43550</v>
      </c>
      <c r="I220" s="38" t="s">
        <v>79</v>
      </c>
    </row>
    <row r="221" customFormat="false" ht="12.8" hidden="false" customHeight="false" outlineLevel="0" collapsed="false">
      <c r="A221" s="38" t="s">
        <v>105</v>
      </c>
      <c r="B221" s="39" t="n">
        <v>202.35</v>
      </c>
      <c r="C221" s="38" t="n">
        <v>0</v>
      </c>
      <c r="D221" s="38" t="n">
        <v>1</v>
      </c>
      <c r="E221" s="38" t="n">
        <v>0</v>
      </c>
      <c r="F221" s="28" t="n">
        <v>0</v>
      </c>
      <c r="G221" s="40" t="n">
        <v>43525</v>
      </c>
      <c r="H221" s="40" t="n">
        <v>43552</v>
      </c>
      <c r="I221" s="38" t="s">
        <v>106</v>
      </c>
    </row>
    <row r="222" customFormat="false" ht="12.8" hidden="false" customHeight="false" outlineLevel="0" collapsed="false">
      <c r="A222" s="38" t="s">
        <v>69</v>
      </c>
      <c r="B222" s="39" t="n">
        <v>330</v>
      </c>
      <c r="C222" s="38" t="n">
        <v>0</v>
      </c>
      <c r="D222" s="38" t="n">
        <v>1</v>
      </c>
      <c r="E222" s="38" t="n">
        <v>0</v>
      </c>
      <c r="F222" s="28" t="n">
        <v>0</v>
      </c>
      <c r="G222" s="40" t="n">
        <v>43525</v>
      </c>
      <c r="H222" s="40" t="n">
        <v>43553</v>
      </c>
      <c r="I222" s="38" t="s">
        <v>70</v>
      </c>
    </row>
    <row r="223" customFormat="false" ht="12.8" hidden="false" customHeight="false" outlineLevel="0" collapsed="false">
      <c r="A223" s="38" t="s">
        <v>186</v>
      </c>
      <c r="B223" s="39" t="n">
        <v>40</v>
      </c>
      <c r="C223" s="38" t="n">
        <v>0</v>
      </c>
      <c r="D223" s="38" t="n">
        <v>1</v>
      </c>
      <c r="E223" s="38" t="n">
        <v>0</v>
      </c>
      <c r="F223" s="28" t="n">
        <v>0</v>
      </c>
      <c r="G223" s="40" t="n">
        <v>43525</v>
      </c>
      <c r="H223" s="40" t="n">
        <v>43555</v>
      </c>
      <c r="I223" s="38" t="s">
        <v>73</v>
      </c>
    </row>
    <row r="224" customFormat="false" ht="12.8" hidden="false" customHeight="false" outlineLevel="0" collapsed="false">
      <c r="A224" s="38" t="s">
        <v>136</v>
      </c>
      <c r="B224" s="39" t="n">
        <v>20</v>
      </c>
      <c r="C224" s="38" t="n">
        <v>0</v>
      </c>
      <c r="D224" s="38" t="n">
        <v>1</v>
      </c>
      <c r="E224" s="38" t="n">
        <v>0</v>
      </c>
      <c r="F224" s="28" t="n">
        <v>0</v>
      </c>
      <c r="G224" s="40" t="n">
        <v>43525</v>
      </c>
      <c r="H224" s="40" t="n">
        <v>43555</v>
      </c>
      <c r="I224" s="38" t="s">
        <v>136</v>
      </c>
    </row>
    <row r="225" customFormat="false" ht="12.8" hidden="false" customHeight="false" outlineLevel="0" collapsed="false">
      <c r="A225" s="38" t="s">
        <v>187</v>
      </c>
      <c r="B225" s="39" t="n">
        <v>14</v>
      </c>
      <c r="C225" s="38" t="n">
        <v>0</v>
      </c>
      <c r="D225" s="38" t="n">
        <v>1</v>
      </c>
      <c r="E225" s="38" t="n">
        <v>0</v>
      </c>
      <c r="F225" s="28" t="n">
        <v>0</v>
      </c>
      <c r="G225" s="40" t="n">
        <v>43525</v>
      </c>
      <c r="H225" s="40" t="n">
        <v>43555</v>
      </c>
      <c r="I225" s="38" t="s">
        <v>68</v>
      </c>
    </row>
    <row r="226" customFormat="false" ht="12.8" hidden="false" customHeight="false" outlineLevel="0" collapsed="false">
      <c r="A226" s="38" t="s">
        <v>79</v>
      </c>
      <c r="B226" s="39" t="n">
        <v>37.37</v>
      </c>
      <c r="C226" s="38" t="n">
        <v>0</v>
      </c>
      <c r="D226" s="38" t="n">
        <v>1</v>
      </c>
      <c r="E226" s="38" t="n">
        <v>0</v>
      </c>
      <c r="F226" s="28" t="n">
        <v>0</v>
      </c>
      <c r="G226" s="40" t="n">
        <v>43525</v>
      </c>
      <c r="H226" s="40" t="n">
        <v>43554</v>
      </c>
      <c r="I226" s="38" t="s">
        <v>79</v>
      </c>
    </row>
    <row r="227" customFormat="false" ht="12.8" hidden="false" customHeight="false" outlineLevel="0" collapsed="false">
      <c r="A227" s="38" t="s">
        <v>188</v>
      </c>
      <c r="B227" s="39" t="n">
        <v>8.49</v>
      </c>
      <c r="C227" s="38" t="n">
        <v>0</v>
      </c>
      <c r="D227" s="38" t="n">
        <v>1</v>
      </c>
      <c r="E227" s="38" t="n">
        <v>0</v>
      </c>
      <c r="F227" s="28" t="n">
        <v>0</v>
      </c>
      <c r="G227" s="40" t="n">
        <v>43525</v>
      </c>
      <c r="H227" s="40" t="n">
        <v>43554</v>
      </c>
      <c r="I227" s="38" t="s">
        <v>116</v>
      </c>
    </row>
    <row r="228" customFormat="false" ht="12.8" hidden="false" customHeight="false" outlineLevel="0" collapsed="false">
      <c r="A228" s="38" t="s">
        <v>189</v>
      </c>
      <c r="B228" s="39" t="n">
        <v>80</v>
      </c>
      <c r="C228" s="38" t="n">
        <v>0</v>
      </c>
      <c r="D228" s="38" t="n">
        <v>1</v>
      </c>
      <c r="E228" s="38" t="n">
        <v>0</v>
      </c>
      <c r="F228" s="28" t="n">
        <v>0</v>
      </c>
      <c r="G228" s="40" t="n">
        <v>43525</v>
      </c>
      <c r="H228" s="40" t="n">
        <v>43554</v>
      </c>
      <c r="I228" s="38" t="s">
        <v>81</v>
      </c>
    </row>
    <row r="229" customFormat="false" ht="12.8" hidden="false" customHeight="false" outlineLevel="0" collapsed="false">
      <c r="A229" s="38" t="s">
        <v>190</v>
      </c>
      <c r="B229" s="39" t="n">
        <v>10</v>
      </c>
      <c r="C229" s="38" t="n">
        <v>0</v>
      </c>
      <c r="D229" s="38" t="n">
        <v>1</v>
      </c>
      <c r="E229" s="38" t="n">
        <v>0</v>
      </c>
      <c r="F229" s="28" t="n">
        <v>0</v>
      </c>
      <c r="G229" s="40" t="n">
        <v>43525</v>
      </c>
      <c r="H229" s="40" t="n">
        <v>43554</v>
      </c>
      <c r="I229" s="38" t="s">
        <v>72</v>
      </c>
    </row>
    <row r="230" customFormat="false" ht="12.8" hidden="false" customHeight="false" outlineLevel="0" collapsed="false">
      <c r="A230" s="38" t="s">
        <v>67</v>
      </c>
      <c r="B230" s="39" t="n">
        <v>0</v>
      </c>
      <c r="C230" s="38" t="n">
        <v>1</v>
      </c>
      <c r="D230" s="38" t="n">
        <v>0</v>
      </c>
      <c r="E230" s="38" t="n">
        <v>1</v>
      </c>
      <c r="F230" s="28" t="n">
        <v>0</v>
      </c>
      <c r="G230" s="40" t="n">
        <v>43525</v>
      </c>
      <c r="H230" s="40" t="n">
        <v>43555</v>
      </c>
      <c r="I230" s="38"/>
    </row>
    <row r="231" customFormat="false" ht="12.8" hidden="false" customHeight="false" outlineLevel="0" collapsed="false">
      <c r="A231" s="0" t="s">
        <v>57</v>
      </c>
      <c r="B231" s="26" t="n">
        <v>76.9</v>
      </c>
      <c r="C231" s="0" t="n">
        <v>1</v>
      </c>
      <c r="D231" s="0" t="n">
        <v>0</v>
      </c>
      <c r="E231" s="0" t="n">
        <v>0</v>
      </c>
      <c r="F231" s="28" t="n">
        <v>0</v>
      </c>
      <c r="G231" s="1" t="n">
        <v>43556</v>
      </c>
      <c r="H231" s="1" t="n">
        <v>43556</v>
      </c>
      <c r="I231" s="0" t="s">
        <v>58</v>
      </c>
    </row>
    <row r="232" customFormat="false" ht="12.8" hidden="false" customHeight="false" outlineLevel="0" collapsed="false">
      <c r="A232" s="0" t="s">
        <v>59</v>
      </c>
      <c r="B232" s="26" t="n">
        <v>344.81</v>
      </c>
      <c r="C232" s="0" t="n">
        <v>1</v>
      </c>
      <c r="D232" s="0" t="n">
        <v>0</v>
      </c>
      <c r="E232" s="0" t="n">
        <v>0</v>
      </c>
      <c r="F232" s="28" t="n">
        <v>0</v>
      </c>
      <c r="G232" s="1" t="n">
        <v>43556</v>
      </c>
      <c r="H232" s="1" t="n">
        <v>43563</v>
      </c>
      <c r="I232" s="0" t="s">
        <v>60</v>
      </c>
    </row>
    <row r="233" customFormat="false" ht="12.8" hidden="false" customHeight="false" outlineLevel="0" collapsed="false">
      <c r="A233" s="0" t="s">
        <v>61</v>
      </c>
      <c r="B233" s="23" t="n">
        <v>1519.3</v>
      </c>
      <c r="C233" s="0" t="n">
        <v>1</v>
      </c>
      <c r="D233" s="0" t="n">
        <v>0</v>
      </c>
      <c r="E233" s="0" t="n">
        <v>0</v>
      </c>
      <c r="F233" s="28" t="n">
        <v>0</v>
      </c>
      <c r="G233" s="1" t="n">
        <v>43556</v>
      </c>
      <c r="H233" s="1" t="n">
        <v>43563</v>
      </c>
      <c r="I233" s="0" t="s">
        <v>60</v>
      </c>
    </row>
    <row r="234" customFormat="false" ht="12.8" hidden="false" customHeight="false" outlineLevel="0" collapsed="false">
      <c r="A234" s="0" t="s">
        <v>129</v>
      </c>
      <c r="B234" s="26" t="n">
        <v>119</v>
      </c>
      <c r="C234" s="0" t="n">
        <v>1</v>
      </c>
      <c r="D234" s="0" t="n">
        <v>0</v>
      </c>
      <c r="E234" s="0" t="n">
        <v>0</v>
      </c>
      <c r="F234" s="28" t="n">
        <v>0</v>
      </c>
      <c r="G234" s="1" t="n">
        <v>43556</v>
      </c>
      <c r="H234" s="1" t="n">
        <v>43563</v>
      </c>
      <c r="I234" s="0" t="s">
        <v>60</v>
      </c>
    </row>
    <row r="235" customFormat="false" ht="12.8" hidden="false" customHeight="false" outlineLevel="0" collapsed="false">
      <c r="A235" s="0" t="s">
        <v>135</v>
      </c>
      <c r="B235" s="26" t="n">
        <f aca="false">SUMIFS(credito!$B$1:$B$87,credito!$F$1:$F$87,debito!G234,credito!$G$1:$G$87,0)</f>
        <v>781.68</v>
      </c>
      <c r="C235" s="0" t="n">
        <v>0</v>
      </c>
      <c r="D235" s="0" t="n">
        <v>1</v>
      </c>
      <c r="E235" s="0" t="n">
        <v>0</v>
      </c>
      <c r="F235" s="28" t="n">
        <v>0</v>
      </c>
      <c r="G235" s="1" t="n">
        <v>43556</v>
      </c>
      <c r="H235" s="1" t="n">
        <v>43570</v>
      </c>
      <c r="I235" s="0" t="s">
        <v>131</v>
      </c>
    </row>
    <row r="236" customFormat="false" ht="12.8" hidden="false" customHeight="false" outlineLevel="0" collapsed="false">
      <c r="A236" s="0" t="s">
        <v>132</v>
      </c>
      <c r="B236" s="26" t="n">
        <v>752.52</v>
      </c>
      <c r="C236" s="0" t="n">
        <v>0</v>
      </c>
      <c r="D236" s="0" t="n">
        <v>1</v>
      </c>
      <c r="E236" s="0" t="n">
        <v>0</v>
      </c>
      <c r="F236" s="28" t="n">
        <v>0</v>
      </c>
      <c r="G236" s="1" t="n">
        <v>43556</v>
      </c>
      <c r="H236" s="1" t="n">
        <v>43570</v>
      </c>
      <c r="I236" s="0" t="s">
        <v>131</v>
      </c>
    </row>
    <row r="237" customFormat="false" ht="12.8" hidden="false" customHeight="false" outlineLevel="0" collapsed="false">
      <c r="A237" s="0" t="s">
        <v>69</v>
      </c>
      <c r="B237" s="26" t="n">
        <v>0</v>
      </c>
      <c r="C237" s="0" t="n">
        <v>1</v>
      </c>
      <c r="D237" s="0" t="n">
        <v>0</v>
      </c>
      <c r="E237" s="0" t="n">
        <v>0</v>
      </c>
      <c r="F237" s="28" t="n">
        <v>0</v>
      </c>
      <c r="G237" s="1" t="n">
        <v>43556</v>
      </c>
      <c r="H237" s="1"/>
      <c r="I237" s="0" t="s">
        <v>70</v>
      </c>
    </row>
    <row r="238" customFormat="false" ht="12.8" hidden="false" customHeight="false" outlineLevel="0" collapsed="false">
      <c r="A238" s="0" t="s">
        <v>62</v>
      </c>
      <c r="B238" s="26" t="n">
        <v>6.41</v>
      </c>
      <c r="C238" s="0" t="n">
        <v>1</v>
      </c>
      <c r="D238" s="0" t="n">
        <v>0</v>
      </c>
      <c r="E238" s="0" t="n">
        <v>0</v>
      </c>
      <c r="F238" s="28" t="n">
        <v>0</v>
      </c>
      <c r="G238" s="1" t="n">
        <v>43556</v>
      </c>
      <c r="H238" s="1"/>
      <c r="I238" s="0" t="s">
        <v>58</v>
      </c>
    </row>
    <row r="239" customFormat="false" ht="12.8" hidden="false" customHeight="false" outlineLevel="0" collapsed="false">
      <c r="A239" s="0" t="s">
        <v>63</v>
      </c>
      <c r="B239" s="26" t="n">
        <v>75</v>
      </c>
      <c r="C239" s="0" t="n">
        <v>1</v>
      </c>
      <c r="D239" s="0" t="n">
        <v>0</v>
      </c>
      <c r="E239" s="0" t="n">
        <v>0</v>
      </c>
      <c r="F239" s="28" t="n">
        <v>0</v>
      </c>
      <c r="G239" s="1" t="n">
        <v>43556</v>
      </c>
      <c r="H239" s="1" t="n">
        <v>43570</v>
      </c>
      <c r="I239" s="0" t="s">
        <v>64</v>
      </c>
    </row>
    <row r="240" customFormat="false" ht="12.8" hidden="false" customHeight="false" outlineLevel="0" collapsed="false">
      <c r="A240" s="0" t="s">
        <v>75</v>
      </c>
      <c r="B240" s="26" t="n">
        <v>250.59</v>
      </c>
      <c r="C240" s="0" t="n">
        <v>1</v>
      </c>
      <c r="D240" s="0" t="n">
        <v>0</v>
      </c>
      <c r="E240" s="0" t="n">
        <v>0</v>
      </c>
      <c r="F240" s="28" t="n">
        <v>0</v>
      </c>
      <c r="G240" s="1" t="n">
        <v>43556</v>
      </c>
      <c r="H240" s="1" t="n">
        <v>43563</v>
      </c>
      <c r="I240" s="0" t="s">
        <v>76</v>
      </c>
    </row>
    <row r="241" customFormat="false" ht="12.8" hidden="false" customHeight="false" outlineLevel="0" collapsed="false">
      <c r="A241" s="31" t="s">
        <v>65</v>
      </c>
      <c r="B241" s="32" t="n">
        <v>2700</v>
      </c>
      <c r="C241" s="31" t="n">
        <v>1</v>
      </c>
      <c r="D241" s="31" t="n">
        <v>0</v>
      </c>
      <c r="E241" s="31" t="n">
        <v>1</v>
      </c>
      <c r="F241" s="28" t="n">
        <v>0</v>
      </c>
      <c r="G241" s="33" t="n">
        <v>43556</v>
      </c>
      <c r="H241" s="33" t="n">
        <v>43585</v>
      </c>
      <c r="I241" s="31" t="s">
        <v>66</v>
      </c>
    </row>
    <row r="242" customFormat="false" ht="12.8" hidden="false" customHeight="false" outlineLevel="0" collapsed="false">
      <c r="A242" s="0" t="s">
        <v>191</v>
      </c>
      <c r="B242" s="26" t="n">
        <v>888.44</v>
      </c>
      <c r="C242" s="0" t="n">
        <v>1</v>
      </c>
      <c r="D242" s="0" t="n">
        <v>0</v>
      </c>
      <c r="E242" s="0" t="n">
        <v>0</v>
      </c>
      <c r="F242" s="28" t="n">
        <v>0</v>
      </c>
      <c r="G242" s="1" t="n">
        <v>43556</v>
      </c>
      <c r="H242" s="1" t="n">
        <v>43560</v>
      </c>
      <c r="I242" s="0" t="s">
        <v>88</v>
      </c>
    </row>
    <row r="243" customFormat="false" ht="12.8" hidden="false" customHeight="false" outlineLevel="0" collapsed="false">
      <c r="A243" s="0" t="s">
        <v>177</v>
      </c>
      <c r="B243" s="26" t="n">
        <v>187.87</v>
      </c>
      <c r="C243" s="0" t="n">
        <v>1</v>
      </c>
      <c r="D243" s="0" t="n">
        <v>0</v>
      </c>
      <c r="E243" s="0" t="n">
        <v>0</v>
      </c>
      <c r="F243" s="28" t="n">
        <v>0</v>
      </c>
      <c r="G243" s="1" t="n">
        <v>43556</v>
      </c>
      <c r="H243" s="1" t="n">
        <v>43577</v>
      </c>
      <c r="I243" s="0" t="s">
        <v>106</v>
      </c>
    </row>
    <row r="244" customFormat="false" ht="12.8" hidden="false" customHeight="false" outlineLevel="0" collapsed="false">
      <c r="A244" s="0" t="s">
        <v>89</v>
      </c>
      <c r="B244" s="26" t="n">
        <v>0</v>
      </c>
      <c r="C244" s="0" t="n">
        <v>0</v>
      </c>
      <c r="D244" s="0" t="n">
        <v>1</v>
      </c>
      <c r="E244" s="0" t="n">
        <v>1</v>
      </c>
      <c r="F244" s="28" t="n">
        <v>0</v>
      </c>
      <c r="G244" s="1" t="n">
        <v>43556</v>
      </c>
      <c r="H244" s="1" t="n">
        <v>43566</v>
      </c>
      <c r="I244" s="0" t="s">
        <v>89</v>
      </c>
    </row>
    <row r="245" customFormat="false" ht="12.8" hidden="false" customHeight="false" outlineLevel="0" collapsed="false">
      <c r="A245" s="0" t="s">
        <v>95</v>
      </c>
      <c r="B245" s="26" t="n">
        <v>37.92</v>
      </c>
      <c r="C245" s="0" t="n">
        <v>0</v>
      </c>
      <c r="D245" s="0" t="n">
        <v>1</v>
      </c>
      <c r="E245" s="0" t="n">
        <v>0</v>
      </c>
      <c r="F245" s="28" t="n">
        <v>0</v>
      </c>
      <c r="G245" s="1" t="n">
        <v>43556</v>
      </c>
      <c r="H245" s="1" t="n">
        <v>43556</v>
      </c>
      <c r="I245" s="0" t="s">
        <v>88</v>
      </c>
    </row>
    <row r="246" customFormat="false" ht="12.8" hidden="false" customHeight="false" outlineLevel="0" collapsed="false">
      <c r="A246" s="0" t="s">
        <v>74</v>
      </c>
      <c r="B246" s="26" t="n">
        <v>2.99</v>
      </c>
      <c r="C246" s="0" t="n">
        <v>0</v>
      </c>
      <c r="D246" s="0" t="n">
        <v>1</v>
      </c>
      <c r="E246" s="0" t="n">
        <v>0</v>
      </c>
      <c r="F246" s="28" t="n">
        <v>0</v>
      </c>
      <c r="G246" s="1" t="n">
        <v>43556</v>
      </c>
      <c r="H246" s="1" t="n">
        <v>43557</v>
      </c>
      <c r="I246" s="0" t="s">
        <v>72</v>
      </c>
    </row>
    <row r="247" customFormat="false" ht="12.8" hidden="false" customHeight="false" outlineLevel="0" collapsed="false">
      <c r="A247" s="0" t="s">
        <v>192</v>
      </c>
      <c r="B247" s="26" t="n">
        <v>34.18</v>
      </c>
      <c r="C247" s="0" t="n">
        <v>0</v>
      </c>
      <c r="D247" s="0" t="n">
        <v>1</v>
      </c>
      <c r="E247" s="0" t="n">
        <v>0</v>
      </c>
      <c r="F247" s="28" t="n">
        <v>0</v>
      </c>
      <c r="G247" s="1" t="n">
        <v>43556</v>
      </c>
      <c r="H247" s="1" t="n">
        <v>43557</v>
      </c>
      <c r="I247" s="0" t="s">
        <v>116</v>
      </c>
    </row>
    <row r="248" customFormat="false" ht="12.8" hidden="false" customHeight="false" outlineLevel="0" collapsed="false">
      <c r="A248" s="0" t="s">
        <v>35</v>
      </c>
      <c r="B248" s="26" t="n">
        <v>240</v>
      </c>
      <c r="C248" s="0" t="n">
        <v>0</v>
      </c>
      <c r="D248" s="0" t="n">
        <v>1</v>
      </c>
      <c r="E248" s="0" t="n">
        <v>0</v>
      </c>
      <c r="F248" s="28" t="n">
        <v>0</v>
      </c>
      <c r="G248" s="1" t="n">
        <v>43556</v>
      </c>
      <c r="H248" s="1" t="n">
        <v>43559</v>
      </c>
      <c r="I248" s="0" t="s">
        <v>81</v>
      </c>
    </row>
    <row r="249" customFormat="false" ht="12.8" hidden="false" customHeight="false" outlineLevel="0" collapsed="false">
      <c r="A249" s="0" t="s">
        <v>103</v>
      </c>
      <c r="B249" s="26" t="n">
        <v>18.9</v>
      </c>
      <c r="C249" s="0" t="n">
        <v>0</v>
      </c>
      <c r="D249" s="0" t="n">
        <v>1</v>
      </c>
      <c r="E249" s="0" t="n">
        <v>0</v>
      </c>
      <c r="F249" s="28" t="n">
        <v>0</v>
      </c>
      <c r="G249" s="1" t="n">
        <v>43556</v>
      </c>
      <c r="H249" s="1" t="n">
        <v>43559</v>
      </c>
      <c r="I249" s="0" t="s">
        <v>72</v>
      </c>
    </row>
    <row r="250" customFormat="false" ht="12.8" hidden="false" customHeight="false" outlineLevel="0" collapsed="false">
      <c r="A250" s="0" t="s">
        <v>192</v>
      </c>
      <c r="B250" s="26" t="n">
        <v>23.82</v>
      </c>
      <c r="C250" s="0" t="n">
        <v>0</v>
      </c>
      <c r="D250" s="0" t="n">
        <v>1</v>
      </c>
      <c r="E250" s="0" t="n">
        <v>0</v>
      </c>
      <c r="F250" s="28" t="n">
        <v>0</v>
      </c>
      <c r="G250" s="1" t="n">
        <v>43556</v>
      </c>
      <c r="H250" s="1" t="n">
        <v>43559</v>
      </c>
      <c r="I250" s="0" t="s">
        <v>116</v>
      </c>
    </row>
    <row r="251" customFormat="false" ht="12.8" hidden="false" customHeight="false" outlineLevel="0" collapsed="false">
      <c r="A251" s="0" t="s">
        <v>112</v>
      </c>
      <c r="B251" s="26" t="n">
        <v>14.5</v>
      </c>
      <c r="C251" s="0" t="n">
        <v>0</v>
      </c>
      <c r="D251" s="0" t="n">
        <v>1</v>
      </c>
      <c r="E251" s="0" t="n">
        <v>0</v>
      </c>
      <c r="F251" s="28" t="n">
        <v>0</v>
      </c>
      <c r="G251" s="1" t="n">
        <v>43556</v>
      </c>
      <c r="H251" s="1" t="n">
        <v>43559</v>
      </c>
      <c r="I251" s="0" t="s">
        <v>72</v>
      </c>
    </row>
    <row r="252" customFormat="false" ht="12.8" hidden="false" customHeight="false" outlineLevel="0" collapsed="false">
      <c r="A252" s="0" t="s">
        <v>193</v>
      </c>
      <c r="B252" s="26" t="n">
        <v>99.7</v>
      </c>
      <c r="C252" s="0" t="n">
        <v>0</v>
      </c>
      <c r="D252" s="0" t="n">
        <v>1</v>
      </c>
      <c r="E252" s="0" t="n">
        <v>0</v>
      </c>
      <c r="F252" s="28" t="n">
        <v>0</v>
      </c>
      <c r="G252" s="1" t="n">
        <v>43556</v>
      </c>
      <c r="H252" s="1" t="n">
        <v>43559</v>
      </c>
      <c r="I252" s="0" t="s">
        <v>124</v>
      </c>
    </row>
    <row r="253" customFormat="false" ht="12.8" hidden="false" customHeight="false" outlineLevel="0" collapsed="false">
      <c r="A253" s="0" t="s">
        <v>194</v>
      </c>
      <c r="B253" s="26" t="n">
        <v>30.98</v>
      </c>
      <c r="C253" s="0" t="n">
        <v>0</v>
      </c>
      <c r="D253" s="0" t="n">
        <v>1</v>
      </c>
      <c r="E253" s="0" t="n">
        <v>0</v>
      </c>
      <c r="F253" s="28" t="n">
        <v>0</v>
      </c>
      <c r="G253" s="1" t="n">
        <v>43556</v>
      </c>
      <c r="H253" s="1" t="n">
        <v>43559</v>
      </c>
      <c r="I253" s="0" t="s">
        <v>79</v>
      </c>
    </row>
    <row r="254" customFormat="false" ht="12.8" hidden="false" customHeight="false" outlineLevel="0" collapsed="false">
      <c r="A254" s="0" t="s">
        <v>82</v>
      </c>
      <c r="B254" s="26" t="n">
        <v>7</v>
      </c>
      <c r="C254" s="0" t="n">
        <v>0</v>
      </c>
      <c r="D254" s="0" t="n">
        <v>1</v>
      </c>
      <c r="E254" s="0" t="n">
        <v>0</v>
      </c>
      <c r="F254" s="28" t="n">
        <v>0</v>
      </c>
      <c r="G254" s="1" t="n">
        <v>43556</v>
      </c>
      <c r="H254" s="1" t="n">
        <v>43560</v>
      </c>
      <c r="I254" s="0" t="s">
        <v>72</v>
      </c>
    </row>
    <row r="255" customFormat="false" ht="12.8" hidden="false" customHeight="false" outlineLevel="0" collapsed="false">
      <c r="A255" s="0" t="s">
        <v>85</v>
      </c>
      <c r="B255" s="26" t="n">
        <v>10</v>
      </c>
      <c r="C255" s="0" t="n">
        <v>0</v>
      </c>
      <c r="D255" s="0" t="n">
        <v>1</v>
      </c>
      <c r="E255" s="0" t="n">
        <v>0</v>
      </c>
      <c r="F255" s="28" t="n">
        <v>0</v>
      </c>
      <c r="G255" s="1" t="n">
        <v>43556</v>
      </c>
      <c r="H255" s="1" t="n">
        <v>43561</v>
      </c>
      <c r="I255" s="0" t="s">
        <v>85</v>
      </c>
    </row>
    <row r="256" customFormat="false" ht="12.8" hidden="false" customHeight="false" outlineLevel="0" collapsed="false">
      <c r="A256" s="0" t="s">
        <v>68</v>
      </c>
      <c r="B256" s="26" t="n">
        <v>20</v>
      </c>
      <c r="C256" s="0" t="n">
        <v>0</v>
      </c>
      <c r="D256" s="0" t="n">
        <v>1</v>
      </c>
      <c r="E256" s="0" t="n">
        <v>0</v>
      </c>
      <c r="F256" s="28" t="n">
        <v>0</v>
      </c>
      <c r="G256" s="1" t="n">
        <v>43556</v>
      </c>
      <c r="H256" s="1" t="n">
        <v>43561</v>
      </c>
      <c r="I256" s="0" t="s">
        <v>68</v>
      </c>
    </row>
    <row r="257" customFormat="false" ht="12.8" hidden="false" customHeight="false" outlineLevel="0" collapsed="false">
      <c r="A257" s="0" t="s">
        <v>195</v>
      </c>
      <c r="B257" s="26" t="n">
        <v>20</v>
      </c>
      <c r="C257" s="0" t="n">
        <v>0</v>
      </c>
      <c r="D257" s="0" t="n">
        <v>1</v>
      </c>
      <c r="E257" s="0" t="n">
        <v>0</v>
      </c>
      <c r="F257" s="28" t="n">
        <v>0</v>
      </c>
      <c r="G257" s="1" t="n">
        <v>43556</v>
      </c>
      <c r="H257" s="1" t="n">
        <v>43561</v>
      </c>
      <c r="I257" s="0" t="s">
        <v>81</v>
      </c>
    </row>
    <row r="258" customFormat="false" ht="12.8" hidden="false" customHeight="false" outlineLevel="0" collapsed="false">
      <c r="A258" s="0" t="s">
        <v>79</v>
      </c>
      <c r="B258" s="26" t="n">
        <v>122.13</v>
      </c>
      <c r="C258" s="0" t="n">
        <v>0</v>
      </c>
      <c r="D258" s="0" t="n">
        <v>1</v>
      </c>
      <c r="E258" s="0" t="n">
        <v>0</v>
      </c>
      <c r="F258" s="28" t="n">
        <v>0</v>
      </c>
      <c r="G258" s="1" t="n">
        <v>43556</v>
      </c>
      <c r="H258" s="1" t="n">
        <v>43560</v>
      </c>
      <c r="I258" s="0" t="s">
        <v>79</v>
      </c>
    </row>
    <row r="259" customFormat="false" ht="12.8" hidden="false" customHeight="false" outlineLevel="0" collapsed="false">
      <c r="A259" s="0" t="s">
        <v>73</v>
      </c>
      <c r="B259" s="26" t="n">
        <v>39</v>
      </c>
      <c r="C259" s="0" t="n">
        <v>0</v>
      </c>
      <c r="D259" s="0" t="n">
        <v>1</v>
      </c>
      <c r="E259" s="0" t="n">
        <v>0</v>
      </c>
      <c r="F259" s="28" t="n">
        <v>0</v>
      </c>
      <c r="G259" s="1" t="n">
        <v>43556</v>
      </c>
      <c r="H259" s="1" t="n">
        <v>43560</v>
      </c>
      <c r="I259" s="0" t="s">
        <v>73</v>
      </c>
    </row>
    <row r="260" customFormat="false" ht="12.8" hidden="false" customHeight="false" outlineLevel="0" collapsed="false">
      <c r="A260" s="0" t="s">
        <v>196</v>
      </c>
      <c r="B260" s="26" t="n">
        <v>25</v>
      </c>
      <c r="C260" s="0" t="n">
        <v>0</v>
      </c>
      <c r="D260" s="0" t="n">
        <v>1</v>
      </c>
      <c r="E260" s="0" t="n">
        <v>0</v>
      </c>
      <c r="F260" s="28" t="n">
        <v>0</v>
      </c>
      <c r="G260" s="1" t="n">
        <v>43556</v>
      </c>
      <c r="H260" s="1" t="n">
        <v>43560</v>
      </c>
      <c r="I260" s="0" t="s">
        <v>106</v>
      </c>
    </row>
    <row r="261" customFormat="false" ht="12.8" hidden="false" customHeight="false" outlineLevel="0" collapsed="false">
      <c r="A261" s="0" t="s">
        <v>197</v>
      </c>
      <c r="B261" s="26" t="n">
        <v>378</v>
      </c>
      <c r="C261" s="0" t="n">
        <v>1</v>
      </c>
      <c r="D261" s="0" t="n">
        <v>0</v>
      </c>
      <c r="E261" s="0" t="n">
        <v>0</v>
      </c>
      <c r="F261" s="28" t="n">
        <v>0</v>
      </c>
      <c r="G261" s="1" t="n">
        <v>43556</v>
      </c>
      <c r="H261" s="1" t="n">
        <v>43561</v>
      </c>
      <c r="I261" s="0" t="s">
        <v>106</v>
      </c>
    </row>
    <row r="262" customFormat="false" ht="12.8" hidden="false" customHeight="false" outlineLevel="0" collapsed="false">
      <c r="A262" s="0" t="s">
        <v>198</v>
      </c>
      <c r="B262" s="26" t="n">
        <v>38</v>
      </c>
      <c r="C262" s="0" t="n">
        <v>0</v>
      </c>
      <c r="D262" s="0" t="n">
        <v>1</v>
      </c>
      <c r="E262" s="0" t="n">
        <v>0</v>
      </c>
      <c r="F262" s="28" t="n">
        <v>0</v>
      </c>
      <c r="G262" s="1" t="n">
        <v>43556</v>
      </c>
      <c r="H262" s="1" t="n">
        <v>43562</v>
      </c>
      <c r="I262" s="0" t="s">
        <v>73</v>
      </c>
    </row>
    <row r="263" customFormat="false" ht="12.8" hidden="false" customHeight="false" outlineLevel="0" collapsed="false">
      <c r="A263" s="0" t="s">
        <v>79</v>
      </c>
      <c r="B263" s="26" t="n">
        <v>57.75</v>
      </c>
      <c r="C263" s="0" t="n">
        <v>0</v>
      </c>
      <c r="D263" s="0" t="n">
        <v>1</v>
      </c>
      <c r="E263" s="0" t="n">
        <v>0</v>
      </c>
      <c r="F263" s="28" t="n">
        <v>0</v>
      </c>
      <c r="G263" s="1" t="n">
        <v>43556</v>
      </c>
      <c r="H263" s="1" t="n">
        <v>43562</v>
      </c>
      <c r="I263" s="0" t="s">
        <v>79</v>
      </c>
    </row>
    <row r="264" customFormat="false" ht="12.8" hidden="false" customHeight="false" outlineLevel="0" collapsed="false">
      <c r="A264" s="0" t="s">
        <v>105</v>
      </c>
      <c r="B264" s="26" t="n">
        <v>77.9</v>
      </c>
      <c r="C264" s="0" t="n">
        <v>0</v>
      </c>
      <c r="D264" s="0" t="n">
        <v>1</v>
      </c>
      <c r="E264" s="0" t="n">
        <v>0</v>
      </c>
      <c r="F264" s="28" t="n">
        <v>0</v>
      </c>
      <c r="G264" s="1" t="n">
        <v>43556</v>
      </c>
      <c r="H264" s="1" t="n">
        <v>43562</v>
      </c>
      <c r="I264" s="0" t="s">
        <v>106</v>
      </c>
    </row>
    <row r="265" customFormat="false" ht="12.8" hidden="false" customHeight="false" outlineLevel="0" collapsed="false">
      <c r="A265" s="0" t="s">
        <v>116</v>
      </c>
      <c r="B265" s="26" t="n">
        <v>25.89</v>
      </c>
      <c r="C265" s="0" t="n">
        <v>0</v>
      </c>
      <c r="D265" s="0" t="n">
        <v>1</v>
      </c>
      <c r="E265" s="0" t="n">
        <v>0</v>
      </c>
      <c r="F265" s="28" t="n">
        <v>0</v>
      </c>
      <c r="G265" s="1" t="n">
        <v>43556</v>
      </c>
      <c r="H265" s="1" t="n">
        <v>43564</v>
      </c>
      <c r="I265" s="0" t="s">
        <v>116</v>
      </c>
    </row>
    <row r="266" customFormat="false" ht="12.8" hidden="false" customHeight="false" outlineLevel="0" collapsed="false">
      <c r="A266" s="0" t="s">
        <v>112</v>
      </c>
      <c r="B266" s="26" t="n">
        <v>4</v>
      </c>
      <c r="C266" s="0" t="n">
        <v>0</v>
      </c>
      <c r="D266" s="0" t="n">
        <v>1</v>
      </c>
      <c r="E266" s="0" t="n">
        <v>0</v>
      </c>
      <c r="F266" s="28" t="n">
        <v>0</v>
      </c>
      <c r="G266" s="1" t="n">
        <v>43556</v>
      </c>
      <c r="H266" s="1" t="n">
        <v>43564</v>
      </c>
      <c r="I266" s="0" t="s">
        <v>72</v>
      </c>
    </row>
    <row r="267" customFormat="false" ht="12.8" hidden="false" customHeight="false" outlineLevel="0" collapsed="false">
      <c r="A267" s="0" t="s">
        <v>199</v>
      </c>
      <c r="B267" s="26" t="n">
        <v>33.75</v>
      </c>
      <c r="C267" s="0" t="n">
        <v>0</v>
      </c>
      <c r="D267" s="0" t="n">
        <v>1</v>
      </c>
      <c r="E267" s="0" t="n">
        <v>0</v>
      </c>
      <c r="F267" s="28" t="n">
        <v>0</v>
      </c>
      <c r="G267" s="1" t="n">
        <v>43556</v>
      </c>
      <c r="H267" s="1" t="n">
        <v>43565</v>
      </c>
      <c r="I267" s="0" t="s">
        <v>116</v>
      </c>
    </row>
    <row r="268" customFormat="false" ht="12.8" hidden="false" customHeight="false" outlineLevel="0" collapsed="false">
      <c r="A268" s="0" t="s">
        <v>79</v>
      </c>
      <c r="B268" s="26" t="n">
        <v>27.55</v>
      </c>
      <c r="C268" s="0" t="n">
        <v>0</v>
      </c>
      <c r="D268" s="0" t="n">
        <v>1</v>
      </c>
      <c r="E268" s="0" t="n">
        <v>0</v>
      </c>
      <c r="F268" s="28" t="n">
        <v>0</v>
      </c>
      <c r="G268" s="1" t="n">
        <v>43556</v>
      </c>
      <c r="H268" s="1" t="n">
        <v>43565</v>
      </c>
      <c r="I268" s="0" t="s">
        <v>79</v>
      </c>
    </row>
    <row r="269" customFormat="false" ht="12.8" hidden="false" customHeight="false" outlineLevel="0" collapsed="false">
      <c r="A269" s="0" t="s">
        <v>79</v>
      </c>
      <c r="B269" s="26" t="n">
        <v>36.78</v>
      </c>
      <c r="C269" s="0" t="n">
        <v>0</v>
      </c>
      <c r="D269" s="0" t="n">
        <v>1</v>
      </c>
      <c r="E269" s="0" t="n">
        <v>0</v>
      </c>
      <c r="F269" s="28" t="n">
        <v>0</v>
      </c>
      <c r="G269" s="1" t="n">
        <v>43556</v>
      </c>
      <c r="H269" s="1" t="n">
        <v>43566</v>
      </c>
      <c r="I269" s="0" t="s">
        <v>79</v>
      </c>
    </row>
    <row r="270" customFormat="false" ht="12.8" hidden="false" customHeight="false" outlineLevel="0" collapsed="false">
      <c r="A270" s="0" t="s">
        <v>200</v>
      </c>
      <c r="B270" s="26" t="n">
        <v>20</v>
      </c>
      <c r="C270" s="0" t="n">
        <v>0</v>
      </c>
      <c r="D270" s="0" t="n">
        <v>1</v>
      </c>
      <c r="E270" s="0" t="n">
        <v>0</v>
      </c>
      <c r="F270" s="28" t="n">
        <v>0</v>
      </c>
      <c r="G270" s="1" t="n">
        <v>43556</v>
      </c>
      <c r="H270" s="1" t="n">
        <v>43564</v>
      </c>
      <c r="I270" s="0" t="s">
        <v>72</v>
      </c>
    </row>
    <row r="271" customFormat="false" ht="12.8" hidden="false" customHeight="false" outlineLevel="0" collapsed="false">
      <c r="A271" s="0" t="s">
        <v>74</v>
      </c>
      <c r="B271" s="26" t="n">
        <v>5.79</v>
      </c>
      <c r="C271" s="0" t="n">
        <v>0</v>
      </c>
      <c r="D271" s="0" t="n">
        <v>1</v>
      </c>
      <c r="E271" s="0" t="n">
        <v>0</v>
      </c>
      <c r="F271" s="28" t="n">
        <v>0</v>
      </c>
      <c r="G271" s="1" t="n">
        <v>43556</v>
      </c>
      <c r="H271" s="1" t="n">
        <v>43567</v>
      </c>
      <c r="I271" s="0" t="s">
        <v>72</v>
      </c>
    </row>
    <row r="272" customFormat="false" ht="12.8" hidden="false" customHeight="false" outlineLevel="0" collapsed="false">
      <c r="A272" s="0" t="s">
        <v>200</v>
      </c>
      <c r="B272" s="26" t="n">
        <v>50</v>
      </c>
      <c r="C272" s="0" t="n">
        <v>0</v>
      </c>
      <c r="D272" s="0" t="n">
        <v>1</v>
      </c>
      <c r="E272" s="0" t="n">
        <v>0</v>
      </c>
      <c r="F272" s="28" t="n">
        <v>0</v>
      </c>
      <c r="G272" s="1" t="n">
        <v>43556</v>
      </c>
      <c r="H272" s="1" t="n">
        <v>43567</v>
      </c>
      <c r="I272" s="0" t="s">
        <v>72</v>
      </c>
    </row>
    <row r="273" customFormat="false" ht="12.8" hidden="false" customHeight="false" outlineLevel="0" collapsed="false">
      <c r="A273" s="0" t="s">
        <v>201</v>
      </c>
      <c r="B273" s="26" t="n">
        <v>25</v>
      </c>
      <c r="C273" s="0" t="n">
        <v>0</v>
      </c>
      <c r="D273" s="0" t="n">
        <v>1</v>
      </c>
      <c r="E273" s="0" t="n">
        <v>0</v>
      </c>
      <c r="F273" s="28" t="n">
        <v>0</v>
      </c>
      <c r="G273" s="1" t="n">
        <v>43556</v>
      </c>
      <c r="H273" s="1" t="n">
        <v>43568</v>
      </c>
      <c r="I273" s="0" t="s">
        <v>72</v>
      </c>
    </row>
    <row r="274" customFormat="false" ht="12.8" hidden="false" customHeight="false" outlineLevel="0" collapsed="false">
      <c r="A274" s="0" t="s">
        <v>202</v>
      </c>
      <c r="B274" s="26" t="n">
        <v>100</v>
      </c>
      <c r="C274" s="0" t="n">
        <v>0</v>
      </c>
      <c r="D274" s="0" t="n">
        <v>1</v>
      </c>
      <c r="E274" s="0" t="n">
        <v>0</v>
      </c>
      <c r="F274" s="28" t="n">
        <v>0</v>
      </c>
      <c r="G274" s="1" t="n">
        <v>43556</v>
      </c>
      <c r="H274" s="1" t="n">
        <v>43568</v>
      </c>
      <c r="I274" s="0" t="s">
        <v>81</v>
      </c>
    </row>
    <row r="275" customFormat="false" ht="12.8" hidden="false" customHeight="false" outlineLevel="0" collapsed="false">
      <c r="A275" s="0" t="s">
        <v>203</v>
      </c>
      <c r="B275" s="26" t="n">
        <v>33.48</v>
      </c>
      <c r="C275" s="0" t="n">
        <v>0</v>
      </c>
      <c r="D275" s="0" t="n">
        <v>1</v>
      </c>
      <c r="E275" s="0" t="n">
        <v>0</v>
      </c>
      <c r="F275" s="28" t="n">
        <v>0</v>
      </c>
      <c r="G275" s="1" t="n">
        <v>43556</v>
      </c>
      <c r="H275" s="1" t="n">
        <v>43568</v>
      </c>
      <c r="I275" s="0" t="s">
        <v>81</v>
      </c>
    </row>
    <row r="276" customFormat="false" ht="12.8" hidden="false" customHeight="false" outlineLevel="0" collapsed="false">
      <c r="A276" s="0" t="s">
        <v>79</v>
      </c>
      <c r="B276" s="26" t="n">
        <v>32.04</v>
      </c>
      <c r="C276" s="0" t="n">
        <v>0</v>
      </c>
      <c r="D276" s="0" t="n">
        <v>1</v>
      </c>
      <c r="E276" s="0" t="n">
        <v>0</v>
      </c>
      <c r="F276" s="28" t="n">
        <v>0</v>
      </c>
      <c r="G276" s="1" t="n">
        <v>43556</v>
      </c>
      <c r="H276" s="1" t="n">
        <v>43568</v>
      </c>
      <c r="I276" s="0" t="s">
        <v>79</v>
      </c>
    </row>
    <row r="277" customFormat="false" ht="12.8" hidden="false" customHeight="false" outlineLevel="0" collapsed="false">
      <c r="A277" s="0" t="s">
        <v>158</v>
      </c>
      <c r="B277" s="26" t="n">
        <v>12</v>
      </c>
      <c r="C277" s="0" t="n">
        <v>0</v>
      </c>
      <c r="D277" s="0" t="n">
        <v>1</v>
      </c>
      <c r="E277" s="0" t="n">
        <v>0</v>
      </c>
      <c r="F277" s="28" t="n">
        <v>0</v>
      </c>
      <c r="G277" s="1" t="n">
        <v>43556</v>
      </c>
      <c r="H277" s="1" t="n">
        <v>43568</v>
      </c>
      <c r="I277" s="0" t="s">
        <v>72</v>
      </c>
    </row>
    <row r="278" customFormat="false" ht="12.8" hidden="false" customHeight="false" outlineLevel="0" collapsed="false">
      <c r="A278" s="0" t="s">
        <v>105</v>
      </c>
      <c r="B278" s="26" t="n">
        <v>79.8</v>
      </c>
      <c r="C278" s="0" t="n">
        <v>0</v>
      </c>
      <c r="D278" s="0" t="n">
        <v>1</v>
      </c>
      <c r="E278" s="0" t="n">
        <v>0</v>
      </c>
      <c r="F278" s="28" t="n">
        <v>0</v>
      </c>
      <c r="G278" s="1" t="n">
        <v>43556</v>
      </c>
      <c r="H278" s="1" t="n">
        <v>43568</v>
      </c>
      <c r="I278" s="0" t="s">
        <v>106</v>
      </c>
    </row>
    <row r="279" customFormat="false" ht="12.8" hidden="false" customHeight="false" outlineLevel="0" collapsed="false">
      <c r="A279" s="0" t="s">
        <v>79</v>
      </c>
      <c r="B279" s="26" t="n">
        <v>316.72</v>
      </c>
      <c r="C279" s="0" t="n">
        <v>0</v>
      </c>
      <c r="D279" s="0" t="n">
        <v>1</v>
      </c>
      <c r="E279" s="0" t="n">
        <v>0</v>
      </c>
      <c r="F279" s="28" t="n">
        <v>0</v>
      </c>
      <c r="G279" s="1" t="n">
        <v>43556</v>
      </c>
      <c r="H279" s="1" t="n">
        <v>43569</v>
      </c>
      <c r="I279" s="0" t="s">
        <v>79</v>
      </c>
    </row>
    <row r="280" customFormat="false" ht="12.8" hidden="false" customHeight="false" outlineLevel="0" collapsed="false">
      <c r="A280" s="0" t="s">
        <v>73</v>
      </c>
      <c r="B280" s="26" t="n">
        <v>15.99</v>
      </c>
      <c r="C280" s="0" t="n">
        <v>0</v>
      </c>
      <c r="D280" s="0" t="n">
        <v>1</v>
      </c>
      <c r="E280" s="0" t="n">
        <v>0</v>
      </c>
      <c r="F280" s="28" t="n">
        <v>0</v>
      </c>
      <c r="G280" s="1" t="n">
        <v>43556</v>
      </c>
      <c r="H280" s="1" t="n">
        <v>43569</v>
      </c>
      <c r="I280" s="0" t="s">
        <v>73</v>
      </c>
    </row>
    <row r="281" customFormat="false" ht="12.8" hidden="false" customHeight="false" outlineLevel="0" collapsed="false">
      <c r="A281" s="0" t="s">
        <v>73</v>
      </c>
      <c r="B281" s="26" t="n">
        <v>9.52</v>
      </c>
      <c r="C281" s="0" t="n">
        <v>0</v>
      </c>
      <c r="D281" s="0" t="n">
        <v>1</v>
      </c>
      <c r="E281" s="0" t="n">
        <v>0</v>
      </c>
      <c r="F281" s="28" t="n">
        <v>0</v>
      </c>
      <c r="G281" s="1" t="n">
        <v>43556</v>
      </c>
      <c r="H281" s="1" t="n">
        <v>43569</v>
      </c>
      <c r="I281" s="0" t="s">
        <v>73</v>
      </c>
    </row>
    <row r="282" customFormat="false" ht="12.8" hidden="false" customHeight="false" outlineLevel="0" collapsed="false">
      <c r="A282" s="0" t="s">
        <v>204</v>
      </c>
      <c r="B282" s="26" t="n">
        <v>6</v>
      </c>
      <c r="C282" s="0" t="n">
        <v>0</v>
      </c>
      <c r="D282" s="0" t="n">
        <v>1</v>
      </c>
      <c r="E282" s="0" t="n">
        <v>0</v>
      </c>
      <c r="F282" s="28" t="n">
        <v>0</v>
      </c>
      <c r="G282" s="1" t="n">
        <v>43556</v>
      </c>
      <c r="H282" s="1" t="n">
        <v>43570</v>
      </c>
      <c r="I282" s="0" t="s">
        <v>72</v>
      </c>
    </row>
    <row r="283" customFormat="false" ht="12.8" hidden="false" customHeight="false" outlineLevel="0" collapsed="false">
      <c r="A283" s="0" t="s">
        <v>205</v>
      </c>
      <c r="B283" s="26" t="n">
        <v>2.98</v>
      </c>
      <c r="C283" s="0" t="n">
        <v>0</v>
      </c>
      <c r="D283" s="0" t="n">
        <v>1</v>
      </c>
      <c r="E283" s="0" t="n">
        <v>0</v>
      </c>
      <c r="F283" s="28" t="n">
        <v>0</v>
      </c>
      <c r="G283" s="1" t="n">
        <v>43556</v>
      </c>
      <c r="H283" s="1" t="n">
        <v>43570</v>
      </c>
      <c r="I283" s="0" t="s">
        <v>116</v>
      </c>
    </row>
    <row r="284" customFormat="false" ht="12.8" hidden="false" customHeight="false" outlineLevel="0" collapsed="false">
      <c r="A284" s="0" t="s">
        <v>74</v>
      </c>
      <c r="B284" s="26" t="n">
        <v>2.99</v>
      </c>
      <c r="C284" s="0" t="n">
        <v>0</v>
      </c>
      <c r="D284" s="0" t="n">
        <v>1</v>
      </c>
      <c r="E284" s="0" t="n">
        <v>0</v>
      </c>
      <c r="F284" s="28" t="n">
        <v>0</v>
      </c>
      <c r="G284" s="1" t="n">
        <v>43556</v>
      </c>
      <c r="H284" s="1" t="n">
        <v>43571</v>
      </c>
      <c r="I284" s="0" t="s">
        <v>72</v>
      </c>
    </row>
    <row r="285" customFormat="false" ht="12.8" hidden="false" customHeight="false" outlineLevel="0" collapsed="false">
      <c r="A285" s="0" t="s">
        <v>112</v>
      </c>
      <c r="B285" s="26" t="n">
        <v>4</v>
      </c>
      <c r="C285" s="0" t="n">
        <v>0</v>
      </c>
      <c r="D285" s="0" t="n">
        <v>1</v>
      </c>
      <c r="E285" s="0" t="n">
        <v>0</v>
      </c>
      <c r="F285" s="28" t="n">
        <v>0</v>
      </c>
      <c r="G285" s="1" t="n">
        <v>43556</v>
      </c>
      <c r="H285" s="1" t="n">
        <v>43571</v>
      </c>
      <c r="I285" s="0" t="s">
        <v>72</v>
      </c>
    </row>
    <row r="286" customFormat="false" ht="12.8" hidden="false" customHeight="false" outlineLevel="0" collapsed="false">
      <c r="A286" s="0" t="s">
        <v>206</v>
      </c>
      <c r="B286" s="26" t="n">
        <v>236</v>
      </c>
      <c r="C286" s="0" t="n">
        <v>0</v>
      </c>
      <c r="D286" s="0" t="n">
        <v>1</v>
      </c>
      <c r="E286" s="0" t="n">
        <v>0</v>
      </c>
      <c r="F286" s="28" t="n">
        <v>0</v>
      </c>
      <c r="G286" s="1" t="n">
        <v>43556</v>
      </c>
      <c r="H286" s="1" t="n">
        <v>43571</v>
      </c>
      <c r="I286" s="0" t="s">
        <v>81</v>
      </c>
    </row>
    <row r="287" customFormat="false" ht="12.8" hidden="false" customHeight="false" outlineLevel="0" collapsed="false">
      <c r="A287" s="0" t="s">
        <v>116</v>
      </c>
      <c r="B287" s="26" t="n">
        <v>58.07</v>
      </c>
      <c r="C287" s="0" t="n">
        <v>0</v>
      </c>
      <c r="D287" s="0" t="n">
        <v>1</v>
      </c>
      <c r="E287" s="0" t="n">
        <v>0</v>
      </c>
      <c r="F287" s="28" t="n">
        <v>0</v>
      </c>
      <c r="G287" s="1" t="n">
        <v>43556</v>
      </c>
      <c r="H287" s="1" t="n">
        <v>43572</v>
      </c>
      <c r="I287" s="0" t="s">
        <v>116</v>
      </c>
    </row>
    <row r="288" customFormat="false" ht="12.8" hidden="false" customHeight="false" outlineLevel="0" collapsed="false">
      <c r="A288" s="0" t="s">
        <v>207</v>
      </c>
      <c r="B288" s="26" t="n">
        <v>20</v>
      </c>
      <c r="C288" s="0" t="n">
        <v>0</v>
      </c>
      <c r="D288" s="0" t="n">
        <v>1</v>
      </c>
      <c r="E288" s="0" t="n">
        <v>0</v>
      </c>
      <c r="F288" s="28" t="n">
        <v>0</v>
      </c>
      <c r="G288" s="1" t="n">
        <v>43556</v>
      </c>
      <c r="H288" s="1" t="n">
        <v>43573</v>
      </c>
      <c r="I288" s="0" t="s">
        <v>81</v>
      </c>
    </row>
    <row r="289" customFormat="false" ht="12.8" hidden="false" customHeight="false" outlineLevel="0" collapsed="false">
      <c r="A289" s="0" t="s">
        <v>190</v>
      </c>
      <c r="B289" s="26" t="n">
        <v>7.5</v>
      </c>
      <c r="C289" s="0" t="n">
        <v>0</v>
      </c>
      <c r="D289" s="0" t="n">
        <v>1</v>
      </c>
      <c r="E289" s="0" t="n">
        <v>0</v>
      </c>
      <c r="F289" s="28" t="n">
        <v>0</v>
      </c>
      <c r="G289" s="1" t="n">
        <v>43556</v>
      </c>
      <c r="H289" s="1" t="n">
        <v>43573</v>
      </c>
      <c r="I289" s="0" t="s">
        <v>72</v>
      </c>
    </row>
    <row r="290" customFormat="false" ht="12.8" hidden="false" customHeight="false" outlineLevel="0" collapsed="false">
      <c r="A290" s="0" t="s">
        <v>158</v>
      </c>
      <c r="B290" s="26" t="n">
        <v>9</v>
      </c>
      <c r="C290" s="0" t="n">
        <v>0</v>
      </c>
      <c r="D290" s="0" t="n">
        <v>1</v>
      </c>
      <c r="E290" s="0" t="n">
        <v>0</v>
      </c>
      <c r="F290" s="28" t="n">
        <v>0</v>
      </c>
      <c r="G290" s="1" t="n">
        <v>43556</v>
      </c>
      <c r="H290" s="1" t="n">
        <v>43573</v>
      </c>
      <c r="I290" s="0" t="s">
        <v>72</v>
      </c>
    </row>
    <row r="291" customFormat="false" ht="12.8" hidden="false" customHeight="false" outlineLevel="0" collapsed="false">
      <c r="A291" s="0" t="s">
        <v>82</v>
      </c>
      <c r="B291" s="26" t="n">
        <v>18.5</v>
      </c>
      <c r="C291" s="0" t="n">
        <v>0</v>
      </c>
      <c r="D291" s="0" t="n">
        <v>1</v>
      </c>
      <c r="E291" s="0" t="n">
        <v>0</v>
      </c>
      <c r="F291" s="28" t="n">
        <v>0</v>
      </c>
      <c r="G291" s="1" t="n">
        <v>43556</v>
      </c>
      <c r="H291" s="1" t="n">
        <v>43573</v>
      </c>
      <c r="I291" s="0" t="s">
        <v>72</v>
      </c>
    </row>
    <row r="292" customFormat="false" ht="12.8" hidden="false" customHeight="false" outlineLevel="0" collapsed="false">
      <c r="A292" s="0" t="s">
        <v>112</v>
      </c>
      <c r="B292" s="26" t="n">
        <v>4</v>
      </c>
      <c r="C292" s="0" t="n">
        <v>0</v>
      </c>
      <c r="D292" s="0" t="n">
        <v>1</v>
      </c>
      <c r="E292" s="0" t="n">
        <v>0</v>
      </c>
      <c r="F292" s="28" t="n">
        <v>0</v>
      </c>
      <c r="G292" s="1" t="n">
        <v>43556</v>
      </c>
      <c r="H292" s="1" t="n">
        <v>43573</v>
      </c>
      <c r="I292" s="0" t="s">
        <v>72</v>
      </c>
    </row>
    <row r="293" customFormat="false" ht="12.8" hidden="false" customHeight="false" outlineLevel="0" collapsed="false">
      <c r="A293" s="0" t="s">
        <v>208</v>
      </c>
      <c r="B293" s="26" t="n">
        <v>32.9</v>
      </c>
      <c r="C293" s="0" t="n">
        <v>0</v>
      </c>
      <c r="D293" s="0" t="n">
        <v>1</v>
      </c>
      <c r="E293" s="0" t="n">
        <v>0</v>
      </c>
      <c r="F293" s="28" t="n">
        <v>0</v>
      </c>
      <c r="G293" s="1" t="n">
        <v>43556</v>
      </c>
      <c r="H293" s="1" t="n">
        <v>43573</v>
      </c>
      <c r="I293" s="0" t="s">
        <v>81</v>
      </c>
    </row>
    <row r="294" customFormat="false" ht="12.8" hidden="false" customHeight="false" outlineLevel="0" collapsed="false">
      <c r="A294" s="0" t="s">
        <v>209</v>
      </c>
      <c r="B294" s="26" t="n">
        <v>20</v>
      </c>
      <c r="C294" s="0" t="n">
        <v>0</v>
      </c>
      <c r="D294" s="0" t="n">
        <v>1</v>
      </c>
      <c r="E294" s="0" t="n">
        <v>0</v>
      </c>
      <c r="F294" s="28" t="n">
        <v>0</v>
      </c>
      <c r="G294" s="1" t="n">
        <v>43556</v>
      </c>
      <c r="H294" s="1" t="n">
        <v>43573</v>
      </c>
      <c r="I294" s="0" t="s">
        <v>81</v>
      </c>
    </row>
    <row r="295" customFormat="false" ht="12.8" hidden="false" customHeight="false" outlineLevel="0" collapsed="false">
      <c r="A295" s="0" t="s">
        <v>210</v>
      </c>
      <c r="B295" s="26" t="n">
        <v>50</v>
      </c>
      <c r="C295" s="0" t="n">
        <v>0</v>
      </c>
      <c r="D295" s="0" t="n">
        <v>1</v>
      </c>
      <c r="E295" s="0" t="n">
        <v>0</v>
      </c>
      <c r="F295" s="28" t="n">
        <v>0</v>
      </c>
      <c r="G295" s="1" t="n">
        <v>43556</v>
      </c>
      <c r="H295" s="1" t="n">
        <v>43573</v>
      </c>
      <c r="I295" s="0" t="s">
        <v>81</v>
      </c>
    </row>
    <row r="296" customFormat="false" ht="12.8" hidden="false" customHeight="false" outlineLevel="0" collapsed="false">
      <c r="A296" s="0" t="s">
        <v>105</v>
      </c>
      <c r="B296" s="26" t="n">
        <v>79.8</v>
      </c>
      <c r="C296" s="0" t="n">
        <v>0</v>
      </c>
      <c r="D296" s="0" t="n">
        <v>1</v>
      </c>
      <c r="E296" s="0" t="n">
        <v>0</v>
      </c>
      <c r="F296" s="28" t="n">
        <v>0</v>
      </c>
      <c r="G296" s="1" t="n">
        <v>43556</v>
      </c>
      <c r="H296" s="1" t="n">
        <v>43577</v>
      </c>
      <c r="I296" s="0" t="s">
        <v>106</v>
      </c>
    </row>
    <row r="297" customFormat="false" ht="12.8" hidden="false" customHeight="false" outlineLevel="0" collapsed="false">
      <c r="A297" s="0" t="s">
        <v>211</v>
      </c>
      <c r="B297" s="26" t="n">
        <v>11.9</v>
      </c>
      <c r="C297" s="0" t="n">
        <v>0</v>
      </c>
      <c r="D297" s="0" t="n">
        <v>1</v>
      </c>
      <c r="E297" s="0" t="n">
        <v>0</v>
      </c>
      <c r="F297" s="28" t="n">
        <v>0</v>
      </c>
      <c r="G297" s="1" t="n">
        <v>43556</v>
      </c>
      <c r="H297" s="1" t="n">
        <v>43577</v>
      </c>
      <c r="I297" s="0" t="s">
        <v>72</v>
      </c>
    </row>
    <row r="298" customFormat="false" ht="12.8" hidden="false" customHeight="false" outlineLevel="0" collapsed="false">
      <c r="A298" s="0" t="s">
        <v>74</v>
      </c>
      <c r="B298" s="26" t="n">
        <v>2.99</v>
      </c>
      <c r="C298" s="0" t="n">
        <v>0</v>
      </c>
      <c r="D298" s="0" t="n">
        <v>1</v>
      </c>
      <c r="E298" s="0" t="n">
        <v>0</v>
      </c>
      <c r="F298" s="28" t="n">
        <v>0</v>
      </c>
      <c r="G298" s="1" t="n">
        <v>43556</v>
      </c>
      <c r="H298" s="1" t="n">
        <v>43577</v>
      </c>
      <c r="I298" s="0" t="s">
        <v>72</v>
      </c>
    </row>
    <row r="299" customFormat="false" ht="12.8" hidden="false" customHeight="false" outlineLevel="0" collapsed="false">
      <c r="A299" s="0" t="s">
        <v>100</v>
      </c>
      <c r="B299" s="26" t="n">
        <v>39.8</v>
      </c>
      <c r="C299" s="0" t="n">
        <v>0</v>
      </c>
      <c r="D299" s="0" t="n">
        <v>1</v>
      </c>
      <c r="E299" s="0" t="n">
        <v>0</v>
      </c>
      <c r="F299" s="28" t="n">
        <v>0</v>
      </c>
      <c r="G299" s="1" t="n">
        <v>43556</v>
      </c>
      <c r="H299" s="1" t="n">
        <v>43575</v>
      </c>
      <c r="I299" s="0" t="s">
        <v>72</v>
      </c>
    </row>
    <row r="300" customFormat="false" ht="12.8" hidden="false" customHeight="false" outlineLevel="0" collapsed="false">
      <c r="A300" s="0" t="s">
        <v>212</v>
      </c>
      <c r="B300" s="26" t="n">
        <v>28</v>
      </c>
      <c r="C300" s="0" t="n">
        <v>0</v>
      </c>
      <c r="D300" s="0" t="n">
        <v>1</v>
      </c>
      <c r="E300" s="0" t="n">
        <v>0</v>
      </c>
      <c r="F300" s="28" t="n">
        <v>0</v>
      </c>
      <c r="G300" s="1" t="n">
        <v>43556</v>
      </c>
      <c r="H300" s="1" t="n">
        <v>43575</v>
      </c>
      <c r="I300" s="0" t="s">
        <v>72</v>
      </c>
    </row>
    <row r="301" customFormat="false" ht="12.8" hidden="false" customHeight="false" outlineLevel="0" collapsed="false">
      <c r="A301" s="0" t="s">
        <v>105</v>
      </c>
      <c r="B301" s="26" t="n">
        <v>50</v>
      </c>
      <c r="C301" s="0" t="n">
        <v>0</v>
      </c>
      <c r="D301" s="0" t="n">
        <v>1</v>
      </c>
      <c r="E301" s="0" t="n">
        <v>0</v>
      </c>
      <c r="F301" s="28" t="n">
        <v>0</v>
      </c>
      <c r="G301" s="1" t="n">
        <v>43556</v>
      </c>
      <c r="H301" s="1" t="n">
        <v>43575</v>
      </c>
      <c r="I301" s="0" t="s">
        <v>106</v>
      </c>
    </row>
    <row r="302" customFormat="false" ht="12.8" hidden="false" customHeight="false" outlineLevel="0" collapsed="false">
      <c r="A302" s="0" t="s">
        <v>213</v>
      </c>
      <c r="B302" s="26" t="n">
        <v>29.9</v>
      </c>
      <c r="C302" s="0" t="n">
        <v>0</v>
      </c>
      <c r="D302" s="0" t="n">
        <v>1</v>
      </c>
      <c r="E302" s="0" t="n">
        <v>0</v>
      </c>
      <c r="F302" s="28" t="n">
        <v>0</v>
      </c>
      <c r="G302" s="1" t="n">
        <v>43556</v>
      </c>
      <c r="H302" s="1" t="n">
        <v>43575</v>
      </c>
      <c r="I302" s="0" t="s">
        <v>116</v>
      </c>
    </row>
    <row r="303" customFormat="false" ht="12.8" hidden="false" customHeight="false" outlineLevel="0" collapsed="false">
      <c r="A303" s="0" t="s">
        <v>79</v>
      </c>
      <c r="B303" s="26" t="n">
        <v>21.89</v>
      </c>
      <c r="C303" s="0" t="n">
        <v>0</v>
      </c>
      <c r="D303" s="0" t="n">
        <v>1</v>
      </c>
      <c r="E303" s="0" t="n">
        <v>0</v>
      </c>
      <c r="F303" s="28" t="n">
        <v>0</v>
      </c>
      <c r="G303" s="1" t="n">
        <v>43556</v>
      </c>
      <c r="H303" s="1" t="n">
        <v>43576</v>
      </c>
      <c r="I303" s="0" t="s">
        <v>79</v>
      </c>
    </row>
    <row r="304" customFormat="false" ht="12.8" hidden="false" customHeight="false" outlineLevel="0" collapsed="false">
      <c r="A304" s="0" t="s">
        <v>79</v>
      </c>
      <c r="B304" s="26" t="n">
        <v>59.91</v>
      </c>
      <c r="C304" s="0" t="n">
        <v>0</v>
      </c>
      <c r="D304" s="0" t="n">
        <v>1</v>
      </c>
      <c r="E304" s="0" t="n">
        <v>0</v>
      </c>
      <c r="F304" s="28" t="n">
        <v>0</v>
      </c>
      <c r="G304" s="1" t="n">
        <v>43556</v>
      </c>
      <c r="H304" s="1" t="n">
        <v>43576</v>
      </c>
      <c r="I304" s="0" t="s">
        <v>79</v>
      </c>
    </row>
    <row r="305" customFormat="false" ht="12.8" hidden="false" customHeight="false" outlineLevel="0" collapsed="false">
      <c r="A305" s="0" t="s">
        <v>158</v>
      </c>
      <c r="B305" s="26" t="n">
        <v>12</v>
      </c>
      <c r="C305" s="0" t="n">
        <v>0</v>
      </c>
      <c r="D305" s="0" t="n">
        <v>1</v>
      </c>
      <c r="E305" s="0" t="n">
        <v>0</v>
      </c>
      <c r="F305" s="28" t="n">
        <v>0</v>
      </c>
      <c r="G305" s="1" t="n">
        <v>43556</v>
      </c>
      <c r="H305" s="41" t="n">
        <v>43579</v>
      </c>
      <c r="I305" s="0" t="s">
        <v>72</v>
      </c>
    </row>
    <row r="306" customFormat="false" ht="12.8" hidden="false" customHeight="false" outlineLevel="0" collapsed="false">
      <c r="A306" s="0" t="s">
        <v>82</v>
      </c>
      <c r="B306" s="26" t="n">
        <v>5</v>
      </c>
      <c r="C306" s="0" t="n">
        <v>0</v>
      </c>
      <c r="D306" s="0" t="n">
        <v>1</v>
      </c>
      <c r="E306" s="0" t="n">
        <v>0</v>
      </c>
      <c r="F306" s="28" t="n">
        <v>0</v>
      </c>
      <c r="G306" s="1" t="n">
        <v>43556</v>
      </c>
      <c r="H306" s="1" t="n">
        <v>43579</v>
      </c>
      <c r="I306" s="0" t="s">
        <v>72</v>
      </c>
    </row>
    <row r="307" customFormat="false" ht="12.8" hidden="false" customHeight="false" outlineLevel="0" collapsed="false">
      <c r="A307" s="0" t="s">
        <v>112</v>
      </c>
      <c r="B307" s="26" t="n">
        <v>5</v>
      </c>
      <c r="C307" s="0" t="n">
        <v>0</v>
      </c>
      <c r="D307" s="0" t="n">
        <v>1</v>
      </c>
      <c r="E307" s="0" t="n">
        <v>0</v>
      </c>
      <c r="F307" s="28" t="n">
        <v>0</v>
      </c>
      <c r="G307" s="1" t="n">
        <v>43556</v>
      </c>
      <c r="H307" s="1" t="n">
        <v>43579</v>
      </c>
      <c r="I307" s="0" t="s">
        <v>72</v>
      </c>
    </row>
    <row r="308" customFormat="false" ht="12.8" hidden="false" customHeight="false" outlineLevel="0" collapsed="false">
      <c r="A308" s="0" t="s">
        <v>73</v>
      </c>
      <c r="B308" s="26" t="n">
        <v>15</v>
      </c>
      <c r="C308" s="0" t="n">
        <v>0</v>
      </c>
      <c r="D308" s="0" t="n">
        <v>1</v>
      </c>
      <c r="E308" s="0" t="n">
        <v>0</v>
      </c>
      <c r="F308" s="28" t="n">
        <v>0</v>
      </c>
      <c r="G308" s="1" t="n">
        <v>43556</v>
      </c>
      <c r="H308" s="1" t="n">
        <v>43579</v>
      </c>
      <c r="I308" s="0" t="s">
        <v>73</v>
      </c>
    </row>
    <row r="309" customFormat="false" ht="12.8" hidden="false" customHeight="false" outlineLevel="0" collapsed="false">
      <c r="A309" s="0" t="s">
        <v>214</v>
      </c>
      <c r="B309" s="26" t="n">
        <v>19.99</v>
      </c>
      <c r="C309" s="0" t="n">
        <v>0</v>
      </c>
      <c r="D309" s="0" t="n">
        <v>1</v>
      </c>
      <c r="E309" s="0" t="n">
        <v>0</v>
      </c>
      <c r="F309" s="28" t="n">
        <v>0</v>
      </c>
      <c r="G309" s="1" t="n">
        <v>43556</v>
      </c>
      <c r="H309" s="1" t="n">
        <v>43581</v>
      </c>
      <c r="I309" s="0" t="s">
        <v>72</v>
      </c>
    </row>
    <row r="310" customFormat="false" ht="12.8" hidden="false" customHeight="false" outlineLevel="0" collapsed="false">
      <c r="A310" s="0" t="s">
        <v>158</v>
      </c>
      <c r="B310" s="26" t="n">
        <v>13.6</v>
      </c>
      <c r="C310" s="0" t="n">
        <v>0</v>
      </c>
      <c r="D310" s="0" t="n">
        <v>1</v>
      </c>
      <c r="E310" s="0" t="n">
        <v>0</v>
      </c>
      <c r="F310" s="28" t="n">
        <v>0</v>
      </c>
      <c r="G310" s="1" t="n">
        <v>43556</v>
      </c>
      <c r="H310" s="1" t="n">
        <v>43581</v>
      </c>
      <c r="I310" s="0" t="s">
        <v>72</v>
      </c>
    </row>
    <row r="311" customFormat="false" ht="12.8" hidden="false" customHeight="false" outlineLevel="0" collapsed="false">
      <c r="A311" s="0" t="s">
        <v>73</v>
      </c>
      <c r="B311" s="26" t="n">
        <v>18.9</v>
      </c>
      <c r="C311" s="0" t="n">
        <v>0</v>
      </c>
      <c r="D311" s="0" t="n">
        <v>1</v>
      </c>
      <c r="E311" s="0" t="n">
        <v>0</v>
      </c>
      <c r="F311" s="28" t="n">
        <v>0</v>
      </c>
      <c r="G311" s="1" t="n">
        <v>43556</v>
      </c>
      <c r="H311" s="1" t="n">
        <v>43581</v>
      </c>
      <c r="I311" s="0" t="s">
        <v>73</v>
      </c>
    </row>
    <row r="312" customFormat="false" ht="12.8" hidden="false" customHeight="false" outlineLevel="0" collapsed="false">
      <c r="A312" s="0" t="s">
        <v>79</v>
      </c>
      <c r="B312" s="26" t="n">
        <v>249.26</v>
      </c>
      <c r="C312" s="0" t="n">
        <v>0</v>
      </c>
      <c r="D312" s="0" t="n">
        <v>1</v>
      </c>
      <c r="E312" s="0" t="n">
        <v>0</v>
      </c>
      <c r="F312" s="28" t="n">
        <v>0</v>
      </c>
      <c r="G312" s="1" t="n">
        <v>43556</v>
      </c>
      <c r="H312" s="1" t="n">
        <v>43582</v>
      </c>
      <c r="I312" s="0" t="s">
        <v>79</v>
      </c>
    </row>
    <row r="313" customFormat="false" ht="12.8" hidden="false" customHeight="false" outlineLevel="0" collapsed="false">
      <c r="A313" s="0" t="s">
        <v>136</v>
      </c>
      <c r="B313" s="26" t="n">
        <v>70</v>
      </c>
      <c r="C313" s="0" t="n">
        <v>0</v>
      </c>
      <c r="D313" s="0" t="n">
        <v>1</v>
      </c>
      <c r="E313" s="0" t="n">
        <v>0</v>
      </c>
      <c r="F313" s="28" t="n">
        <v>0</v>
      </c>
      <c r="G313" s="1" t="n">
        <v>43556</v>
      </c>
      <c r="H313" s="1" t="n">
        <v>43584</v>
      </c>
      <c r="I313" s="0" t="s">
        <v>136</v>
      </c>
    </row>
    <row r="314" customFormat="false" ht="12.8" hidden="false" customHeight="false" outlineLevel="0" collapsed="false">
      <c r="A314" s="0" t="s">
        <v>215</v>
      </c>
      <c r="B314" s="26" t="n">
        <v>50</v>
      </c>
      <c r="C314" s="0" t="n">
        <v>0</v>
      </c>
      <c r="D314" s="0" t="n">
        <v>1</v>
      </c>
      <c r="E314" s="0" t="n">
        <v>0</v>
      </c>
      <c r="F314" s="28" t="n">
        <v>0</v>
      </c>
      <c r="G314" s="1" t="n">
        <v>43556</v>
      </c>
      <c r="H314" s="1" t="n">
        <v>43584</v>
      </c>
      <c r="I314" s="0" t="s">
        <v>70</v>
      </c>
    </row>
    <row r="315" customFormat="false" ht="12.8" hidden="false" customHeight="false" outlineLevel="0" collapsed="false">
      <c r="A315" s="0" t="s">
        <v>69</v>
      </c>
      <c r="B315" s="26" t="n">
        <v>20</v>
      </c>
      <c r="C315" s="0" t="n">
        <v>0</v>
      </c>
      <c r="D315" s="0" t="n">
        <v>1</v>
      </c>
      <c r="E315" s="0" t="n">
        <v>0</v>
      </c>
      <c r="F315" s="28" t="n">
        <v>0</v>
      </c>
      <c r="G315" s="1" t="n">
        <v>43556</v>
      </c>
      <c r="H315" s="1" t="n">
        <v>43584</v>
      </c>
      <c r="I315" s="0" t="s">
        <v>70</v>
      </c>
    </row>
    <row r="316" customFormat="false" ht="12.8" hidden="false" customHeight="false" outlineLevel="0" collapsed="false">
      <c r="A316" s="0" t="s">
        <v>79</v>
      </c>
      <c r="B316" s="26" t="n">
        <v>15.45</v>
      </c>
      <c r="C316" s="0" t="n">
        <v>0</v>
      </c>
      <c r="D316" s="0" t="n">
        <v>1</v>
      </c>
      <c r="E316" s="0" t="n">
        <v>0</v>
      </c>
      <c r="F316" s="28" t="n">
        <v>0</v>
      </c>
      <c r="G316" s="1" t="n">
        <v>43556</v>
      </c>
      <c r="H316" s="1" t="n">
        <v>43584</v>
      </c>
      <c r="I316" s="0" t="s">
        <v>79</v>
      </c>
    </row>
    <row r="317" customFormat="false" ht="12.8" hidden="false" customHeight="false" outlineLevel="0" collapsed="false">
      <c r="A317" s="0" t="s">
        <v>74</v>
      </c>
      <c r="B317" s="26" t="n">
        <v>2.99</v>
      </c>
      <c r="C317" s="0" t="n">
        <v>0</v>
      </c>
      <c r="D317" s="0" t="n">
        <v>1</v>
      </c>
      <c r="E317" s="0" t="n">
        <v>0</v>
      </c>
      <c r="F317" s="28" t="n">
        <v>0</v>
      </c>
      <c r="G317" s="1" t="n">
        <v>43556</v>
      </c>
      <c r="H317" s="1" t="n">
        <v>43584</v>
      </c>
      <c r="I317" s="0" t="s">
        <v>81</v>
      </c>
    </row>
    <row r="318" customFormat="false" ht="12.8" hidden="false" customHeight="false" outlineLevel="0" collapsed="false">
      <c r="A318" s="0" t="s">
        <v>216</v>
      </c>
      <c r="B318" s="26" t="n">
        <v>20</v>
      </c>
      <c r="C318" s="0" t="n">
        <v>0</v>
      </c>
      <c r="D318" s="0" t="n">
        <v>1</v>
      </c>
      <c r="E318" s="0" t="n">
        <v>0</v>
      </c>
      <c r="F318" s="28" t="n">
        <v>0</v>
      </c>
      <c r="G318" s="1" t="n">
        <v>43556</v>
      </c>
      <c r="H318" s="1" t="n">
        <v>43584</v>
      </c>
      <c r="I318" s="0" t="s">
        <v>216</v>
      </c>
    </row>
    <row r="319" customFormat="false" ht="12.8" hidden="false" customHeight="false" outlineLevel="0" collapsed="false">
      <c r="A319" s="0" t="s">
        <v>153</v>
      </c>
      <c r="B319" s="26" t="n">
        <v>42</v>
      </c>
      <c r="C319" s="0" t="n">
        <v>0</v>
      </c>
      <c r="D319" s="0" t="n">
        <v>1</v>
      </c>
      <c r="E319" s="0" t="n">
        <v>0</v>
      </c>
      <c r="F319" s="28" t="n">
        <v>0</v>
      </c>
      <c r="G319" s="1" t="n">
        <v>43556</v>
      </c>
      <c r="H319" s="1" t="n">
        <v>43584</v>
      </c>
      <c r="I319" s="0" t="s">
        <v>73</v>
      </c>
    </row>
    <row r="320" customFormat="false" ht="12.8" hidden="false" customHeight="false" outlineLevel="0" collapsed="false">
      <c r="A320" s="0" t="s">
        <v>105</v>
      </c>
      <c r="B320" s="26" t="n">
        <v>85.98</v>
      </c>
      <c r="C320" s="0" t="n">
        <v>0</v>
      </c>
      <c r="D320" s="0" t="n">
        <v>1</v>
      </c>
      <c r="E320" s="0" t="n">
        <v>0</v>
      </c>
      <c r="F320" s="28" t="n">
        <v>0</v>
      </c>
      <c r="G320" s="1" t="n">
        <v>43556</v>
      </c>
      <c r="H320" s="1" t="n">
        <v>43584</v>
      </c>
      <c r="I320" s="0" t="s">
        <v>217</v>
      </c>
    </row>
    <row r="321" customFormat="false" ht="12.8" hidden="false" customHeight="false" outlineLevel="0" collapsed="false">
      <c r="A321" s="0" t="s">
        <v>73</v>
      </c>
      <c r="B321" s="26" t="n">
        <v>20.9</v>
      </c>
      <c r="C321" s="0" t="n">
        <v>0</v>
      </c>
      <c r="D321" s="0" t="n">
        <v>1</v>
      </c>
      <c r="E321" s="0" t="n">
        <v>0</v>
      </c>
      <c r="F321" s="28" t="n">
        <v>0</v>
      </c>
      <c r="G321" s="1" t="n">
        <v>43556</v>
      </c>
      <c r="H321" s="1" t="n">
        <v>43584</v>
      </c>
      <c r="I321" s="0" t="s">
        <v>218</v>
      </c>
    </row>
    <row r="322" customFormat="false" ht="12.8" hidden="false" customHeight="false" outlineLevel="0" collapsed="false">
      <c r="A322" s="0" t="s">
        <v>73</v>
      </c>
      <c r="B322" s="26" t="n">
        <v>17.89</v>
      </c>
      <c r="C322" s="0" t="n">
        <v>0</v>
      </c>
      <c r="D322" s="0" t="n">
        <v>1</v>
      </c>
      <c r="E322" s="0" t="n">
        <v>0</v>
      </c>
      <c r="F322" s="28" t="n">
        <v>0</v>
      </c>
      <c r="G322" s="1" t="n">
        <v>43556</v>
      </c>
      <c r="H322" s="1" t="n">
        <v>43585</v>
      </c>
      <c r="I322" s="0" t="s">
        <v>73</v>
      </c>
    </row>
    <row r="323" customFormat="false" ht="12.8" hidden="false" customHeight="false" outlineLevel="0" collapsed="false">
      <c r="A323" s="0" t="s">
        <v>219</v>
      </c>
      <c r="B323" s="26" t="n">
        <v>70</v>
      </c>
      <c r="C323" s="0" t="n">
        <v>0</v>
      </c>
      <c r="D323" s="0" t="n">
        <v>1</v>
      </c>
      <c r="E323" s="0" t="n">
        <v>0</v>
      </c>
      <c r="F323" s="28" t="n">
        <v>0</v>
      </c>
      <c r="G323" s="1" t="n">
        <v>43556</v>
      </c>
      <c r="H323" s="1" t="n">
        <v>43585</v>
      </c>
      <c r="I323" s="0" t="s">
        <v>81</v>
      </c>
    </row>
    <row r="324" customFormat="false" ht="12.8" hidden="false" customHeight="false" outlineLevel="0" collapsed="false">
      <c r="A324" s="6" t="s">
        <v>67</v>
      </c>
      <c r="B324" s="35" t="n">
        <v>0</v>
      </c>
      <c r="C324" s="6" t="n">
        <v>1</v>
      </c>
      <c r="D324" s="6" t="n">
        <v>0</v>
      </c>
      <c r="E324" s="6" t="n">
        <v>1</v>
      </c>
      <c r="F324" s="28" t="n">
        <v>0</v>
      </c>
      <c r="G324" s="24" t="n">
        <v>43556</v>
      </c>
      <c r="H324" s="24" t="n">
        <v>43570</v>
      </c>
      <c r="I324" s="6" t="s">
        <v>68</v>
      </c>
    </row>
    <row r="325" customFormat="false" ht="12.8" hidden="false" customHeight="false" outlineLevel="0" collapsed="false">
      <c r="A325" s="6" t="s">
        <v>183</v>
      </c>
      <c r="B325" s="35" t="n">
        <v>383.22</v>
      </c>
      <c r="C325" s="6" t="n">
        <v>0</v>
      </c>
      <c r="D325" s="6" t="n">
        <v>1</v>
      </c>
      <c r="E325" s="6" t="n">
        <v>0</v>
      </c>
      <c r="F325" s="28" t="n">
        <v>0</v>
      </c>
      <c r="G325" s="24" t="n">
        <v>43556</v>
      </c>
      <c r="H325" s="24" t="n">
        <v>43570</v>
      </c>
      <c r="I325" s="6" t="s">
        <v>184</v>
      </c>
    </row>
    <row r="326" customFormat="false" ht="12.8" hidden="false" customHeight="false" outlineLevel="0" collapsed="false">
      <c r="A326" s="38" t="s">
        <v>166</v>
      </c>
      <c r="B326" s="39" t="n">
        <v>0</v>
      </c>
      <c r="C326" s="8" t="n">
        <v>1</v>
      </c>
      <c r="D326" s="8" t="n">
        <v>0</v>
      </c>
      <c r="E326" s="8" t="n">
        <v>1</v>
      </c>
      <c r="F326" s="28" t="n">
        <v>0</v>
      </c>
      <c r="G326" s="9" t="n">
        <v>43586</v>
      </c>
      <c r="H326" s="40"/>
      <c r="I326" s="38" t="s">
        <v>166</v>
      </c>
    </row>
    <row r="327" customFormat="false" ht="12.8" hidden="false" customHeight="false" outlineLevel="0" collapsed="false">
      <c r="A327" s="8" t="s">
        <v>57</v>
      </c>
      <c r="B327" s="37" t="n">
        <v>76.9</v>
      </c>
      <c r="C327" s="8" t="n">
        <v>1</v>
      </c>
      <c r="D327" s="8" t="n">
        <v>0</v>
      </c>
      <c r="E327" s="8" t="n">
        <v>0</v>
      </c>
      <c r="F327" s="28" t="n">
        <v>0</v>
      </c>
      <c r="G327" s="9" t="n">
        <v>43586</v>
      </c>
      <c r="H327" s="9" t="n">
        <v>43588</v>
      </c>
      <c r="I327" s="8" t="s">
        <v>58</v>
      </c>
    </row>
    <row r="328" customFormat="false" ht="12.8" hidden="false" customHeight="false" outlineLevel="0" collapsed="false">
      <c r="A328" s="8" t="s">
        <v>59</v>
      </c>
      <c r="B328" s="37" t="n">
        <v>0</v>
      </c>
      <c r="C328" s="8" t="n">
        <v>1</v>
      </c>
      <c r="D328" s="8" t="n">
        <v>0</v>
      </c>
      <c r="E328" s="8" t="n">
        <v>1</v>
      </c>
      <c r="F328" s="28" t="n">
        <v>0</v>
      </c>
      <c r="G328" s="9" t="n">
        <v>43586</v>
      </c>
      <c r="H328" s="9"/>
      <c r="I328" s="8" t="s">
        <v>60</v>
      </c>
    </row>
    <row r="329" customFormat="false" ht="12.8" hidden="false" customHeight="false" outlineLevel="0" collapsed="false">
      <c r="A329" s="8" t="s">
        <v>61</v>
      </c>
      <c r="B329" s="37" t="n">
        <v>1530.48</v>
      </c>
      <c r="C329" s="8" t="n">
        <v>1</v>
      </c>
      <c r="D329" s="8" t="n">
        <v>0</v>
      </c>
      <c r="E329" s="8" t="n">
        <v>0</v>
      </c>
      <c r="F329" s="28" t="n">
        <v>0</v>
      </c>
      <c r="G329" s="9" t="n">
        <v>43586</v>
      </c>
      <c r="H329" s="9" t="n">
        <v>43616</v>
      </c>
      <c r="I329" s="8" t="s">
        <v>60</v>
      </c>
    </row>
    <row r="330" customFormat="false" ht="12.8" hidden="false" customHeight="false" outlineLevel="0" collapsed="false">
      <c r="A330" s="8" t="s">
        <v>129</v>
      </c>
      <c r="B330" s="37" t="n">
        <v>123.59</v>
      </c>
      <c r="C330" s="8" t="n">
        <v>1</v>
      </c>
      <c r="D330" s="8" t="n">
        <v>0</v>
      </c>
      <c r="E330" s="8" t="n">
        <v>0</v>
      </c>
      <c r="F330" s="28" t="n">
        <v>0</v>
      </c>
      <c r="G330" s="9" t="n">
        <v>43586</v>
      </c>
      <c r="H330" s="9" t="n">
        <v>43595</v>
      </c>
      <c r="I330" s="8" t="s">
        <v>60</v>
      </c>
    </row>
    <row r="331" customFormat="false" ht="12.8" hidden="false" customHeight="false" outlineLevel="0" collapsed="false">
      <c r="A331" s="8" t="s">
        <v>129</v>
      </c>
      <c r="B331" s="37" t="n">
        <v>106.23</v>
      </c>
      <c r="C331" s="8" t="n">
        <v>1</v>
      </c>
      <c r="D331" s="8" t="n">
        <v>0</v>
      </c>
      <c r="E331" s="8" t="n">
        <v>0</v>
      </c>
      <c r="F331" s="28" t="n">
        <v>0</v>
      </c>
      <c r="G331" s="9" t="n">
        <v>43586</v>
      </c>
      <c r="H331" s="9" t="n">
        <v>43595</v>
      </c>
      <c r="I331" s="8" t="s">
        <v>60</v>
      </c>
    </row>
    <row r="332" customFormat="false" ht="12.8" hidden="false" customHeight="false" outlineLevel="0" collapsed="false">
      <c r="A332" s="8" t="s">
        <v>135</v>
      </c>
      <c r="B332" s="37" t="n">
        <f aca="false">SUMIFS(credito!$B$1:$B$87,credito!$F$1:$F$87,debito!G329,credito!$G$1:$G$87,0)</f>
        <v>2945.86</v>
      </c>
      <c r="C332" s="8" t="n">
        <v>0</v>
      </c>
      <c r="D332" s="8" t="n">
        <v>1</v>
      </c>
      <c r="E332" s="8" t="n">
        <v>0</v>
      </c>
      <c r="F332" s="28" t="n">
        <v>0</v>
      </c>
      <c r="G332" s="9" t="n">
        <v>43586</v>
      </c>
      <c r="H332" s="9" t="n">
        <v>43600</v>
      </c>
      <c r="I332" s="8" t="s">
        <v>131</v>
      </c>
    </row>
    <row r="333" customFormat="false" ht="12.8" hidden="false" customHeight="false" outlineLevel="0" collapsed="false">
      <c r="A333" s="8" t="s">
        <v>132</v>
      </c>
      <c r="B333" s="37" t="n">
        <v>234.9</v>
      </c>
      <c r="C333" s="8" t="n">
        <v>1</v>
      </c>
      <c r="D333" s="8" t="n">
        <v>0</v>
      </c>
      <c r="E333" s="8" t="n">
        <v>0</v>
      </c>
      <c r="F333" s="28" t="n">
        <v>0</v>
      </c>
      <c r="G333" s="9" t="n">
        <v>43586</v>
      </c>
      <c r="H333" s="9" t="n">
        <v>43616</v>
      </c>
      <c r="I333" s="8" t="s">
        <v>131</v>
      </c>
    </row>
    <row r="334" customFormat="false" ht="12.8" hidden="false" customHeight="false" outlineLevel="0" collapsed="false">
      <c r="A334" s="8" t="s">
        <v>69</v>
      </c>
      <c r="B334" s="37" t="n">
        <v>330</v>
      </c>
      <c r="C334" s="8" t="n">
        <v>1</v>
      </c>
      <c r="D334" s="8" t="n">
        <v>0</v>
      </c>
      <c r="E334" s="8" t="n">
        <v>0</v>
      </c>
      <c r="F334" s="28" t="n">
        <v>0</v>
      </c>
      <c r="G334" s="9" t="n">
        <v>43586</v>
      </c>
      <c r="H334" s="9" t="n">
        <v>43587</v>
      </c>
      <c r="I334" s="8" t="s">
        <v>70</v>
      </c>
    </row>
    <row r="335" customFormat="false" ht="12.8" hidden="false" customHeight="false" outlineLevel="0" collapsed="false">
      <c r="A335" s="8" t="s">
        <v>62</v>
      </c>
      <c r="B335" s="37" t="n">
        <v>6.41</v>
      </c>
      <c r="C335" s="8" t="n">
        <v>1</v>
      </c>
      <c r="D335" s="8" t="n">
        <v>0</v>
      </c>
      <c r="E335" s="8" t="n">
        <v>0</v>
      </c>
      <c r="F335" s="28" t="n">
        <v>0</v>
      </c>
      <c r="G335" s="9" t="n">
        <v>43586</v>
      </c>
      <c r="H335" s="9" t="n">
        <v>43595</v>
      </c>
      <c r="I335" s="8" t="s">
        <v>58</v>
      </c>
    </row>
    <row r="336" customFormat="false" ht="12.8" hidden="false" customHeight="false" outlineLevel="0" collapsed="false">
      <c r="A336" s="8" t="s">
        <v>63</v>
      </c>
      <c r="B336" s="37" t="n">
        <v>75</v>
      </c>
      <c r="C336" s="8" t="n">
        <v>1</v>
      </c>
      <c r="D336" s="8" t="n">
        <v>0</v>
      </c>
      <c r="E336" s="8" t="n">
        <v>0</v>
      </c>
      <c r="F336" s="28" t="n">
        <v>0</v>
      </c>
      <c r="G336" s="9" t="n">
        <v>43586</v>
      </c>
      <c r="H336" s="9" t="n">
        <v>43600</v>
      </c>
      <c r="I336" s="8" t="s">
        <v>64</v>
      </c>
    </row>
    <row r="337" customFormat="false" ht="12.8" hidden="false" customHeight="false" outlineLevel="0" collapsed="false">
      <c r="A337" s="8" t="s">
        <v>75</v>
      </c>
      <c r="B337" s="37" t="n">
        <v>0</v>
      </c>
      <c r="C337" s="8" t="n">
        <v>1</v>
      </c>
      <c r="D337" s="8" t="n">
        <v>0</v>
      </c>
      <c r="E337" s="8" t="n">
        <v>1</v>
      </c>
      <c r="F337" s="28" t="n">
        <v>0</v>
      </c>
      <c r="G337" s="9" t="n">
        <v>43586</v>
      </c>
      <c r="H337" s="9"/>
      <c r="I337" s="8" t="s">
        <v>76</v>
      </c>
    </row>
    <row r="338" customFormat="false" ht="12.8" hidden="false" customHeight="false" outlineLevel="0" collapsed="false">
      <c r="A338" s="18" t="s">
        <v>65</v>
      </c>
      <c r="B338" s="42" t="n">
        <v>2700</v>
      </c>
      <c r="C338" s="18" t="n">
        <v>1</v>
      </c>
      <c r="D338" s="18" t="n">
        <v>0</v>
      </c>
      <c r="E338" s="18" t="n">
        <v>1</v>
      </c>
      <c r="F338" s="28" t="n">
        <v>0</v>
      </c>
      <c r="G338" s="16" t="n">
        <v>43586</v>
      </c>
      <c r="H338" s="16" t="n">
        <v>43616</v>
      </c>
      <c r="I338" s="18" t="s">
        <v>66</v>
      </c>
    </row>
    <row r="339" customFormat="false" ht="12.8" hidden="false" customHeight="false" outlineLevel="0" collapsed="false">
      <c r="A339" s="8" t="s">
        <v>136</v>
      </c>
      <c r="B339" s="43" t="n">
        <v>50</v>
      </c>
      <c r="C339" s="8" t="n">
        <v>0</v>
      </c>
      <c r="D339" s="8" t="n">
        <v>1</v>
      </c>
      <c r="E339" s="8" t="n">
        <v>0</v>
      </c>
      <c r="F339" s="28" t="n">
        <v>0</v>
      </c>
      <c r="G339" s="9" t="n">
        <v>43586</v>
      </c>
      <c r="H339" s="9" t="n">
        <v>43587</v>
      </c>
      <c r="I339" s="8" t="s">
        <v>136</v>
      </c>
    </row>
    <row r="340" customFormat="false" ht="12.8" hidden="false" customHeight="false" outlineLevel="0" collapsed="false">
      <c r="A340" s="8" t="s">
        <v>68</v>
      </c>
      <c r="B340" s="43" t="n">
        <v>50</v>
      </c>
      <c r="C340" s="8" t="n">
        <v>0</v>
      </c>
      <c r="D340" s="8" t="n">
        <v>1</v>
      </c>
      <c r="E340" s="8" t="n">
        <v>0</v>
      </c>
      <c r="F340" s="28" t="n">
        <v>0</v>
      </c>
      <c r="G340" s="9" t="n">
        <v>43586</v>
      </c>
      <c r="H340" s="9" t="n">
        <v>43587</v>
      </c>
      <c r="I340" s="8" t="s">
        <v>68</v>
      </c>
    </row>
    <row r="341" customFormat="false" ht="12.8" hidden="false" customHeight="false" outlineLevel="0" collapsed="false">
      <c r="A341" s="8" t="s">
        <v>136</v>
      </c>
      <c r="B341" s="37" t="n">
        <v>40</v>
      </c>
      <c r="C341" s="8" t="n">
        <v>0</v>
      </c>
      <c r="D341" s="8" t="n">
        <v>1</v>
      </c>
      <c r="E341" s="8" t="n">
        <v>0</v>
      </c>
      <c r="F341" s="28" t="n">
        <v>0</v>
      </c>
      <c r="G341" s="9" t="n">
        <v>43586</v>
      </c>
      <c r="H341" s="9" t="n">
        <v>43587</v>
      </c>
      <c r="I341" s="8" t="s">
        <v>81</v>
      </c>
    </row>
    <row r="342" customFormat="false" ht="12.8" hidden="false" customHeight="false" outlineLevel="0" collapsed="false">
      <c r="A342" s="8" t="s">
        <v>73</v>
      </c>
      <c r="B342" s="37" t="n">
        <v>19.9</v>
      </c>
      <c r="C342" s="8" t="n">
        <v>0</v>
      </c>
      <c r="D342" s="8" t="n">
        <v>1</v>
      </c>
      <c r="E342" s="8" t="n">
        <v>0</v>
      </c>
      <c r="F342" s="28" t="n">
        <v>0</v>
      </c>
      <c r="G342" s="9" t="n">
        <v>43586</v>
      </c>
      <c r="H342" s="9" t="n">
        <v>43587</v>
      </c>
      <c r="I342" s="8" t="s">
        <v>81</v>
      </c>
    </row>
    <row r="343" customFormat="false" ht="12.8" hidden="false" customHeight="false" outlineLevel="0" collapsed="false">
      <c r="A343" s="8" t="s">
        <v>90</v>
      </c>
      <c r="B343" s="37" t="n">
        <v>11.31</v>
      </c>
      <c r="C343" s="8" t="n">
        <v>0</v>
      </c>
      <c r="D343" s="8" t="n">
        <v>1</v>
      </c>
      <c r="E343" s="8" t="n">
        <v>0</v>
      </c>
      <c r="F343" s="28" t="n">
        <v>0</v>
      </c>
      <c r="G343" s="9" t="n">
        <v>43586</v>
      </c>
      <c r="H343" s="9" t="n">
        <v>43586</v>
      </c>
      <c r="I343" s="8" t="s">
        <v>79</v>
      </c>
    </row>
    <row r="344" customFormat="false" ht="12.8" hidden="false" customHeight="false" outlineLevel="0" collapsed="false">
      <c r="A344" s="8" t="s">
        <v>108</v>
      </c>
      <c r="B344" s="37" t="n">
        <v>52.85</v>
      </c>
      <c r="C344" s="8" t="n">
        <v>0</v>
      </c>
      <c r="D344" s="8" t="n">
        <v>1</v>
      </c>
      <c r="E344" s="8" t="n">
        <v>0</v>
      </c>
      <c r="F344" s="28" t="n">
        <v>0</v>
      </c>
      <c r="G344" s="9" t="n">
        <v>43586</v>
      </c>
      <c r="H344" s="9" t="n">
        <v>43587</v>
      </c>
      <c r="I344" s="8" t="s">
        <v>81</v>
      </c>
    </row>
    <row r="345" customFormat="false" ht="12.8" hidden="false" customHeight="false" outlineLevel="0" collapsed="false">
      <c r="A345" s="8" t="s">
        <v>220</v>
      </c>
      <c r="B345" s="37" t="n">
        <v>66.93</v>
      </c>
      <c r="C345" s="8" t="n">
        <v>0</v>
      </c>
      <c r="D345" s="8" t="n">
        <v>1</v>
      </c>
      <c r="E345" s="8" t="n">
        <v>0</v>
      </c>
      <c r="F345" s="28" t="n">
        <v>0</v>
      </c>
      <c r="G345" s="9" t="n">
        <v>43586</v>
      </c>
      <c r="H345" s="9" t="n">
        <v>43587</v>
      </c>
      <c r="I345" s="8" t="s">
        <v>81</v>
      </c>
    </row>
    <row r="346" customFormat="false" ht="12.8" hidden="false" customHeight="false" outlineLevel="0" collapsed="false">
      <c r="A346" s="8" t="s">
        <v>220</v>
      </c>
      <c r="B346" s="37" t="n">
        <v>66.93</v>
      </c>
      <c r="C346" s="8" t="n">
        <v>0</v>
      </c>
      <c r="D346" s="8" t="n">
        <v>1</v>
      </c>
      <c r="E346" s="8" t="n">
        <v>0</v>
      </c>
      <c r="F346" s="28" t="n">
        <v>0</v>
      </c>
      <c r="G346" s="9" t="n">
        <v>43586</v>
      </c>
      <c r="H346" s="9" t="n">
        <v>43587</v>
      </c>
      <c r="I346" s="8" t="s">
        <v>81</v>
      </c>
    </row>
    <row r="347" customFormat="false" ht="12.8" hidden="false" customHeight="false" outlineLevel="0" collapsed="false">
      <c r="A347" s="8" t="s">
        <v>221</v>
      </c>
      <c r="B347" s="37" t="n">
        <v>32.27</v>
      </c>
      <c r="C347" s="8" t="n">
        <v>0</v>
      </c>
      <c r="D347" s="8" t="n">
        <v>1</v>
      </c>
      <c r="E347" s="8" t="n">
        <v>0</v>
      </c>
      <c r="F347" s="28" t="n">
        <v>0</v>
      </c>
      <c r="G347" s="9" t="n">
        <v>43586</v>
      </c>
      <c r="H347" s="9" t="n">
        <v>43587</v>
      </c>
      <c r="I347" s="8" t="s">
        <v>81</v>
      </c>
    </row>
    <row r="348" customFormat="false" ht="12.8" hidden="false" customHeight="false" outlineLevel="0" collapsed="false">
      <c r="A348" s="8" t="s">
        <v>222</v>
      </c>
      <c r="B348" s="37" t="n">
        <v>71.5</v>
      </c>
      <c r="C348" s="8" t="n">
        <v>0</v>
      </c>
      <c r="D348" s="8" t="n">
        <v>1</v>
      </c>
      <c r="E348" s="8" t="n">
        <v>0</v>
      </c>
      <c r="F348" s="28" t="n">
        <v>0</v>
      </c>
      <c r="G348" s="9" t="n">
        <v>43586</v>
      </c>
      <c r="H348" s="9" t="n">
        <v>43587</v>
      </c>
      <c r="I348" s="8" t="s">
        <v>72</v>
      </c>
    </row>
    <row r="349" customFormat="false" ht="12.8" hidden="false" customHeight="false" outlineLevel="0" collapsed="false">
      <c r="A349" s="8" t="s">
        <v>223</v>
      </c>
      <c r="B349" s="37" t="n">
        <v>111.45</v>
      </c>
      <c r="C349" s="8" t="n">
        <v>0</v>
      </c>
      <c r="D349" s="8" t="n">
        <v>1</v>
      </c>
      <c r="E349" s="8" t="n">
        <v>0</v>
      </c>
      <c r="F349" s="28" t="n">
        <v>0</v>
      </c>
      <c r="G349" s="9" t="n">
        <v>43586</v>
      </c>
      <c r="H349" s="9" t="n">
        <v>43589</v>
      </c>
      <c r="I349" s="8" t="s">
        <v>81</v>
      </c>
    </row>
    <row r="350" customFormat="false" ht="12.8" hidden="false" customHeight="false" outlineLevel="0" collapsed="false">
      <c r="A350" s="8" t="s">
        <v>223</v>
      </c>
      <c r="B350" s="37" t="n">
        <v>18.95</v>
      </c>
      <c r="C350" s="8" t="n">
        <v>0</v>
      </c>
      <c r="D350" s="8" t="n">
        <v>1</v>
      </c>
      <c r="E350" s="8" t="n">
        <v>0</v>
      </c>
      <c r="F350" s="28" t="n">
        <v>0</v>
      </c>
      <c r="G350" s="9" t="n">
        <v>43586</v>
      </c>
      <c r="H350" s="9" t="n">
        <v>43589</v>
      </c>
      <c r="I350" s="8" t="s">
        <v>81</v>
      </c>
    </row>
    <row r="351" customFormat="false" ht="12.8" hidden="false" customHeight="false" outlineLevel="0" collapsed="false">
      <c r="A351" s="8" t="s">
        <v>223</v>
      </c>
      <c r="B351" s="37" t="n">
        <v>12.8</v>
      </c>
      <c r="C351" s="8" t="n">
        <v>0</v>
      </c>
      <c r="D351" s="8" t="n">
        <v>1</v>
      </c>
      <c r="E351" s="8" t="n">
        <v>0</v>
      </c>
      <c r="F351" s="28" t="n">
        <v>0</v>
      </c>
      <c r="G351" s="9" t="n">
        <v>43586</v>
      </c>
      <c r="H351" s="9" t="n">
        <v>43589</v>
      </c>
      <c r="I351" s="8" t="s">
        <v>81</v>
      </c>
    </row>
    <row r="352" customFormat="false" ht="12.8" hidden="false" customHeight="false" outlineLevel="0" collapsed="false">
      <c r="A352" s="8" t="s">
        <v>223</v>
      </c>
      <c r="B352" s="37" t="n">
        <v>12.8</v>
      </c>
      <c r="C352" s="8" t="n">
        <v>0</v>
      </c>
      <c r="D352" s="8" t="n">
        <v>1</v>
      </c>
      <c r="E352" s="8" t="n">
        <v>0</v>
      </c>
      <c r="F352" s="28" t="n">
        <v>0</v>
      </c>
      <c r="G352" s="9" t="n">
        <v>43586</v>
      </c>
      <c r="H352" s="9" t="n">
        <v>43589</v>
      </c>
      <c r="I352" s="8" t="s">
        <v>81</v>
      </c>
    </row>
    <row r="353" customFormat="false" ht="12.8" hidden="false" customHeight="false" outlineLevel="0" collapsed="false">
      <c r="A353" s="8" t="s">
        <v>105</v>
      </c>
      <c r="B353" s="37" t="n">
        <v>107.9</v>
      </c>
      <c r="C353" s="8" t="n">
        <v>0</v>
      </c>
      <c r="D353" s="8" t="n">
        <v>1</v>
      </c>
      <c r="E353" s="8" t="n">
        <v>0</v>
      </c>
      <c r="F353" s="28" t="n">
        <v>0</v>
      </c>
      <c r="G353" s="9" t="n">
        <v>43586</v>
      </c>
      <c r="H353" s="9" t="n">
        <v>43589</v>
      </c>
      <c r="I353" s="8" t="s">
        <v>106</v>
      </c>
    </row>
    <row r="354" customFormat="false" ht="12.8" hidden="false" customHeight="false" outlineLevel="0" collapsed="false">
      <c r="A354" s="8" t="s">
        <v>79</v>
      </c>
      <c r="B354" s="37" t="n">
        <v>235.88</v>
      </c>
      <c r="C354" s="8" t="n">
        <v>0</v>
      </c>
      <c r="D354" s="8" t="n">
        <v>1</v>
      </c>
      <c r="E354" s="8" t="n">
        <v>0</v>
      </c>
      <c r="F354" s="28" t="n">
        <v>0</v>
      </c>
      <c r="G354" s="9" t="n">
        <v>43586</v>
      </c>
      <c r="H354" s="9" t="n">
        <v>43589</v>
      </c>
      <c r="I354" s="8" t="s">
        <v>79</v>
      </c>
    </row>
    <row r="355" customFormat="false" ht="12.8" hidden="false" customHeight="false" outlineLevel="0" collapsed="false">
      <c r="A355" s="8" t="s">
        <v>223</v>
      </c>
      <c r="B355" s="37" t="n">
        <v>33.8</v>
      </c>
      <c r="C355" s="8" t="n">
        <v>0</v>
      </c>
      <c r="D355" s="8" t="n">
        <v>1</v>
      </c>
      <c r="E355" s="8" t="n">
        <v>0</v>
      </c>
      <c r="F355" s="28" t="n">
        <v>0</v>
      </c>
      <c r="G355" s="9" t="n">
        <v>43586</v>
      </c>
      <c r="H355" s="9" t="n">
        <v>43590</v>
      </c>
      <c r="I355" s="8" t="s">
        <v>81</v>
      </c>
    </row>
    <row r="356" customFormat="false" ht="12.8" hidden="false" customHeight="false" outlineLevel="0" collapsed="false">
      <c r="A356" s="8" t="s">
        <v>79</v>
      </c>
      <c r="B356" s="37" t="n">
        <v>30.39</v>
      </c>
      <c r="C356" s="8" t="n">
        <v>0</v>
      </c>
      <c r="D356" s="8" t="n">
        <v>1</v>
      </c>
      <c r="E356" s="8" t="n">
        <v>0</v>
      </c>
      <c r="F356" s="28" t="n">
        <v>0</v>
      </c>
      <c r="G356" s="9" t="n">
        <v>43586</v>
      </c>
      <c r="H356" s="9" t="n">
        <v>43591</v>
      </c>
      <c r="I356" s="8" t="s">
        <v>79</v>
      </c>
    </row>
    <row r="357" customFormat="false" ht="12.8" hidden="false" customHeight="false" outlineLevel="0" collapsed="false">
      <c r="A357" s="8" t="s">
        <v>210</v>
      </c>
      <c r="B357" s="37" t="n">
        <v>300</v>
      </c>
      <c r="C357" s="8" t="n">
        <v>0</v>
      </c>
      <c r="D357" s="8" t="n">
        <v>1</v>
      </c>
      <c r="E357" s="8" t="n">
        <v>0</v>
      </c>
      <c r="F357" s="28" t="n">
        <v>0</v>
      </c>
      <c r="G357" s="9" t="n">
        <v>43586</v>
      </c>
      <c r="H357" s="9" t="n">
        <v>43592</v>
      </c>
      <c r="I357" s="8" t="s">
        <v>81</v>
      </c>
    </row>
    <row r="358" customFormat="false" ht="12.8" hidden="false" customHeight="false" outlineLevel="0" collapsed="false">
      <c r="A358" s="8" t="s">
        <v>116</v>
      </c>
      <c r="B358" s="37" t="n">
        <v>26.9</v>
      </c>
      <c r="C358" s="8" t="n">
        <v>0</v>
      </c>
      <c r="D358" s="8" t="n">
        <v>1</v>
      </c>
      <c r="E358" s="8" t="n">
        <v>0</v>
      </c>
      <c r="F358" s="28" t="n">
        <v>0</v>
      </c>
      <c r="G358" s="9" t="n">
        <v>43586</v>
      </c>
      <c r="H358" s="9" t="n">
        <v>43592</v>
      </c>
      <c r="I358" s="8" t="s">
        <v>116</v>
      </c>
    </row>
    <row r="359" customFormat="false" ht="12.8" hidden="false" customHeight="false" outlineLevel="0" collapsed="false">
      <c r="A359" s="8" t="s">
        <v>73</v>
      </c>
      <c r="B359" s="37" t="n">
        <v>38</v>
      </c>
      <c r="C359" s="8" t="n">
        <v>0</v>
      </c>
      <c r="D359" s="8" t="n">
        <v>1</v>
      </c>
      <c r="E359" s="8" t="n">
        <v>0</v>
      </c>
      <c r="F359" s="28" t="n">
        <v>0</v>
      </c>
      <c r="G359" s="9" t="n">
        <v>43586</v>
      </c>
      <c r="H359" s="9" t="n">
        <v>43593</v>
      </c>
      <c r="I359" s="8" t="s">
        <v>73</v>
      </c>
    </row>
    <row r="360" customFormat="false" ht="12.8" hidden="false" customHeight="false" outlineLevel="0" collapsed="false">
      <c r="A360" s="8" t="s">
        <v>224</v>
      </c>
      <c r="B360" s="37" t="n">
        <v>3</v>
      </c>
      <c r="C360" s="8" t="n">
        <v>0</v>
      </c>
      <c r="D360" s="8" t="n">
        <v>1</v>
      </c>
      <c r="E360" s="8" t="n">
        <v>0</v>
      </c>
      <c r="F360" s="28" t="n">
        <v>0</v>
      </c>
      <c r="G360" s="9" t="n">
        <v>43586</v>
      </c>
      <c r="H360" s="9" t="n">
        <v>43594</v>
      </c>
      <c r="I360" s="8" t="s">
        <v>72</v>
      </c>
    </row>
    <row r="361" customFormat="false" ht="12.8" hidden="false" customHeight="false" outlineLevel="0" collapsed="false">
      <c r="A361" s="8" t="s">
        <v>225</v>
      </c>
      <c r="B361" s="37" t="n">
        <v>7.5</v>
      </c>
      <c r="C361" s="8" t="n">
        <v>0</v>
      </c>
      <c r="D361" s="8" t="n">
        <v>1</v>
      </c>
      <c r="E361" s="8" t="n">
        <v>0</v>
      </c>
      <c r="F361" s="28" t="n">
        <v>0</v>
      </c>
      <c r="G361" s="9" t="n">
        <v>43586</v>
      </c>
      <c r="H361" s="9" t="n">
        <v>43594</v>
      </c>
      <c r="I361" s="8" t="s">
        <v>81</v>
      </c>
    </row>
    <row r="362" customFormat="false" ht="12.8" hidden="false" customHeight="false" outlineLevel="0" collapsed="false">
      <c r="A362" s="8" t="s">
        <v>226</v>
      </c>
      <c r="B362" s="37" t="n">
        <v>30</v>
      </c>
      <c r="C362" s="8" t="n">
        <v>0</v>
      </c>
      <c r="D362" s="8" t="n">
        <v>1</v>
      </c>
      <c r="E362" s="8" t="n">
        <v>0</v>
      </c>
      <c r="F362" s="28" t="n">
        <v>0</v>
      </c>
      <c r="G362" s="9" t="n">
        <v>43586</v>
      </c>
      <c r="H362" s="9" t="n">
        <v>43594</v>
      </c>
      <c r="I362" s="8" t="s">
        <v>81</v>
      </c>
    </row>
    <row r="363" customFormat="false" ht="12.8" hidden="false" customHeight="false" outlineLevel="0" collapsed="false">
      <c r="A363" s="8" t="s">
        <v>226</v>
      </c>
      <c r="B363" s="37" t="n">
        <v>35</v>
      </c>
      <c r="C363" s="8" t="n">
        <v>0</v>
      </c>
      <c r="D363" s="8" t="n">
        <v>1</v>
      </c>
      <c r="E363" s="8" t="n">
        <v>0</v>
      </c>
      <c r="F363" s="28" t="n">
        <v>0</v>
      </c>
      <c r="G363" s="9" t="n">
        <v>43586</v>
      </c>
      <c r="H363" s="9" t="n">
        <v>43594</v>
      </c>
      <c r="I363" s="8" t="s">
        <v>81</v>
      </c>
    </row>
    <row r="364" customFormat="false" ht="12.8" hidden="false" customHeight="false" outlineLevel="0" collapsed="false">
      <c r="A364" s="8" t="s">
        <v>105</v>
      </c>
      <c r="B364" s="37" t="n">
        <v>50</v>
      </c>
      <c r="C364" s="8" t="n">
        <v>0</v>
      </c>
      <c r="D364" s="8" t="n">
        <v>1</v>
      </c>
      <c r="E364" s="8" t="n">
        <v>0</v>
      </c>
      <c r="F364" s="28" t="n">
        <v>0</v>
      </c>
      <c r="G364" s="9" t="n">
        <v>43586</v>
      </c>
      <c r="H364" s="9" t="n">
        <v>43595</v>
      </c>
      <c r="I364" s="8" t="s">
        <v>106</v>
      </c>
    </row>
    <row r="365" customFormat="false" ht="12.8" hidden="false" customHeight="false" outlineLevel="0" collapsed="false">
      <c r="A365" s="8" t="s">
        <v>227</v>
      </c>
      <c r="B365" s="37" t="n">
        <v>228</v>
      </c>
      <c r="C365" s="8" t="n">
        <v>0</v>
      </c>
      <c r="D365" s="8" t="n">
        <v>1</v>
      </c>
      <c r="E365" s="8" t="n">
        <v>0</v>
      </c>
      <c r="F365" s="28" t="n">
        <v>0</v>
      </c>
      <c r="G365" s="9" t="n">
        <v>43586</v>
      </c>
      <c r="H365" s="9" t="n">
        <v>43595</v>
      </c>
      <c r="I365" s="8" t="s">
        <v>81</v>
      </c>
    </row>
    <row r="366" customFormat="false" ht="12.8" hidden="false" customHeight="false" outlineLevel="0" collapsed="false">
      <c r="A366" s="8" t="s">
        <v>85</v>
      </c>
      <c r="B366" s="37" t="n">
        <v>100</v>
      </c>
      <c r="C366" s="8" t="n">
        <v>0</v>
      </c>
      <c r="D366" s="8" t="n">
        <v>1</v>
      </c>
      <c r="E366" s="8" t="n">
        <v>0</v>
      </c>
      <c r="F366" s="28" t="n">
        <v>0</v>
      </c>
      <c r="G366" s="9" t="n">
        <v>43586</v>
      </c>
      <c r="H366" s="9" t="n">
        <v>43596</v>
      </c>
      <c r="I366" s="8" t="s">
        <v>85</v>
      </c>
    </row>
    <row r="367" customFormat="false" ht="12.8" hidden="false" customHeight="false" outlineLevel="0" collapsed="false">
      <c r="A367" s="8" t="s">
        <v>136</v>
      </c>
      <c r="B367" s="37" t="n">
        <v>40</v>
      </c>
      <c r="C367" s="8" t="n">
        <v>0</v>
      </c>
      <c r="D367" s="8" t="n">
        <v>1</v>
      </c>
      <c r="E367" s="8" t="n">
        <v>0</v>
      </c>
      <c r="F367" s="28" t="n">
        <v>0</v>
      </c>
      <c r="G367" s="9" t="n">
        <v>43586</v>
      </c>
      <c r="H367" s="9" t="n">
        <v>43595</v>
      </c>
      <c r="I367" s="8" t="s">
        <v>136</v>
      </c>
    </row>
    <row r="368" customFormat="false" ht="12.8" hidden="false" customHeight="false" outlineLevel="0" collapsed="false">
      <c r="A368" s="8" t="s">
        <v>223</v>
      </c>
      <c r="B368" s="37" t="n">
        <v>19.99</v>
      </c>
      <c r="C368" s="8" t="n">
        <v>0</v>
      </c>
      <c r="D368" s="8" t="n">
        <v>1</v>
      </c>
      <c r="E368" s="8" t="n">
        <v>0</v>
      </c>
      <c r="F368" s="28" t="n">
        <v>0</v>
      </c>
      <c r="G368" s="9" t="n">
        <v>43586</v>
      </c>
      <c r="H368" s="9" t="n">
        <v>43595</v>
      </c>
      <c r="I368" s="8" t="s">
        <v>81</v>
      </c>
    </row>
    <row r="369" customFormat="false" ht="12.8" hidden="false" customHeight="false" outlineLevel="0" collapsed="false">
      <c r="A369" s="8" t="s">
        <v>79</v>
      </c>
      <c r="B369" s="37" t="n">
        <v>26.45</v>
      </c>
      <c r="C369" s="8" t="n">
        <v>0</v>
      </c>
      <c r="D369" s="8" t="n">
        <v>1</v>
      </c>
      <c r="E369" s="8" t="n">
        <v>0</v>
      </c>
      <c r="F369" s="28" t="n">
        <v>0</v>
      </c>
      <c r="G369" s="9" t="n">
        <v>43586</v>
      </c>
      <c r="H369" s="9" t="n">
        <v>43597</v>
      </c>
      <c r="I369" s="8" t="s">
        <v>79</v>
      </c>
    </row>
    <row r="370" customFormat="false" ht="12.8" hidden="false" customHeight="false" outlineLevel="0" collapsed="false">
      <c r="A370" s="8" t="s">
        <v>79</v>
      </c>
      <c r="B370" s="37" t="n">
        <v>151.29</v>
      </c>
      <c r="C370" s="8" t="n">
        <v>0</v>
      </c>
      <c r="D370" s="8" t="n">
        <v>1</v>
      </c>
      <c r="E370" s="8" t="n">
        <v>0</v>
      </c>
      <c r="F370" s="28" t="n">
        <v>0</v>
      </c>
      <c r="G370" s="9" t="n">
        <v>43586</v>
      </c>
      <c r="H370" s="9" t="n">
        <v>43597</v>
      </c>
      <c r="I370" s="8" t="s">
        <v>79</v>
      </c>
    </row>
    <row r="371" customFormat="false" ht="12.8" hidden="false" customHeight="false" outlineLevel="0" collapsed="false">
      <c r="A371" s="8" t="s">
        <v>105</v>
      </c>
      <c r="B371" s="37" t="n">
        <v>203.75</v>
      </c>
      <c r="C371" s="8" t="n">
        <v>0</v>
      </c>
      <c r="D371" s="8" t="n">
        <v>1</v>
      </c>
      <c r="E371" s="8" t="n">
        <v>0</v>
      </c>
      <c r="F371" s="28" t="n">
        <v>0</v>
      </c>
      <c r="G371" s="9" t="n">
        <v>43586</v>
      </c>
      <c r="H371" s="9" t="n">
        <v>43597</v>
      </c>
      <c r="I371" s="8" t="s">
        <v>106</v>
      </c>
    </row>
    <row r="372" customFormat="false" ht="12.8" hidden="false" customHeight="false" outlineLevel="0" collapsed="false">
      <c r="A372" s="8" t="s">
        <v>228</v>
      </c>
      <c r="B372" s="37" t="n">
        <v>64.55</v>
      </c>
      <c r="C372" s="8" t="n">
        <v>0</v>
      </c>
      <c r="D372" s="8" t="n">
        <v>1</v>
      </c>
      <c r="E372" s="8" t="n">
        <v>0</v>
      </c>
      <c r="F372" s="28" t="n">
        <v>0</v>
      </c>
      <c r="G372" s="9" t="n">
        <v>43586</v>
      </c>
      <c r="H372" s="9" t="n">
        <v>43597</v>
      </c>
      <c r="I372" s="8" t="s">
        <v>81</v>
      </c>
    </row>
    <row r="373" customFormat="false" ht="12.8" hidden="false" customHeight="false" outlineLevel="0" collapsed="false">
      <c r="A373" s="8" t="s">
        <v>109</v>
      </c>
      <c r="B373" s="37" t="n">
        <v>8</v>
      </c>
      <c r="C373" s="8" t="n">
        <v>0</v>
      </c>
      <c r="D373" s="8" t="n">
        <v>1</v>
      </c>
      <c r="E373" s="8" t="n">
        <v>0</v>
      </c>
      <c r="F373" s="28" t="n">
        <v>0</v>
      </c>
      <c r="G373" s="9" t="n">
        <v>43586</v>
      </c>
      <c r="H373" s="9" t="n">
        <v>43598</v>
      </c>
      <c r="I373" s="8" t="s">
        <v>72</v>
      </c>
    </row>
    <row r="374" customFormat="false" ht="12.8" hidden="false" customHeight="false" outlineLevel="0" collapsed="false">
      <c r="A374" s="8" t="s">
        <v>229</v>
      </c>
      <c r="B374" s="37" t="n">
        <v>29.99</v>
      </c>
      <c r="C374" s="8" t="n">
        <v>0</v>
      </c>
      <c r="D374" s="8" t="n">
        <v>1</v>
      </c>
      <c r="E374" s="8" t="n">
        <v>0</v>
      </c>
      <c r="F374" s="28" t="n">
        <v>0</v>
      </c>
      <c r="G374" s="9" t="n">
        <v>43586</v>
      </c>
      <c r="H374" s="9" t="n">
        <v>43597</v>
      </c>
      <c r="I374" s="8" t="s">
        <v>81</v>
      </c>
    </row>
    <row r="375" customFormat="false" ht="12.8" hidden="false" customHeight="false" outlineLevel="0" collapsed="false">
      <c r="A375" s="8" t="s">
        <v>103</v>
      </c>
      <c r="B375" s="37" t="n">
        <v>17.5</v>
      </c>
      <c r="C375" s="8" t="n">
        <v>0</v>
      </c>
      <c r="D375" s="8" t="n">
        <v>1</v>
      </c>
      <c r="E375" s="8" t="n">
        <v>0</v>
      </c>
      <c r="F375" s="28" t="n">
        <v>0</v>
      </c>
      <c r="G375" s="9" t="n">
        <v>43586</v>
      </c>
      <c r="H375" s="9" t="n">
        <v>43595</v>
      </c>
      <c r="I375" s="8" t="s">
        <v>72</v>
      </c>
    </row>
    <row r="376" customFormat="false" ht="12.8" hidden="false" customHeight="false" outlineLevel="0" collapsed="false">
      <c r="A376" s="8" t="s">
        <v>230</v>
      </c>
      <c r="B376" s="37" t="n">
        <v>27.5</v>
      </c>
      <c r="C376" s="8" t="n">
        <v>0</v>
      </c>
      <c r="D376" s="8" t="n">
        <v>1</v>
      </c>
      <c r="E376" s="8" t="n">
        <v>0</v>
      </c>
      <c r="F376" s="28" t="n">
        <v>0</v>
      </c>
      <c r="G376" s="9" t="n">
        <v>43586</v>
      </c>
      <c r="H376" s="9" t="n">
        <v>43597</v>
      </c>
      <c r="I376" s="8" t="s">
        <v>73</v>
      </c>
    </row>
    <row r="377" customFormat="false" ht="12.8" hidden="false" customHeight="false" outlineLevel="0" collapsed="false">
      <c r="A377" s="8" t="s">
        <v>230</v>
      </c>
      <c r="B377" s="37" t="n">
        <v>111.48</v>
      </c>
      <c r="C377" s="8" t="n">
        <v>0</v>
      </c>
      <c r="D377" s="8" t="n">
        <v>1</v>
      </c>
      <c r="E377" s="8" t="n">
        <v>0</v>
      </c>
      <c r="F377" s="28" t="n">
        <v>0</v>
      </c>
      <c r="G377" s="9" t="n">
        <v>43586</v>
      </c>
      <c r="H377" s="9" t="n">
        <v>43597</v>
      </c>
      <c r="I377" s="8" t="s">
        <v>73</v>
      </c>
    </row>
    <row r="378" customFormat="false" ht="12.8" hidden="false" customHeight="false" outlineLevel="0" collapsed="false">
      <c r="A378" s="8" t="s">
        <v>231</v>
      </c>
      <c r="B378" s="37" t="n">
        <v>15</v>
      </c>
      <c r="C378" s="8" t="n">
        <v>0</v>
      </c>
      <c r="D378" s="8" t="n">
        <v>1</v>
      </c>
      <c r="E378" s="8" t="n">
        <v>0</v>
      </c>
      <c r="F378" s="28" t="n">
        <v>0</v>
      </c>
      <c r="G378" s="9" t="n">
        <v>43586</v>
      </c>
      <c r="H378" s="9" t="n">
        <v>43596</v>
      </c>
      <c r="I378" s="8" t="s">
        <v>81</v>
      </c>
    </row>
    <row r="379" customFormat="false" ht="12.8" hidden="false" customHeight="false" outlineLevel="0" collapsed="false">
      <c r="A379" s="8" t="s">
        <v>232</v>
      </c>
      <c r="B379" s="37" t="n">
        <v>100</v>
      </c>
      <c r="C379" s="8" t="n">
        <v>0</v>
      </c>
      <c r="D379" s="8" t="n">
        <v>1</v>
      </c>
      <c r="E379" s="8" t="n">
        <v>0</v>
      </c>
      <c r="F379" s="28" t="n">
        <v>0</v>
      </c>
      <c r="G379" s="9" t="n">
        <v>43586</v>
      </c>
      <c r="H379" s="9" t="n">
        <v>43596</v>
      </c>
      <c r="I379" s="8" t="s">
        <v>81</v>
      </c>
    </row>
    <row r="380" customFormat="false" ht="12.8" hidden="false" customHeight="false" outlineLevel="0" collapsed="false">
      <c r="A380" s="8" t="s">
        <v>79</v>
      </c>
      <c r="B380" s="37" t="n">
        <v>141.32</v>
      </c>
      <c r="C380" s="8" t="n">
        <v>0</v>
      </c>
      <c r="D380" s="8" t="n">
        <v>1</v>
      </c>
      <c r="E380" s="8" t="n">
        <v>0</v>
      </c>
      <c r="F380" s="28" t="n">
        <v>0</v>
      </c>
      <c r="G380" s="9" t="n">
        <v>43586</v>
      </c>
      <c r="H380" s="9" t="n">
        <v>43599</v>
      </c>
      <c r="I380" s="8" t="s">
        <v>79</v>
      </c>
    </row>
    <row r="381" customFormat="false" ht="12.8" hidden="false" customHeight="false" outlineLevel="0" collapsed="false">
      <c r="A381" s="8" t="s">
        <v>74</v>
      </c>
      <c r="B381" s="37" t="n">
        <v>2.5</v>
      </c>
      <c r="C381" s="8" t="n">
        <v>0</v>
      </c>
      <c r="D381" s="8" t="n">
        <v>1</v>
      </c>
      <c r="E381" s="8" t="n">
        <v>0</v>
      </c>
      <c r="F381" s="28" t="n">
        <v>0</v>
      </c>
      <c r="G381" s="9" t="n">
        <v>43586</v>
      </c>
      <c r="H381" s="9" t="n">
        <v>43599</v>
      </c>
      <c r="I381" s="8" t="s">
        <v>72</v>
      </c>
    </row>
    <row r="382" customFormat="false" ht="12.8" hidden="false" customHeight="false" outlineLevel="0" collapsed="false">
      <c r="A382" s="8" t="s">
        <v>79</v>
      </c>
      <c r="B382" s="37" t="n">
        <v>9.79</v>
      </c>
      <c r="C382" s="8" t="n">
        <v>0</v>
      </c>
      <c r="D382" s="8" t="n">
        <v>1</v>
      </c>
      <c r="E382" s="8" t="n">
        <v>0</v>
      </c>
      <c r="F382" s="28" t="n">
        <v>0</v>
      </c>
      <c r="G382" s="9" t="n">
        <v>43586</v>
      </c>
      <c r="H382" s="9" t="n">
        <v>43599</v>
      </c>
      <c r="I382" s="8" t="s">
        <v>79</v>
      </c>
    </row>
    <row r="383" customFormat="false" ht="12.8" hidden="false" customHeight="false" outlineLevel="0" collapsed="false">
      <c r="A383" s="38" t="s">
        <v>177</v>
      </c>
      <c r="B383" s="39" t="n">
        <v>187.87</v>
      </c>
      <c r="C383" s="38" t="n">
        <v>1</v>
      </c>
      <c r="D383" s="38" t="n">
        <v>0</v>
      </c>
      <c r="E383" s="38" t="n">
        <v>0</v>
      </c>
      <c r="F383" s="28" t="n">
        <v>0</v>
      </c>
      <c r="G383" s="40" t="n">
        <v>43586</v>
      </c>
      <c r="H383" s="40" t="n">
        <v>43600</v>
      </c>
      <c r="I383" s="38" t="s">
        <v>106</v>
      </c>
    </row>
    <row r="384" customFormat="false" ht="12.8" hidden="false" customHeight="false" outlineLevel="0" collapsed="false">
      <c r="A384" s="38" t="s">
        <v>233</v>
      </c>
      <c r="B384" s="39" t="n">
        <v>70</v>
      </c>
      <c r="C384" s="38" t="n">
        <v>0</v>
      </c>
      <c r="D384" s="38" t="n">
        <v>1</v>
      </c>
      <c r="E384" s="38" t="n">
        <v>0</v>
      </c>
      <c r="F384" s="28" t="n">
        <v>0</v>
      </c>
      <c r="G384" s="40" t="n">
        <v>43586</v>
      </c>
      <c r="H384" s="40" t="n">
        <v>43616</v>
      </c>
      <c r="I384" s="38" t="s">
        <v>81</v>
      </c>
    </row>
    <row r="385" customFormat="false" ht="12.8" hidden="false" customHeight="false" outlineLevel="0" collapsed="false">
      <c r="A385" s="38" t="s">
        <v>183</v>
      </c>
      <c r="B385" s="39" t="n">
        <v>383.22</v>
      </c>
      <c r="C385" s="38" t="n">
        <v>0</v>
      </c>
      <c r="D385" s="38" t="n">
        <v>1</v>
      </c>
      <c r="E385" s="38" t="n">
        <v>0</v>
      </c>
      <c r="F385" s="28" t="n">
        <v>0</v>
      </c>
      <c r="G385" s="40" t="n">
        <v>43586</v>
      </c>
      <c r="H385" s="40" t="n">
        <v>43600</v>
      </c>
      <c r="I385" s="38" t="s">
        <v>183</v>
      </c>
    </row>
    <row r="386" customFormat="false" ht="12.8" hidden="false" customHeight="false" outlineLevel="0" collapsed="false">
      <c r="A386" s="38" t="s">
        <v>35</v>
      </c>
      <c r="B386" s="39" t="n">
        <v>100</v>
      </c>
      <c r="C386" s="38" t="n">
        <v>0</v>
      </c>
      <c r="D386" s="38" t="n">
        <v>1</v>
      </c>
      <c r="E386" s="38" t="n">
        <v>0</v>
      </c>
      <c r="F386" s="28" t="n">
        <v>0</v>
      </c>
      <c r="G386" s="40" t="n">
        <v>43586</v>
      </c>
      <c r="H386" s="40" t="n">
        <v>43616</v>
      </c>
      <c r="I386" s="38" t="s">
        <v>81</v>
      </c>
    </row>
    <row r="387" customFormat="false" ht="12.8" hidden="false" customHeight="false" outlineLevel="0" collapsed="false">
      <c r="A387" s="38" t="s">
        <v>234</v>
      </c>
      <c r="B387" s="39" t="n">
        <v>300</v>
      </c>
      <c r="C387" s="38" t="n">
        <v>0</v>
      </c>
      <c r="D387" s="38" t="n">
        <v>1</v>
      </c>
      <c r="E387" s="38" t="n">
        <v>0</v>
      </c>
      <c r="F387" s="28" t="n">
        <v>0</v>
      </c>
      <c r="G387" s="40" t="n">
        <v>43586</v>
      </c>
      <c r="H387" s="40" t="n">
        <v>43616</v>
      </c>
      <c r="I387" s="38" t="s">
        <v>81</v>
      </c>
    </row>
    <row r="388" customFormat="false" ht="12.8" hidden="false" customHeight="false" outlineLevel="0" collapsed="false">
      <c r="A388" s="38" t="s">
        <v>74</v>
      </c>
      <c r="B388" s="39" t="n">
        <v>2.99</v>
      </c>
      <c r="C388" s="38" t="n">
        <v>0</v>
      </c>
      <c r="D388" s="38" t="n">
        <v>1</v>
      </c>
      <c r="E388" s="38" t="n">
        <v>0</v>
      </c>
      <c r="F388" s="28" t="n">
        <v>0</v>
      </c>
      <c r="G388" s="40" t="n">
        <v>43586</v>
      </c>
      <c r="H388" s="40" t="n">
        <v>43600</v>
      </c>
      <c r="I388" s="38" t="s">
        <v>72</v>
      </c>
    </row>
    <row r="389" customFormat="false" ht="12.8" hidden="false" customHeight="false" outlineLevel="0" collapsed="false">
      <c r="A389" s="38" t="s">
        <v>235</v>
      </c>
      <c r="B389" s="39" t="n">
        <v>5.5</v>
      </c>
      <c r="C389" s="38" t="n">
        <v>0</v>
      </c>
      <c r="D389" s="38" t="n">
        <v>1</v>
      </c>
      <c r="E389" s="38" t="n">
        <v>0</v>
      </c>
      <c r="F389" s="28" t="n">
        <v>0</v>
      </c>
      <c r="G389" s="40" t="n">
        <v>43586</v>
      </c>
      <c r="H389" s="40" t="n">
        <v>43601</v>
      </c>
      <c r="I389" s="38" t="s">
        <v>72</v>
      </c>
    </row>
    <row r="390" customFormat="false" ht="12.8" hidden="false" customHeight="false" outlineLevel="0" collapsed="false">
      <c r="A390" s="38" t="s">
        <v>112</v>
      </c>
      <c r="B390" s="39" t="n">
        <v>5</v>
      </c>
      <c r="C390" s="38" t="n">
        <v>0</v>
      </c>
      <c r="D390" s="38" t="n">
        <v>1</v>
      </c>
      <c r="E390" s="38" t="n">
        <v>0</v>
      </c>
      <c r="F390" s="28" t="n">
        <v>0</v>
      </c>
      <c r="G390" s="40" t="n">
        <v>43586</v>
      </c>
      <c r="H390" s="40" t="n">
        <v>43602</v>
      </c>
      <c r="I390" s="38" t="s">
        <v>72</v>
      </c>
    </row>
    <row r="391" customFormat="false" ht="12.8" hidden="false" customHeight="false" outlineLevel="0" collapsed="false">
      <c r="A391" s="38" t="s">
        <v>236</v>
      </c>
      <c r="B391" s="39" t="n">
        <v>2.94</v>
      </c>
      <c r="C391" s="38" t="n">
        <v>0</v>
      </c>
      <c r="D391" s="38" t="n">
        <v>1</v>
      </c>
      <c r="E391" s="38" t="n">
        <v>0</v>
      </c>
      <c r="F391" s="28" t="n">
        <v>0</v>
      </c>
      <c r="G391" s="40" t="n">
        <v>43586</v>
      </c>
      <c r="H391" s="40" t="n">
        <v>43602</v>
      </c>
      <c r="I391" s="38" t="s">
        <v>84</v>
      </c>
    </row>
    <row r="392" customFormat="false" ht="12.8" hidden="false" customHeight="false" outlineLevel="0" collapsed="false">
      <c r="A392" s="38" t="s">
        <v>73</v>
      </c>
      <c r="B392" s="39" t="n">
        <v>17.06</v>
      </c>
      <c r="C392" s="38" t="n">
        <v>0</v>
      </c>
      <c r="D392" s="38" t="n">
        <v>1</v>
      </c>
      <c r="E392" s="38" t="n">
        <v>0</v>
      </c>
      <c r="F392" s="28" t="n">
        <v>0</v>
      </c>
      <c r="G392" s="40" t="n">
        <v>43586</v>
      </c>
      <c r="H392" s="40" t="n">
        <v>43603</v>
      </c>
      <c r="I392" s="38" t="s">
        <v>73</v>
      </c>
    </row>
    <row r="393" customFormat="false" ht="12.8" hidden="false" customHeight="false" outlineLevel="0" collapsed="false">
      <c r="A393" s="38" t="s">
        <v>201</v>
      </c>
      <c r="B393" s="39" t="n">
        <v>3</v>
      </c>
      <c r="C393" s="38" t="n">
        <v>0</v>
      </c>
      <c r="D393" s="38" t="n">
        <v>1</v>
      </c>
      <c r="E393" s="38" t="n">
        <v>0</v>
      </c>
      <c r="F393" s="28" t="n">
        <v>0</v>
      </c>
      <c r="G393" s="40" t="n">
        <v>43586</v>
      </c>
      <c r="H393" s="40" t="n">
        <v>43603</v>
      </c>
      <c r="I393" s="38" t="s">
        <v>72</v>
      </c>
    </row>
    <row r="394" customFormat="false" ht="12.8" hidden="false" customHeight="false" outlineLevel="0" collapsed="false">
      <c r="A394" s="38" t="s">
        <v>237</v>
      </c>
      <c r="B394" s="39" t="n">
        <v>15</v>
      </c>
      <c r="C394" s="38" t="n">
        <v>0</v>
      </c>
      <c r="D394" s="38" t="n">
        <v>1</v>
      </c>
      <c r="E394" s="38" t="n">
        <v>0</v>
      </c>
      <c r="F394" s="28" t="n">
        <v>0</v>
      </c>
      <c r="G394" s="40" t="n">
        <v>43586</v>
      </c>
      <c r="H394" s="40" t="n">
        <v>43603</v>
      </c>
      <c r="I394" s="38" t="s">
        <v>72</v>
      </c>
    </row>
    <row r="395" customFormat="false" ht="12.8" hidden="false" customHeight="false" outlineLevel="0" collapsed="false">
      <c r="A395" s="38" t="s">
        <v>79</v>
      </c>
      <c r="B395" s="39" t="n">
        <v>13</v>
      </c>
      <c r="C395" s="38" t="n">
        <v>0</v>
      </c>
      <c r="D395" s="38" t="n">
        <v>1</v>
      </c>
      <c r="E395" s="38" t="n">
        <v>0</v>
      </c>
      <c r="F395" s="28" t="n">
        <v>0</v>
      </c>
      <c r="G395" s="40" t="n">
        <v>43586</v>
      </c>
      <c r="H395" s="40" t="n">
        <v>43604</v>
      </c>
      <c r="I395" s="38" t="s">
        <v>79</v>
      </c>
    </row>
    <row r="396" customFormat="false" ht="12.8" hidden="false" customHeight="false" outlineLevel="0" collapsed="false">
      <c r="A396" s="38" t="s">
        <v>235</v>
      </c>
      <c r="B396" s="39" t="n">
        <v>15.48</v>
      </c>
      <c r="C396" s="38" t="n">
        <v>0</v>
      </c>
      <c r="D396" s="38" t="n">
        <v>1</v>
      </c>
      <c r="E396" s="38" t="n">
        <v>0</v>
      </c>
      <c r="F396" s="28" t="n">
        <v>0</v>
      </c>
      <c r="G396" s="40" t="n">
        <v>43586</v>
      </c>
      <c r="H396" s="40" t="n">
        <v>43604</v>
      </c>
      <c r="I396" s="38" t="s">
        <v>72</v>
      </c>
    </row>
    <row r="397" customFormat="false" ht="12.8" hidden="false" customHeight="false" outlineLevel="0" collapsed="false">
      <c r="A397" s="38" t="s">
        <v>94</v>
      </c>
      <c r="B397" s="39" t="n">
        <v>20.96</v>
      </c>
      <c r="C397" s="38" t="n">
        <v>0</v>
      </c>
      <c r="D397" s="38" t="n">
        <v>1</v>
      </c>
      <c r="E397" s="38" t="n">
        <v>0</v>
      </c>
      <c r="F397" s="28" t="n">
        <v>0</v>
      </c>
      <c r="G397" s="40" t="n">
        <v>43586</v>
      </c>
      <c r="H397" s="40" t="n">
        <v>43604</v>
      </c>
      <c r="I397" s="38" t="s">
        <v>84</v>
      </c>
    </row>
    <row r="398" customFormat="false" ht="12.8" hidden="false" customHeight="false" outlineLevel="0" collapsed="false">
      <c r="A398" s="38" t="s">
        <v>89</v>
      </c>
      <c r="B398" s="39" t="n">
        <v>68</v>
      </c>
      <c r="C398" s="38" t="n">
        <v>0</v>
      </c>
      <c r="D398" s="38" t="n">
        <v>1</v>
      </c>
      <c r="E398" s="38" t="n">
        <v>0</v>
      </c>
      <c r="F398" s="28" t="n">
        <v>0</v>
      </c>
      <c r="G398" s="40" t="n">
        <v>43586</v>
      </c>
      <c r="H398" s="40" t="n">
        <v>43605</v>
      </c>
      <c r="I398" s="38" t="s">
        <v>81</v>
      </c>
    </row>
    <row r="399" customFormat="false" ht="12.8" hidden="false" customHeight="false" outlineLevel="0" collapsed="false">
      <c r="A399" s="38" t="s">
        <v>79</v>
      </c>
      <c r="B399" s="39" t="n">
        <v>67.05</v>
      </c>
      <c r="C399" s="38" t="n">
        <v>0</v>
      </c>
      <c r="D399" s="38" t="n">
        <v>1</v>
      </c>
      <c r="E399" s="38" t="n">
        <v>0</v>
      </c>
      <c r="F399" s="28" t="n">
        <v>0</v>
      </c>
      <c r="G399" s="40" t="n">
        <v>43586</v>
      </c>
      <c r="H399" s="40" t="n">
        <v>43605</v>
      </c>
      <c r="I399" s="38" t="s">
        <v>79</v>
      </c>
    </row>
    <row r="400" customFormat="false" ht="12.8" hidden="false" customHeight="false" outlineLevel="0" collapsed="false">
      <c r="A400" s="38" t="s">
        <v>79</v>
      </c>
      <c r="B400" s="39" t="n">
        <v>6.9</v>
      </c>
      <c r="C400" s="38" t="n">
        <v>0</v>
      </c>
      <c r="D400" s="38" t="n">
        <v>1</v>
      </c>
      <c r="E400" s="38" t="n">
        <v>0</v>
      </c>
      <c r="F400" s="28" t="n">
        <v>0</v>
      </c>
      <c r="G400" s="40" t="n">
        <v>43586</v>
      </c>
      <c r="H400" s="40" t="n">
        <v>43605</v>
      </c>
      <c r="I400" s="38" t="s">
        <v>79</v>
      </c>
    </row>
    <row r="401" customFormat="false" ht="12.8" hidden="false" customHeight="false" outlineLevel="0" collapsed="false">
      <c r="A401" s="38" t="s">
        <v>238</v>
      </c>
      <c r="B401" s="39" t="n">
        <v>10</v>
      </c>
      <c r="C401" s="38" t="n">
        <v>0</v>
      </c>
      <c r="D401" s="38" t="n">
        <v>1</v>
      </c>
      <c r="E401" s="38" t="n">
        <v>0</v>
      </c>
      <c r="F401" s="28" t="n">
        <v>0</v>
      </c>
      <c r="G401" s="40" t="n">
        <v>43586</v>
      </c>
      <c r="H401" s="40" t="n">
        <v>43605</v>
      </c>
      <c r="I401" s="38" t="s">
        <v>72</v>
      </c>
    </row>
    <row r="402" customFormat="false" ht="12.8" hidden="false" customHeight="false" outlineLevel="0" collapsed="false">
      <c r="A402" s="38" t="s">
        <v>239</v>
      </c>
      <c r="B402" s="39" t="n">
        <v>8.08</v>
      </c>
      <c r="C402" s="38" t="n">
        <v>0</v>
      </c>
      <c r="D402" s="38" t="n">
        <v>1</v>
      </c>
      <c r="E402" s="38" t="n">
        <v>0</v>
      </c>
      <c r="F402" s="28" t="n">
        <v>0</v>
      </c>
      <c r="G402" s="40" t="n">
        <v>43586</v>
      </c>
      <c r="H402" s="40" t="n">
        <v>43606</v>
      </c>
      <c r="I402" s="38" t="s">
        <v>72</v>
      </c>
    </row>
    <row r="403" customFormat="false" ht="12.8" hidden="false" customHeight="false" outlineLevel="0" collapsed="false">
      <c r="A403" s="38" t="s">
        <v>102</v>
      </c>
      <c r="B403" s="39" t="n">
        <v>12</v>
      </c>
      <c r="C403" s="38" t="n">
        <v>0</v>
      </c>
      <c r="D403" s="38" t="n">
        <v>1</v>
      </c>
      <c r="E403" s="38" t="n">
        <v>0</v>
      </c>
      <c r="F403" s="28" t="n">
        <v>0</v>
      </c>
      <c r="G403" s="40" t="n">
        <v>43586</v>
      </c>
      <c r="H403" s="40" t="n">
        <v>43606</v>
      </c>
      <c r="I403" s="38" t="s">
        <v>102</v>
      </c>
    </row>
    <row r="404" customFormat="false" ht="12.8" hidden="false" customHeight="false" outlineLevel="0" collapsed="false">
      <c r="A404" s="38" t="s">
        <v>84</v>
      </c>
      <c r="B404" s="39" t="n">
        <v>28.5</v>
      </c>
      <c r="C404" s="38" t="n">
        <v>0</v>
      </c>
      <c r="D404" s="38" t="n">
        <v>1</v>
      </c>
      <c r="E404" s="38" t="n">
        <v>0</v>
      </c>
      <c r="F404" s="28" t="n">
        <v>0</v>
      </c>
      <c r="G404" s="40" t="n">
        <v>43586</v>
      </c>
      <c r="H404" s="40" t="n">
        <v>43607</v>
      </c>
      <c r="I404" s="38" t="s">
        <v>84</v>
      </c>
    </row>
    <row r="405" customFormat="false" ht="12.8" hidden="false" customHeight="false" outlineLevel="0" collapsed="false">
      <c r="A405" s="38" t="s">
        <v>79</v>
      </c>
      <c r="B405" s="39" t="n">
        <v>9</v>
      </c>
      <c r="C405" s="38" t="n">
        <v>0</v>
      </c>
      <c r="D405" s="38" t="n">
        <v>1</v>
      </c>
      <c r="E405" s="38" t="n">
        <v>0</v>
      </c>
      <c r="F405" s="28" t="n">
        <v>0</v>
      </c>
      <c r="G405" s="40" t="n">
        <v>43586</v>
      </c>
      <c r="H405" s="40" t="n">
        <v>43607</v>
      </c>
      <c r="I405" s="38" t="s">
        <v>79</v>
      </c>
    </row>
    <row r="406" customFormat="false" ht="12.8" hidden="false" customHeight="false" outlineLevel="0" collapsed="false">
      <c r="A406" s="38" t="s">
        <v>79</v>
      </c>
      <c r="B406" s="39" t="n">
        <v>158.98</v>
      </c>
      <c r="C406" s="38" t="n">
        <v>0</v>
      </c>
      <c r="D406" s="38" t="n">
        <v>1</v>
      </c>
      <c r="E406" s="38" t="n">
        <v>0</v>
      </c>
      <c r="F406" s="28" t="n">
        <v>0</v>
      </c>
      <c r="G406" s="40" t="n">
        <v>43586</v>
      </c>
      <c r="H406" s="40" t="n">
        <v>43608</v>
      </c>
      <c r="I406" s="38" t="s">
        <v>79</v>
      </c>
    </row>
    <row r="407" customFormat="false" ht="12.8" hidden="false" customHeight="false" outlineLevel="0" collapsed="false">
      <c r="A407" s="38" t="s">
        <v>157</v>
      </c>
      <c r="B407" s="39" t="n">
        <v>14</v>
      </c>
      <c r="C407" s="38" t="n">
        <v>0</v>
      </c>
      <c r="D407" s="38" t="n">
        <v>1</v>
      </c>
      <c r="E407" s="38" t="n">
        <v>0</v>
      </c>
      <c r="F407" s="28" t="n">
        <v>0</v>
      </c>
      <c r="G407" s="40" t="n">
        <v>43586</v>
      </c>
      <c r="H407" s="40" t="n">
        <v>43609</v>
      </c>
      <c r="I407" s="38" t="s">
        <v>72</v>
      </c>
    </row>
    <row r="408" customFormat="false" ht="12.8" hidden="false" customHeight="false" outlineLevel="0" collapsed="false">
      <c r="A408" s="38" t="s">
        <v>100</v>
      </c>
      <c r="B408" s="39" t="n">
        <v>14.9</v>
      </c>
      <c r="C408" s="38" t="n">
        <v>0</v>
      </c>
      <c r="D408" s="38" t="n">
        <v>1</v>
      </c>
      <c r="E408" s="38" t="n">
        <v>0</v>
      </c>
      <c r="F408" s="28" t="n">
        <v>0</v>
      </c>
      <c r="G408" s="40" t="n">
        <v>43586</v>
      </c>
      <c r="H408" s="40" t="n">
        <v>43609</v>
      </c>
      <c r="I408" s="38" t="s">
        <v>72</v>
      </c>
    </row>
    <row r="409" customFormat="false" ht="12.8" hidden="false" customHeight="false" outlineLevel="0" collapsed="false">
      <c r="A409" s="38" t="s">
        <v>112</v>
      </c>
      <c r="B409" s="39" t="n">
        <v>5.5</v>
      </c>
      <c r="C409" s="38" t="n">
        <v>0</v>
      </c>
      <c r="D409" s="38" t="n">
        <v>1</v>
      </c>
      <c r="E409" s="38" t="n">
        <v>0</v>
      </c>
      <c r="F409" s="28" t="n">
        <v>0</v>
      </c>
      <c r="G409" s="40" t="n">
        <v>43586</v>
      </c>
      <c r="H409" s="40" t="n">
        <v>43609</v>
      </c>
      <c r="I409" s="38" t="s">
        <v>72</v>
      </c>
    </row>
    <row r="410" customFormat="false" ht="12.8" hidden="false" customHeight="false" outlineLevel="0" collapsed="false">
      <c r="A410" s="38" t="s">
        <v>153</v>
      </c>
      <c r="B410" s="39" t="n">
        <v>93</v>
      </c>
      <c r="C410" s="38" t="n">
        <v>0</v>
      </c>
      <c r="D410" s="38" t="n">
        <v>1</v>
      </c>
      <c r="E410" s="38" t="n">
        <v>0</v>
      </c>
      <c r="F410" s="28" t="n">
        <v>0</v>
      </c>
      <c r="G410" s="40" t="n">
        <v>43586</v>
      </c>
      <c r="H410" s="40" t="n">
        <v>43609</v>
      </c>
      <c r="I410" s="38" t="s">
        <v>72</v>
      </c>
    </row>
    <row r="411" customFormat="false" ht="12.8" hidden="false" customHeight="false" outlineLevel="0" collapsed="false">
      <c r="A411" s="38" t="s">
        <v>201</v>
      </c>
      <c r="B411" s="39" t="n">
        <v>12</v>
      </c>
      <c r="C411" s="38" t="n">
        <v>0</v>
      </c>
      <c r="D411" s="38" t="n">
        <v>1</v>
      </c>
      <c r="E411" s="38" t="n">
        <v>0</v>
      </c>
      <c r="F411" s="28" t="n">
        <v>0</v>
      </c>
      <c r="G411" s="40" t="n">
        <v>43586</v>
      </c>
      <c r="H411" s="40" t="n">
        <v>43610</v>
      </c>
      <c r="I411" s="38" t="s">
        <v>72</v>
      </c>
    </row>
    <row r="412" customFormat="false" ht="12.8" hidden="false" customHeight="false" outlineLevel="0" collapsed="false">
      <c r="A412" s="38" t="s">
        <v>240</v>
      </c>
      <c r="B412" s="39" t="n">
        <v>12</v>
      </c>
      <c r="C412" s="38" t="n">
        <v>0</v>
      </c>
      <c r="D412" s="38" t="n">
        <v>1</v>
      </c>
      <c r="E412" s="38" t="n">
        <v>0</v>
      </c>
      <c r="F412" s="28" t="n">
        <v>0</v>
      </c>
      <c r="G412" s="40" t="n">
        <v>43586</v>
      </c>
      <c r="H412" s="40" t="n">
        <v>43610</v>
      </c>
      <c r="I412" s="38" t="s">
        <v>72</v>
      </c>
    </row>
    <row r="413" customFormat="false" ht="12.8" hidden="false" customHeight="false" outlineLevel="0" collapsed="false">
      <c r="A413" s="38" t="s">
        <v>241</v>
      </c>
      <c r="B413" s="39" t="n">
        <v>16.4</v>
      </c>
      <c r="C413" s="38" t="n">
        <v>0</v>
      </c>
      <c r="D413" s="38" t="n">
        <v>1</v>
      </c>
      <c r="E413" s="38" t="n">
        <v>0</v>
      </c>
      <c r="F413" s="28" t="n">
        <v>0</v>
      </c>
      <c r="G413" s="40" t="n">
        <v>43586</v>
      </c>
      <c r="H413" s="40" t="n">
        <v>43610</v>
      </c>
      <c r="I413" s="38" t="s">
        <v>84</v>
      </c>
    </row>
    <row r="414" customFormat="false" ht="12.8" hidden="false" customHeight="false" outlineLevel="0" collapsed="false">
      <c r="A414" s="38" t="s">
        <v>105</v>
      </c>
      <c r="B414" s="39" t="n">
        <v>89.28</v>
      </c>
      <c r="C414" s="38" t="n">
        <v>0</v>
      </c>
      <c r="D414" s="38" t="n">
        <v>1</v>
      </c>
      <c r="E414" s="38" t="n">
        <v>0</v>
      </c>
      <c r="F414" s="28" t="n">
        <v>0</v>
      </c>
      <c r="G414" s="40" t="n">
        <v>43586</v>
      </c>
      <c r="H414" s="40" t="n">
        <v>43610</v>
      </c>
      <c r="I414" s="38" t="s">
        <v>105</v>
      </c>
    </row>
    <row r="415" customFormat="false" ht="12.8" hidden="false" customHeight="false" outlineLevel="0" collapsed="false">
      <c r="A415" s="38" t="s">
        <v>242</v>
      </c>
      <c r="B415" s="39" t="n">
        <v>39.99</v>
      </c>
      <c r="C415" s="38" t="n">
        <v>0</v>
      </c>
      <c r="D415" s="38" t="n">
        <v>1</v>
      </c>
      <c r="E415" s="38" t="n">
        <v>0</v>
      </c>
      <c r="F415" s="28" t="n">
        <v>0</v>
      </c>
      <c r="G415" s="40" t="n">
        <v>43586</v>
      </c>
      <c r="H415" s="40" t="n">
        <v>43611</v>
      </c>
      <c r="I415" s="38" t="s">
        <v>116</v>
      </c>
    </row>
    <row r="416" customFormat="false" ht="12.8" hidden="false" customHeight="false" outlineLevel="0" collapsed="false">
      <c r="A416" s="38" t="s">
        <v>84</v>
      </c>
      <c r="B416" s="39" t="n">
        <v>19.75</v>
      </c>
      <c r="C416" s="38" t="n">
        <v>0</v>
      </c>
      <c r="D416" s="38" t="n">
        <v>1</v>
      </c>
      <c r="E416" s="38" t="n">
        <v>0</v>
      </c>
      <c r="F416" s="28" t="n">
        <v>0</v>
      </c>
      <c r="G416" s="40" t="n">
        <v>43586</v>
      </c>
      <c r="H416" s="40" t="n">
        <v>43611</v>
      </c>
      <c r="I416" s="38" t="s">
        <v>84</v>
      </c>
    </row>
    <row r="417" customFormat="false" ht="12.8" hidden="false" customHeight="false" outlineLevel="0" collapsed="false">
      <c r="A417" s="38" t="s">
        <v>73</v>
      </c>
      <c r="B417" s="39" t="n">
        <v>19.8</v>
      </c>
      <c r="C417" s="38" t="n">
        <v>0</v>
      </c>
      <c r="D417" s="38" t="n">
        <v>1</v>
      </c>
      <c r="E417" s="38" t="n">
        <v>0</v>
      </c>
      <c r="F417" s="28" t="n">
        <v>0</v>
      </c>
      <c r="G417" s="40" t="n">
        <v>43586</v>
      </c>
      <c r="H417" s="40" t="n">
        <v>43613</v>
      </c>
      <c r="I417" s="38" t="s">
        <v>73</v>
      </c>
    </row>
    <row r="418" customFormat="false" ht="12.8" hidden="false" customHeight="false" outlineLevel="0" collapsed="false">
      <c r="A418" s="38" t="s">
        <v>243</v>
      </c>
      <c r="B418" s="39" t="n">
        <v>48.33</v>
      </c>
      <c r="C418" s="38" t="n">
        <v>0</v>
      </c>
      <c r="D418" s="38" t="n">
        <v>1</v>
      </c>
      <c r="E418" s="38" t="n">
        <v>0</v>
      </c>
      <c r="F418" s="28" t="n">
        <v>0</v>
      </c>
      <c r="G418" s="40" t="n">
        <v>43586</v>
      </c>
      <c r="H418" s="40" t="n">
        <v>43614</v>
      </c>
      <c r="I418" s="38" t="s">
        <v>84</v>
      </c>
    </row>
    <row r="419" customFormat="false" ht="12.8" hidden="false" customHeight="false" outlineLevel="0" collapsed="false">
      <c r="A419" s="38" t="s">
        <v>112</v>
      </c>
      <c r="B419" s="39" t="n">
        <v>4.5</v>
      </c>
      <c r="C419" s="38" t="n">
        <v>0</v>
      </c>
      <c r="D419" s="38" t="n">
        <v>1</v>
      </c>
      <c r="E419" s="38" t="n">
        <v>0</v>
      </c>
      <c r="F419" s="28" t="n">
        <v>0</v>
      </c>
      <c r="G419" s="40" t="n">
        <v>43586</v>
      </c>
      <c r="H419" s="40" t="n">
        <v>43613</v>
      </c>
      <c r="I419" s="38" t="s">
        <v>72</v>
      </c>
    </row>
    <row r="420" customFormat="false" ht="12.8" hidden="false" customHeight="false" outlineLevel="0" collapsed="false">
      <c r="A420" s="38" t="s">
        <v>74</v>
      </c>
      <c r="B420" s="39" t="n">
        <v>2.99</v>
      </c>
      <c r="C420" s="38" t="n">
        <v>0</v>
      </c>
      <c r="D420" s="38" t="n">
        <v>1</v>
      </c>
      <c r="E420" s="38" t="n">
        <v>0</v>
      </c>
      <c r="F420" s="28" t="n">
        <v>0</v>
      </c>
      <c r="G420" s="40" t="n">
        <v>43586</v>
      </c>
      <c r="H420" s="40" t="n">
        <v>43613</v>
      </c>
      <c r="I420" s="38" t="s">
        <v>72</v>
      </c>
    </row>
    <row r="421" customFormat="false" ht="12.8" hidden="false" customHeight="false" outlineLevel="0" collapsed="false">
      <c r="A421" s="38" t="s">
        <v>74</v>
      </c>
      <c r="B421" s="39" t="n">
        <v>5</v>
      </c>
      <c r="C421" s="38" t="n">
        <v>0</v>
      </c>
      <c r="D421" s="38" t="n">
        <v>1</v>
      </c>
      <c r="E421" s="38" t="n">
        <v>0</v>
      </c>
      <c r="F421" s="28" t="n">
        <v>0</v>
      </c>
      <c r="G421" s="40" t="n">
        <v>43586</v>
      </c>
      <c r="H421" s="40" t="n">
        <v>43613</v>
      </c>
      <c r="I421" s="38" t="s">
        <v>72</v>
      </c>
    </row>
    <row r="422" customFormat="false" ht="12.8" hidden="false" customHeight="false" outlineLevel="0" collapsed="false">
      <c r="A422" s="38" t="s">
        <v>244</v>
      </c>
      <c r="B422" s="39" t="n">
        <v>35.89</v>
      </c>
      <c r="C422" s="38" t="n">
        <v>0</v>
      </c>
      <c r="D422" s="38" t="n">
        <v>1</v>
      </c>
      <c r="E422" s="38" t="n">
        <v>0</v>
      </c>
      <c r="F422" s="28" t="n">
        <v>0</v>
      </c>
      <c r="G422" s="40" t="n">
        <v>43586</v>
      </c>
      <c r="H422" s="40" t="n">
        <v>43614</v>
      </c>
      <c r="I422" s="38" t="s">
        <v>244</v>
      </c>
    </row>
    <row r="423" customFormat="false" ht="12.8" hidden="false" customHeight="false" outlineLevel="0" collapsed="false">
      <c r="A423" s="38" t="s">
        <v>245</v>
      </c>
      <c r="B423" s="39" t="n">
        <v>12</v>
      </c>
      <c r="C423" s="38" t="n">
        <v>0</v>
      </c>
      <c r="D423" s="38" t="n">
        <v>1</v>
      </c>
      <c r="E423" s="38" t="n">
        <v>0</v>
      </c>
      <c r="F423" s="28" t="n">
        <v>0</v>
      </c>
      <c r="G423" s="40" t="n">
        <v>43586</v>
      </c>
      <c r="H423" s="40" t="n">
        <v>43614</v>
      </c>
      <c r="I423" s="38" t="s">
        <v>72</v>
      </c>
    </row>
    <row r="424" customFormat="false" ht="12.8" hidden="false" customHeight="false" outlineLevel="0" collapsed="false">
      <c r="A424" s="38" t="s">
        <v>246</v>
      </c>
      <c r="B424" s="39" t="n">
        <v>59.3</v>
      </c>
      <c r="C424" s="38" t="n">
        <v>0</v>
      </c>
      <c r="D424" s="38" t="n">
        <v>1</v>
      </c>
      <c r="E424" s="38" t="n">
        <v>0</v>
      </c>
      <c r="F424" s="28" t="n">
        <v>0</v>
      </c>
      <c r="G424" s="40" t="n">
        <v>43586</v>
      </c>
      <c r="H424" s="40" t="n">
        <v>43614</v>
      </c>
      <c r="I424" s="38" t="s">
        <v>81</v>
      </c>
    </row>
    <row r="425" customFormat="false" ht="12.8" hidden="false" customHeight="false" outlineLevel="0" collapsed="false">
      <c r="A425" s="38" t="s">
        <v>68</v>
      </c>
      <c r="B425" s="39" t="n">
        <v>50</v>
      </c>
      <c r="C425" s="38" t="n">
        <v>0</v>
      </c>
      <c r="D425" s="38" t="n">
        <v>1</v>
      </c>
      <c r="E425" s="38" t="n">
        <v>0</v>
      </c>
      <c r="F425" s="28" t="n">
        <v>0</v>
      </c>
      <c r="G425" s="40" t="n">
        <v>43586</v>
      </c>
      <c r="H425" s="40" t="n">
        <v>43615</v>
      </c>
      <c r="I425" s="38" t="s">
        <v>68</v>
      </c>
    </row>
    <row r="426" customFormat="false" ht="12.8" hidden="false" customHeight="false" outlineLevel="0" collapsed="false">
      <c r="A426" s="38" t="s">
        <v>247</v>
      </c>
      <c r="B426" s="39" t="n">
        <v>9.6</v>
      </c>
      <c r="C426" s="38" t="n">
        <v>0</v>
      </c>
      <c r="D426" s="38" t="n">
        <v>1</v>
      </c>
      <c r="E426" s="38" t="n">
        <v>0</v>
      </c>
      <c r="F426" s="28" t="n">
        <v>0</v>
      </c>
      <c r="G426" s="40" t="n">
        <v>43586</v>
      </c>
      <c r="H426" s="40" t="n">
        <v>43615</v>
      </c>
      <c r="I426" s="38" t="s">
        <v>72</v>
      </c>
    </row>
    <row r="427" customFormat="false" ht="12.8" hidden="false" customHeight="false" outlineLevel="0" collapsed="false">
      <c r="A427" s="38" t="s">
        <v>74</v>
      </c>
      <c r="B427" s="39" t="n">
        <v>2.5</v>
      </c>
      <c r="C427" s="38" t="n">
        <v>0</v>
      </c>
      <c r="D427" s="38" t="n">
        <v>1</v>
      </c>
      <c r="E427" s="38" t="n">
        <v>0</v>
      </c>
      <c r="F427" s="28" t="n">
        <v>0</v>
      </c>
      <c r="G427" s="40" t="n">
        <v>43586</v>
      </c>
      <c r="H427" s="40" t="n">
        <v>43615</v>
      </c>
      <c r="I427" s="38" t="s">
        <v>72</v>
      </c>
    </row>
    <row r="428" customFormat="false" ht="12.8" hidden="false" customHeight="false" outlineLevel="0" collapsed="false">
      <c r="A428" s="38" t="s">
        <v>248</v>
      </c>
      <c r="B428" s="39" t="n">
        <v>22</v>
      </c>
      <c r="C428" s="38" t="n">
        <v>0</v>
      </c>
      <c r="D428" s="38" t="n">
        <v>1</v>
      </c>
      <c r="E428" s="38" t="n">
        <v>0</v>
      </c>
      <c r="F428" s="28" t="n">
        <v>0</v>
      </c>
      <c r="G428" s="40" t="n">
        <v>43586</v>
      </c>
      <c r="H428" s="40" t="n">
        <v>43615</v>
      </c>
      <c r="I428" s="38" t="s">
        <v>72</v>
      </c>
    </row>
    <row r="429" customFormat="false" ht="12.8" hidden="false" customHeight="false" outlineLevel="0" collapsed="false">
      <c r="A429" s="38" t="s">
        <v>136</v>
      </c>
      <c r="B429" s="39" t="n">
        <v>20</v>
      </c>
      <c r="C429" s="38" t="n">
        <v>0</v>
      </c>
      <c r="D429" s="38" t="n">
        <v>1</v>
      </c>
      <c r="E429" s="38" t="n">
        <v>0</v>
      </c>
      <c r="F429" s="28" t="n">
        <v>0</v>
      </c>
      <c r="G429" s="40" t="n">
        <v>43586</v>
      </c>
      <c r="H429" s="40" t="n">
        <v>43616</v>
      </c>
      <c r="I429" s="38" t="s">
        <v>136</v>
      </c>
    </row>
    <row r="430" customFormat="false" ht="12.8" hidden="false" customHeight="false" outlineLevel="0" collapsed="false">
      <c r="A430" s="38" t="s">
        <v>74</v>
      </c>
      <c r="B430" s="39" t="n">
        <v>2.99</v>
      </c>
      <c r="C430" s="38" t="n">
        <v>0</v>
      </c>
      <c r="D430" s="38" t="n">
        <v>1</v>
      </c>
      <c r="E430" s="38" t="n">
        <v>0</v>
      </c>
      <c r="F430" s="28" t="n">
        <v>0</v>
      </c>
      <c r="G430" s="40" t="n">
        <v>43586</v>
      </c>
      <c r="H430" s="40" t="n">
        <v>43616</v>
      </c>
      <c r="I430" s="38" t="s">
        <v>72</v>
      </c>
    </row>
    <row r="431" customFormat="false" ht="12.8" hidden="false" customHeight="false" outlineLevel="0" collapsed="false">
      <c r="A431" s="25" t="s">
        <v>249</v>
      </c>
      <c r="B431" s="26" t="n">
        <v>0</v>
      </c>
      <c r="C431" s="25" t="n">
        <v>1</v>
      </c>
      <c r="D431" s="25" t="n">
        <v>0</v>
      </c>
      <c r="E431" s="25" t="n">
        <v>1</v>
      </c>
      <c r="F431" s="28" t="n">
        <v>0</v>
      </c>
      <c r="G431" s="27" t="n">
        <v>43617</v>
      </c>
      <c r="H431" s="27"/>
      <c r="I431" s="25" t="s">
        <v>106</v>
      </c>
      <c r="J431" s="36" t="n">
        <v>134.14</v>
      </c>
    </row>
    <row r="432" customFormat="false" ht="12.8" hidden="false" customHeight="false" outlineLevel="0" collapsed="false">
      <c r="A432" s="25" t="s">
        <v>250</v>
      </c>
      <c r="B432" s="26" t="n">
        <v>0</v>
      </c>
      <c r="C432" s="25" t="n">
        <v>1</v>
      </c>
      <c r="D432" s="25" t="n">
        <v>0</v>
      </c>
      <c r="E432" s="25" t="n">
        <v>1</v>
      </c>
      <c r="F432" s="28" t="n">
        <v>0</v>
      </c>
      <c r="G432" s="27" t="n">
        <v>43617</v>
      </c>
      <c r="H432" s="27"/>
      <c r="I432" s="25" t="s">
        <v>106</v>
      </c>
      <c r="J432" s="36" t="n">
        <v>134.14</v>
      </c>
    </row>
    <row r="433" customFormat="false" ht="12.8" hidden="false" customHeight="false" outlineLevel="0" collapsed="false">
      <c r="A433" s="25" t="s">
        <v>251</v>
      </c>
      <c r="B433" s="26" t="n">
        <v>0</v>
      </c>
      <c r="C433" s="25" t="n">
        <v>1</v>
      </c>
      <c r="D433" s="25" t="n">
        <v>0</v>
      </c>
      <c r="E433" s="25" t="n">
        <v>1</v>
      </c>
      <c r="F433" s="28" t="n">
        <v>0</v>
      </c>
      <c r="G433" s="27" t="n">
        <v>43617</v>
      </c>
      <c r="H433" s="27"/>
      <c r="I433" s="25" t="s">
        <v>106</v>
      </c>
      <c r="J433" s="36" t="n">
        <v>201.2</v>
      </c>
    </row>
    <row r="434" customFormat="false" ht="12.8" hidden="false" customHeight="false" outlineLevel="0" collapsed="false">
      <c r="A434" s="25" t="s">
        <v>252</v>
      </c>
      <c r="B434" s="26" t="n">
        <v>0</v>
      </c>
      <c r="C434" s="25" t="n">
        <v>1</v>
      </c>
      <c r="D434" s="25" t="n">
        <v>0</v>
      </c>
      <c r="E434" s="25" t="n">
        <v>1</v>
      </c>
      <c r="F434" s="28" t="n">
        <v>0</v>
      </c>
      <c r="G434" s="27" t="n">
        <v>43617</v>
      </c>
      <c r="H434" s="27"/>
      <c r="I434" s="25" t="s">
        <v>106</v>
      </c>
      <c r="J434" s="36" t="n">
        <v>134.14</v>
      </c>
    </row>
    <row r="435" customFormat="false" ht="12.8" hidden="false" customHeight="false" outlineLevel="0" collapsed="false">
      <c r="A435" s="25" t="s">
        <v>253</v>
      </c>
      <c r="B435" s="26" t="n">
        <v>0</v>
      </c>
      <c r="C435" s="25" t="n">
        <v>1</v>
      </c>
      <c r="D435" s="25" t="n">
        <v>0</v>
      </c>
      <c r="E435" s="25" t="n">
        <v>1</v>
      </c>
      <c r="F435" s="28" t="n">
        <v>0</v>
      </c>
      <c r="G435" s="27" t="n">
        <v>43617</v>
      </c>
      <c r="H435" s="27"/>
      <c r="I435" s="25" t="s">
        <v>106</v>
      </c>
      <c r="J435" s="36" t="n">
        <v>201.2</v>
      </c>
    </row>
    <row r="436" customFormat="false" ht="12.8" hidden="false" customHeight="false" outlineLevel="0" collapsed="false">
      <c r="A436" s="25" t="s">
        <v>57</v>
      </c>
      <c r="B436" s="26" t="n">
        <v>76.9</v>
      </c>
      <c r="C436" s="25" t="n">
        <v>1</v>
      </c>
      <c r="D436" s="25" t="n">
        <v>0</v>
      </c>
      <c r="E436" s="25" t="n">
        <v>0</v>
      </c>
      <c r="F436" s="28" t="n">
        <v>0</v>
      </c>
      <c r="G436" s="27" t="n">
        <v>43617</v>
      </c>
      <c r="H436" s="27" t="n">
        <v>43620</v>
      </c>
      <c r="I436" s="25" t="s">
        <v>58</v>
      </c>
    </row>
    <row r="437" customFormat="false" ht="12.8" hidden="false" customHeight="false" outlineLevel="0" collapsed="false">
      <c r="A437" s="25" t="s">
        <v>59</v>
      </c>
      <c r="B437" s="26" t="n">
        <v>334.65</v>
      </c>
      <c r="C437" s="25" t="n">
        <v>1</v>
      </c>
      <c r="D437" s="25" t="n">
        <v>0</v>
      </c>
      <c r="E437" s="25" t="n">
        <v>0</v>
      </c>
      <c r="F437" s="28" t="n">
        <v>0</v>
      </c>
      <c r="G437" s="27" t="n">
        <v>43617</v>
      </c>
      <c r="H437" s="27" t="n">
        <v>43629</v>
      </c>
      <c r="I437" s="25" t="s">
        <v>59</v>
      </c>
    </row>
    <row r="438" customFormat="false" ht="12.8" hidden="false" customHeight="false" outlineLevel="0" collapsed="false">
      <c r="A438" s="25" t="s">
        <v>254</v>
      </c>
      <c r="B438" s="26" t="n">
        <v>2.85</v>
      </c>
      <c r="C438" s="25" t="n">
        <v>1</v>
      </c>
      <c r="D438" s="25" t="n">
        <v>0</v>
      </c>
      <c r="E438" s="25" t="n">
        <v>0</v>
      </c>
      <c r="F438" s="28" t="n">
        <v>0</v>
      </c>
      <c r="G438" s="27" t="n">
        <v>43617</v>
      </c>
      <c r="H438" s="27" t="n">
        <v>43629</v>
      </c>
      <c r="I438" s="25" t="s">
        <v>129</v>
      </c>
    </row>
    <row r="439" customFormat="false" ht="12.8" hidden="false" customHeight="false" outlineLevel="0" collapsed="false">
      <c r="A439" s="25" t="s">
        <v>135</v>
      </c>
      <c r="B439" s="26" t="n">
        <f aca="false">SUMIFS(credito!$B$1:$B$100,credito!$F$1:$F$100,debito!G434,credito!$G$1:$G$100,0)</f>
        <v>570.95</v>
      </c>
      <c r="C439" s="25" t="n">
        <v>0</v>
      </c>
      <c r="D439" s="25" t="n">
        <v>1</v>
      </c>
      <c r="E439" s="25" t="n">
        <v>0</v>
      </c>
      <c r="F439" s="28" t="n">
        <v>0</v>
      </c>
      <c r="G439" s="27" t="n">
        <v>43617</v>
      </c>
      <c r="H439" s="27" t="n">
        <v>43633</v>
      </c>
      <c r="I439" s="25" t="s">
        <v>131</v>
      </c>
    </row>
    <row r="440" customFormat="false" ht="12.8" hidden="false" customHeight="false" outlineLevel="0" collapsed="false">
      <c r="A440" s="25" t="s">
        <v>132</v>
      </c>
      <c r="B440" s="26" t="n">
        <v>107.66</v>
      </c>
      <c r="C440" s="25" t="n">
        <v>1</v>
      </c>
      <c r="D440" s="25" t="n">
        <v>0</v>
      </c>
      <c r="E440" s="25" t="n">
        <v>0</v>
      </c>
      <c r="F440" s="28" t="n">
        <v>0</v>
      </c>
      <c r="G440" s="27" t="n">
        <v>43617</v>
      </c>
      <c r="H440" s="27" t="n">
        <v>43633</v>
      </c>
      <c r="I440" s="25" t="s">
        <v>131</v>
      </c>
    </row>
    <row r="441" customFormat="false" ht="12.8" hidden="false" customHeight="false" outlineLevel="0" collapsed="false">
      <c r="A441" s="25" t="s">
        <v>69</v>
      </c>
      <c r="B441" s="26" t="n">
        <v>330</v>
      </c>
      <c r="C441" s="25" t="n">
        <v>1</v>
      </c>
      <c r="D441" s="25" t="n">
        <v>0</v>
      </c>
      <c r="E441" s="25" t="n">
        <v>0</v>
      </c>
      <c r="F441" s="28" t="n">
        <v>0</v>
      </c>
      <c r="G441" s="27" t="n">
        <v>43617</v>
      </c>
      <c r="H441" s="27" t="n">
        <v>43627</v>
      </c>
      <c r="I441" s="25" t="s">
        <v>70</v>
      </c>
    </row>
    <row r="442" customFormat="false" ht="12.8" hidden="false" customHeight="false" outlineLevel="0" collapsed="false">
      <c r="A442" s="25" t="s">
        <v>62</v>
      </c>
      <c r="B442" s="26" t="n">
        <v>6.41</v>
      </c>
      <c r="C442" s="25" t="n">
        <v>1</v>
      </c>
      <c r="D442" s="25" t="n">
        <v>0</v>
      </c>
      <c r="E442" s="25" t="n">
        <v>0</v>
      </c>
      <c r="F442" s="28" t="n">
        <v>0</v>
      </c>
      <c r="G442" s="27" t="n">
        <v>43617</v>
      </c>
      <c r="H442" s="27" t="n">
        <v>43626</v>
      </c>
      <c r="I442" s="25" t="s">
        <v>58</v>
      </c>
    </row>
    <row r="443" customFormat="false" ht="12.8" hidden="false" customHeight="false" outlineLevel="0" collapsed="false">
      <c r="A443" s="25" t="s">
        <v>63</v>
      </c>
      <c r="B443" s="26" t="n">
        <v>75</v>
      </c>
      <c r="C443" s="25" t="n">
        <v>1</v>
      </c>
      <c r="D443" s="25" t="n">
        <v>0</v>
      </c>
      <c r="E443" s="25" t="n">
        <v>0</v>
      </c>
      <c r="F443" s="28" t="n">
        <v>0</v>
      </c>
      <c r="G443" s="27" t="n">
        <v>43617</v>
      </c>
      <c r="H443" s="27"/>
      <c r="I443" s="25" t="s">
        <v>64</v>
      </c>
    </row>
    <row r="444" customFormat="false" ht="12.8" hidden="false" customHeight="false" outlineLevel="0" collapsed="false">
      <c r="A444" s="25" t="s">
        <v>75</v>
      </c>
      <c r="B444" s="26" t="n">
        <v>230</v>
      </c>
      <c r="C444" s="25" t="n">
        <v>1</v>
      </c>
      <c r="D444" s="25" t="n">
        <v>0</v>
      </c>
      <c r="E444" s="25" t="n">
        <v>0</v>
      </c>
      <c r="F444" s="28" t="n">
        <v>0</v>
      </c>
      <c r="G444" s="27" t="n">
        <v>43617</v>
      </c>
      <c r="H444" s="27" t="n">
        <v>43633</v>
      </c>
      <c r="I444" s="25" t="s">
        <v>76</v>
      </c>
    </row>
    <row r="445" customFormat="false" ht="12.8" hidden="false" customHeight="false" outlineLevel="0" collapsed="false">
      <c r="A445" s="25" t="s">
        <v>75</v>
      </c>
      <c r="B445" s="26" t="n">
        <v>230.59</v>
      </c>
      <c r="C445" s="25" t="n">
        <v>1</v>
      </c>
      <c r="D445" s="25" t="n">
        <v>0</v>
      </c>
      <c r="E445" s="25" t="n">
        <v>0</v>
      </c>
      <c r="F445" s="28" t="n">
        <v>0</v>
      </c>
      <c r="G445" s="27" t="n">
        <v>43617</v>
      </c>
      <c r="H445" s="27" t="n">
        <v>43633</v>
      </c>
      <c r="I445" s="25" t="s">
        <v>76</v>
      </c>
    </row>
    <row r="446" customFormat="false" ht="12.8" hidden="false" customHeight="false" outlineLevel="0" collapsed="false">
      <c r="A446" s="44" t="s">
        <v>65</v>
      </c>
      <c r="B446" s="45" t="n">
        <v>2700</v>
      </c>
      <c r="C446" s="44" t="n">
        <v>1</v>
      </c>
      <c r="D446" s="44" t="n">
        <v>0</v>
      </c>
      <c r="E446" s="44" t="n">
        <v>1</v>
      </c>
      <c r="F446" s="28" t="n">
        <v>0</v>
      </c>
      <c r="G446" s="46" t="n">
        <v>43617</v>
      </c>
      <c r="H446" s="46" t="n">
        <v>43281</v>
      </c>
      <c r="I446" s="44" t="s">
        <v>66</v>
      </c>
    </row>
    <row r="447" customFormat="false" ht="12.8" hidden="false" customHeight="false" outlineLevel="0" collapsed="false">
      <c r="A447" s="25" t="s">
        <v>177</v>
      </c>
      <c r="B447" s="26" t="n">
        <v>187.87</v>
      </c>
      <c r="C447" s="25" t="n">
        <v>1</v>
      </c>
      <c r="D447" s="25" t="n">
        <v>0</v>
      </c>
      <c r="E447" s="25" t="n">
        <v>0</v>
      </c>
      <c r="F447" s="28" t="n">
        <v>0</v>
      </c>
      <c r="G447" s="27" t="n">
        <v>43617</v>
      </c>
      <c r="H447" s="27" t="n">
        <v>43637</v>
      </c>
      <c r="I447" s="25" t="s">
        <v>106</v>
      </c>
    </row>
    <row r="448" customFormat="false" ht="12.8" hidden="false" customHeight="false" outlineLevel="0" collapsed="false">
      <c r="A448" s="25" t="s">
        <v>183</v>
      </c>
      <c r="B448" s="26" t="n">
        <v>383.22</v>
      </c>
      <c r="C448" s="25" t="n">
        <v>0</v>
      </c>
      <c r="D448" s="25" t="n">
        <v>1</v>
      </c>
      <c r="E448" s="25" t="n">
        <v>0</v>
      </c>
      <c r="F448" s="28" t="n">
        <v>0</v>
      </c>
      <c r="G448" s="27" t="n">
        <v>43617</v>
      </c>
      <c r="H448" s="27" t="n">
        <v>43633</v>
      </c>
      <c r="I448" s="25" t="s">
        <v>184</v>
      </c>
    </row>
    <row r="449" customFormat="false" ht="12.8" hidden="false" customHeight="false" outlineLevel="0" collapsed="false">
      <c r="A449" s="25" t="s">
        <v>85</v>
      </c>
      <c r="B449" s="26" t="n">
        <v>100</v>
      </c>
      <c r="C449" s="25" t="n">
        <v>0</v>
      </c>
      <c r="D449" s="25" t="n">
        <v>1</v>
      </c>
      <c r="E449" s="25" t="n">
        <v>0</v>
      </c>
      <c r="F449" s="28" t="n">
        <v>0</v>
      </c>
      <c r="G449" s="27" t="n">
        <v>43617</v>
      </c>
      <c r="H449" s="27" t="n">
        <v>3</v>
      </c>
      <c r="I449" s="25" t="s">
        <v>85</v>
      </c>
    </row>
    <row r="450" customFormat="false" ht="12.8" hidden="false" customHeight="false" outlineLevel="0" collapsed="false">
      <c r="A450" s="25" t="s">
        <v>195</v>
      </c>
      <c r="B450" s="26" t="n">
        <v>100</v>
      </c>
      <c r="C450" s="25" t="n">
        <v>0</v>
      </c>
      <c r="D450" s="25" t="n">
        <v>1</v>
      </c>
      <c r="E450" s="25" t="n">
        <v>0</v>
      </c>
      <c r="F450" s="28" t="n">
        <v>0</v>
      </c>
      <c r="G450" s="27" t="n">
        <v>43617</v>
      </c>
      <c r="H450" s="27" t="n">
        <v>43619</v>
      </c>
      <c r="I450" s="25" t="s">
        <v>138</v>
      </c>
    </row>
    <row r="451" customFormat="false" ht="12.8" hidden="false" customHeight="false" outlineLevel="0" collapsed="false">
      <c r="A451" s="25" t="s">
        <v>68</v>
      </c>
      <c r="B451" s="26" t="n">
        <v>20</v>
      </c>
      <c r="C451" s="25" t="n">
        <v>0</v>
      </c>
      <c r="D451" s="25" t="n">
        <v>1</v>
      </c>
      <c r="E451" s="25" t="n">
        <v>0</v>
      </c>
      <c r="F451" s="28" t="n">
        <v>0</v>
      </c>
      <c r="G451" s="27" t="n">
        <v>43617</v>
      </c>
      <c r="H451" s="27" t="n">
        <v>43619</v>
      </c>
      <c r="I451" s="25" t="s">
        <v>68</v>
      </c>
    </row>
    <row r="452" customFormat="false" ht="12.8" hidden="false" customHeight="false" outlineLevel="0" collapsed="false">
      <c r="A452" s="25" t="s">
        <v>136</v>
      </c>
      <c r="B452" s="26" t="n">
        <v>100</v>
      </c>
      <c r="C452" s="25" t="n">
        <v>0</v>
      </c>
      <c r="D452" s="25" t="n">
        <v>1</v>
      </c>
      <c r="E452" s="25" t="n">
        <v>0</v>
      </c>
      <c r="F452" s="28" t="n">
        <v>0</v>
      </c>
      <c r="G452" s="27" t="n">
        <v>43617</v>
      </c>
      <c r="H452" s="27" t="n">
        <v>43619</v>
      </c>
      <c r="I452" s="25" t="s">
        <v>136</v>
      </c>
    </row>
    <row r="453" customFormat="false" ht="12.8" hidden="false" customHeight="false" outlineLevel="0" collapsed="false">
      <c r="A453" s="25" t="s">
        <v>84</v>
      </c>
      <c r="B453" s="26" t="n">
        <v>15.82</v>
      </c>
      <c r="C453" s="25" t="n">
        <v>0</v>
      </c>
      <c r="D453" s="25" t="n">
        <v>1</v>
      </c>
      <c r="E453" s="25" t="n">
        <v>0</v>
      </c>
      <c r="F453" s="28" t="n">
        <v>0</v>
      </c>
      <c r="G453" s="27" t="n">
        <v>43617</v>
      </c>
      <c r="H453" s="27" t="n">
        <v>43619</v>
      </c>
      <c r="I453" s="25" t="s">
        <v>84</v>
      </c>
    </row>
    <row r="454" customFormat="false" ht="12.8" hidden="false" customHeight="false" outlineLevel="0" collapsed="false">
      <c r="A454" s="25" t="s">
        <v>245</v>
      </c>
      <c r="B454" s="26" t="n">
        <v>30</v>
      </c>
      <c r="C454" s="25" t="n">
        <v>0</v>
      </c>
      <c r="D454" s="25" t="n">
        <v>1</v>
      </c>
      <c r="E454" s="25" t="n">
        <v>0</v>
      </c>
      <c r="F454" s="28" t="n">
        <v>0</v>
      </c>
      <c r="G454" s="27" t="n">
        <v>43617</v>
      </c>
      <c r="H454" s="27" t="n">
        <v>43619</v>
      </c>
      <c r="I454" s="25" t="s">
        <v>81</v>
      </c>
    </row>
    <row r="455" customFormat="false" ht="12.8" hidden="false" customHeight="false" outlineLevel="0" collapsed="false">
      <c r="A455" s="25" t="s">
        <v>255</v>
      </c>
      <c r="B455" s="26" t="n">
        <v>40</v>
      </c>
      <c r="C455" s="25" t="n">
        <v>0</v>
      </c>
      <c r="D455" s="25" t="n">
        <v>1</v>
      </c>
      <c r="E455" s="25" t="n">
        <v>0</v>
      </c>
      <c r="F455" s="28" t="n">
        <v>0</v>
      </c>
      <c r="G455" s="27" t="n">
        <v>43617</v>
      </c>
      <c r="H455" s="27" t="n">
        <v>43619</v>
      </c>
      <c r="I455" s="25" t="s">
        <v>81</v>
      </c>
    </row>
    <row r="456" customFormat="false" ht="12.8" hidden="false" customHeight="false" outlineLevel="0" collapsed="false">
      <c r="A456" s="25" t="s">
        <v>256</v>
      </c>
      <c r="B456" s="26" t="n">
        <v>40.69</v>
      </c>
      <c r="C456" s="25" t="n">
        <v>0</v>
      </c>
      <c r="D456" s="25" t="n">
        <v>1</v>
      </c>
      <c r="E456" s="25" t="n">
        <v>0</v>
      </c>
      <c r="F456" s="28" t="n">
        <v>0</v>
      </c>
      <c r="G456" s="27" t="n">
        <v>43617</v>
      </c>
      <c r="H456" s="27" t="n">
        <v>43619</v>
      </c>
      <c r="I456" s="25" t="s">
        <v>81</v>
      </c>
    </row>
    <row r="457" customFormat="false" ht="12.8" hidden="false" customHeight="false" outlineLevel="0" collapsed="false">
      <c r="A457" s="25" t="s">
        <v>257</v>
      </c>
      <c r="B457" s="26" t="n">
        <v>11.91</v>
      </c>
      <c r="C457" s="25" t="n">
        <v>0</v>
      </c>
      <c r="D457" s="25" t="n">
        <v>1</v>
      </c>
      <c r="E457" s="25" t="n">
        <v>0</v>
      </c>
      <c r="F457" s="28" t="n">
        <v>0</v>
      </c>
      <c r="G457" s="27" t="n">
        <v>43617</v>
      </c>
      <c r="H457" s="27" t="n">
        <v>43619</v>
      </c>
      <c r="I457" s="25" t="s">
        <v>81</v>
      </c>
    </row>
    <row r="458" customFormat="false" ht="12.8" hidden="false" customHeight="false" outlineLevel="0" collapsed="false">
      <c r="A458" s="25" t="s">
        <v>74</v>
      </c>
      <c r="B458" s="26" t="n">
        <v>3</v>
      </c>
      <c r="C458" s="25" t="n">
        <v>0</v>
      </c>
      <c r="D458" s="25" t="n">
        <v>1</v>
      </c>
      <c r="E458" s="25" t="n">
        <v>0</v>
      </c>
      <c r="F458" s="28" t="n">
        <v>0</v>
      </c>
      <c r="G458" s="27" t="n">
        <v>43617</v>
      </c>
      <c r="H458" s="27" t="n">
        <v>43620</v>
      </c>
      <c r="I458" s="25" t="s">
        <v>72</v>
      </c>
    </row>
    <row r="459" customFormat="false" ht="12.8" hidden="false" customHeight="false" outlineLevel="0" collapsed="false">
      <c r="A459" s="25" t="s">
        <v>112</v>
      </c>
      <c r="B459" s="26" t="n">
        <v>4.5</v>
      </c>
      <c r="C459" s="25" t="n">
        <v>0</v>
      </c>
      <c r="D459" s="25" t="n">
        <v>1</v>
      </c>
      <c r="E459" s="25" t="n">
        <v>0</v>
      </c>
      <c r="F459" s="28" t="n">
        <v>0</v>
      </c>
      <c r="G459" s="27" t="n">
        <v>43617</v>
      </c>
      <c r="H459" s="27" t="n">
        <v>43620</v>
      </c>
      <c r="I459" s="25" t="s">
        <v>72</v>
      </c>
    </row>
    <row r="460" customFormat="false" ht="12.8" hidden="false" customHeight="false" outlineLevel="0" collapsed="false">
      <c r="A460" s="25" t="s">
        <v>69</v>
      </c>
      <c r="B460" s="26" t="n">
        <v>50</v>
      </c>
      <c r="C460" s="25" t="n">
        <v>0</v>
      </c>
      <c r="D460" s="25" t="n">
        <v>1</v>
      </c>
      <c r="E460" s="25" t="n">
        <v>0</v>
      </c>
      <c r="F460" s="28" t="n">
        <v>0</v>
      </c>
      <c r="G460" s="27" t="n">
        <v>43617</v>
      </c>
      <c r="H460" s="27" t="n">
        <v>43620</v>
      </c>
      <c r="I460" s="25" t="s">
        <v>70</v>
      </c>
    </row>
    <row r="461" customFormat="false" ht="12.8" hidden="false" customHeight="false" outlineLevel="0" collapsed="false">
      <c r="A461" s="25" t="s">
        <v>258</v>
      </c>
      <c r="B461" s="26" t="n">
        <v>51</v>
      </c>
      <c r="C461" s="25" t="n">
        <v>0</v>
      </c>
      <c r="D461" s="25" t="n">
        <v>1</v>
      </c>
      <c r="E461" s="25" t="n">
        <v>0</v>
      </c>
      <c r="F461" s="28" t="n">
        <v>0</v>
      </c>
      <c r="G461" s="27" t="n">
        <v>43617</v>
      </c>
      <c r="H461" s="27" t="n">
        <v>43621</v>
      </c>
      <c r="I461" s="25" t="s">
        <v>84</v>
      </c>
    </row>
    <row r="462" customFormat="false" ht="12.8" hidden="false" customHeight="false" outlineLevel="0" collapsed="false">
      <c r="A462" s="25" t="s">
        <v>258</v>
      </c>
      <c r="B462" s="26" t="n">
        <v>28.2</v>
      </c>
      <c r="C462" s="25" t="n">
        <v>0</v>
      </c>
      <c r="D462" s="25" t="n">
        <v>1</v>
      </c>
      <c r="E462" s="25" t="n">
        <v>0</v>
      </c>
      <c r="F462" s="28" t="n">
        <v>0</v>
      </c>
      <c r="G462" s="27" t="n">
        <v>43617</v>
      </c>
      <c r="H462" s="27" t="n">
        <v>43621</v>
      </c>
      <c r="I462" s="25" t="s">
        <v>84</v>
      </c>
    </row>
    <row r="463" customFormat="false" ht="12.8" hidden="false" customHeight="false" outlineLevel="0" collapsed="false">
      <c r="A463" s="25" t="s">
        <v>127</v>
      </c>
      <c r="B463" s="26" t="n">
        <v>12.7</v>
      </c>
      <c r="C463" s="25" t="n">
        <v>0</v>
      </c>
      <c r="D463" s="25" t="n">
        <v>1</v>
      </c>
      <c r="E463" s="25" t="n">
        <v>0</v>
      </c>
      <c r="F463" s="28" t="n">
        <v>0</v>
      </c>
      <c r="G463" s="27" t="n">
        <v>43617</v>
      </c>
      <c r="H463" s="27" t="n">
        <v>43623</v>
      </c>
      <c r="I463" s="25" t="s">
        <v>72</v>
      </c>
    </row>
    <row r="464" customFormat="false" ht="12.8" hidden="false" customHeight="false" outlineLevel="0" collapsed="false">
      <c r="A464" s="25" t="s">
        <v>79</v>
      </c>
      <c r="B464" s="26" t="n">
        <v>61.97</v>
      </c>
      <c r="C464" s="25" t="n">
        <v>0</v>
      </c>
      <c r="D464" s="25" t="n">
        <v>1</v>
      </c>
      <c r="E464" s="25" t="n">
        <v>0</v>
      </c>
      <c r="F464" s="28" t="n">
        <v>0</v>
      </c>
      <c r="G464" s="27" t="n">
        <v>43617</v>
      </c>
      <c r="H464" s="27" t="n">
        <v>43626</v>
      </c>
      <c r="I464" s="25" t="s">
        <v>79</v>
      </c>
    </row>
    <row r="465" customFormat="false" ht="12.8" hidden="false" customHeight="false" outlineLevel="0" collapsed="false">
      <c r="A465" s="25" t="s">
        <v>73</v>
      </c>
      <c r="B465" s="26" t="n">
        <v>79.5</v>
      </c>
      <c r="C465" s="25" t="n">
        <v>0</v>
      </c>
      <c r="D465" s="25" t="n">
        <v>1</v>
      </c>
      <c r="E465" s="25" t="n">
        <v>0</v>
      </c>
      <c r="F465" s="28" t="n">
        <v>0</v>
      </c>
      <c r="G465" s="27" t="n">
        <v>43617</v>
      </c>
      <c r="H465" s="27" t="n">
        <v>43626</v>
      </c>
      <c r="I465" s="25" t="s">
        <v>73</v>
      </c>
    </row>
    <row r="466" customFormat="false" ht="12.8" hidden="false" customHeight="false" outlineLevel="0" collapsed="false">
      <c r="A466" s="25" t="s">
        <v>192</v>
      </c>
      <c r="B466" s="26" t="n">
        <v>18.5</v>
      </c>
      <c r="C466" s="25" t="n">
        <v>0</v>
      </c>
      <c r="D466" s="25" t="n">
        <v>1</v>
      </c>
      <c r="E466" s="25" t="n">
        <v>0</v>
      </c>
      <c r="F466" s="28" t="n">
        <v>0</v>
      </c>
      <c r="G466" s="27" t="n">
        <v>43617</v>
      </c>
      <c r="H466" s="27" t="n">
        <v>43626</v>
      </c>
      <c r="I466" s="25" t="s">
        <v>116</v>
      </c>
    </row>
    <row r="467" customFormat="false" ht="12.8" hidden="false" customHeight="false" outlineLevel="0" collapsed="false">
      <c r="A467" s="25" t="s">
        <v>84</v>
      </c>
      <c r="B467" s="26" t="n">
        <v>13.9</v>
      </c>
      <c r="C467" s="25" t="n">
        <v>0</v>
      </c>
      <c r="D467" s="25" t="n">
        <v>1</v>
      </c>
      <c r="E467" s="25" t="n">
        <v>0</v>
      </c>
      <c r="F467" s="28" t="n">
        <v>0</v>
      </c>
      <c r="G467" s="27" t="n">
        <v>43617</v>
      </c>
      <c r="H467" s="27" t="n">
        <v>43626</v>
      </c>
      <c r="I467" s="25" t="s">
        <v>84</v>
      </c>
    </row>
    <row r="468" customFormat="false" ht="12.8" hidden="false" customHeight="false" outlineLevel="0" collapsed="false">
      <c r="A468" s="25" t="s">
        <v>74</v>
      </c>
      <c r="B468" s="26" t="n">
        <v>2.99</v>
      </c>
      <c r="C468" s="25" t="n">
        <v>0</v>
      </c>
      <c r="D468" s="25" t="n">
        <v>1</v>
      </c>
      <c r="E468" s="25" t="n">
        <v>0</v>
      </c>
      <c r="F468" s="28" t="n">
        <v>0</v>
      </c>
      <c r="G468" s="27" t="n">
        <v>43617</v>
      </c>
      <c r="H468" s="27" t="n">
        <v>43626</v>
      </c>
      <c r="I468" s="25" t="s">
        <v>72</v>
      </c>
    </row>
    <row r="469" customFormat="false" ht="12.8" hidden="false" customHeight="false" outlineLevel="0" collapsed="false">
      <c r="A469" s="25" t="s">
        <v>82</v>
      </c>
      <c r="B469" s="26" t="n">
        <v>6</v>
      </c>
      <c r="C469" s="25" t="n">
        <v>0</v>
      </c>
      <c r="D469" s="25" t="n">
        <v>1</v>
      </c>
      <c r="E469" s="25" t="n">
        <v>0</v>
      </c>
      <c r="F469" s="28" t="n">
        <v>0</v>
      </c>
      <c r="G469" s="27" t="n">
        <v>43617</v>
      </c>
      <c r="H469" s="27" t="n">
        <v>43626</v>
      </c>
      <c r="I469" s="25" t="s">
        <v>72</v>
      </c>
    </row>
    <row r="470" customFormat="false" ht="12.8" hidden="false" customHeight="false" outlineLevel="0" collapsed="false">
      <c r="A470" s="25" t="s">
        <v>112</v>
      </c>
      <c r="B470" s="26" t="n">
        <v>5.5</v>
      </c>
      <c r="C470" s="25" t="n">
        <v>0</v>
      </c>
      <c r="D470" s="25" t="n">
        <v>1</v>
      </c>
      <c r="E470" s="25" t="n">
        <v>0</v>
      </c>
      <c r="F470" s="28" t="n">
        <v>0</v>
      </c>
      <c r="G470" s="27" t="n">
        <v>43617</v>
      </c>
      <c r="H470" s="27" t="n">
        <v>43626</v>
      </c>
      <c r="I470" s="25" t="s">
        <v>72</v>
      </c>
    </row>
    <row r="471" customFormat="false" ht="12.8" hidden="false" customHeight="false" outlineLevel="0" collapsed="false">
      <c r="A471" s="25" t="s">
        <v>259</v>
      </c>
      <c r="B471" s="26" t="n">
        <v>13.8</v>
      </c>
      <c r="C471" s="25" t="n">
        <v>0</v>
      </c>
      <c r="D471" s="25" t="n">
        <v>1</v>
      </c>
      <c r="E471" s="25" t="n">
        <v>0</v>
      </c>
      <c r="F471" s="28" t="n">
        <v>0</v>
      </c>
      <c r="G471" s="27" t="n">
        <v>43617</v>
      </c>
      <c r="H471" s="27" t="n">
        <v>43627</v>
      </c>
      <c r="I471" s="25" t="s">
        <v>73</v>
      </c>
    </row>
    <row r="472" customFormat="false" ht="12.8" hidden="false" customHeight="false" outlineLevel="0" collapsed="false">
      <c r="A472" s="25" t="s">
        <v>82</v>
      </c>
      <c r="B472" s="26" t="n">
        <v>4.5</v>
      </c>
      <c r="C472" s="25" t="n">
        <v>0</v>
      </c>
      <c r="D472" s="25" t="n">
        <v>1</v>
      </c>
      <c r="E472" s="25" t="n">
        <v>0</v>
      </c>
      <c r="F472" s="28" t="n">
        <v>0</v>
      </c>
      <c r="G472" s="27" t="n">
        <v>43617</v>
      </c>
      <c r="H472" s="27" t="n">
        <v>43627</v>
      </c>
      <c r="I472" s="25" t="s">
        <v>72</v>
      </c>
    </row>
    <row r="473" customFormat="false" ht="12.8" hidden="false" customHeight="false" outlineLevel="0" collapsed="false">
      <c r="A473" s="25" t="s">
        <v>112</v>
      </c>
      <c r="B473" s="26" t="n">
        <v>4.5</v>
      </c>
      <c r="C473" s="25" t="n">
        <v>0</v>
      </c>
      <c r="D473" s="25" t="n">
        <v>1</v>
      </c>
      <c r="E473" s="25" t="n">
        <v>0</v>
      </c>
      <c r="F473" s="28" t="n">
        <v>0</v>
      </c>
      <c r="G473" s="27" t="n">
        <v>43617</v>
      </c>
      <c r="H473" s="27" t="n">
        <v>43627</v>
      </c>
      <c r="I473" s="25" t="s">
        <v>72</v>
      </c>
    </row>
    <row r="474" customFormat="false" ht="12.8" hidden="false" customHeight="false" outlineLevel="0" collapsed="false">
      <c r="A474" s="25" t="s">
        <v>118</v>
      </c>
      <c r="B474" s="26" t="n">
        <v>9</v>
      </c>
      <c r="C474" s="25" t="n">
        <v>0</v>
      </c>
      <c r="D474" s="25" t="n">
        <v>1</v>
      </c>
      <c r="E474" s="25" t="n">
        <v>0</v>
      </c>
      <c r="F474" s="28" t="n">
        <v>0</v>
      </c>
      <c r="G474" s="27" t="n">
        <v>43617</v>
      </c>
      <c r="H474" s="27" t="n">
        <v>43627</v>
      </c>
      <c r="I474" s="25" t="s">
        <v>72</v>
      </c>
    </row>
    <row r="475" customFormat="false" ht="12.8" hidden="false" customHeight="false" outlineLevel="0" collapsed="false">
      <c r="A475" s="25" t="s">
        <v>245</v>
      </c>
      <c r="B475" s="26" t="n">
        <v>5</v>
      </c>
      <c r="C475" s="25" t="n">
        <v>0</v>
      </c>
      <c r="D475" s="25" t="n">
        <v>1</v>
      </c>
      <c r="E475" s="25" t="n">
        <v>0</v>
      </c>
      <c r="F475" s="28" t="n">
        <v>0</v>
      </c>
      <c r="G475" s="27" t="n">
        <v>43617</v>
      </c>
      <c r="H475" s="27" t="n">
        <v>43627</v>
      </c>
      <c r="I475" s="25" t="s">
        <v>72</v>
      </c>
    </row>
    <row r="476" customFormat="false" ht="12.8" hidden="false" customHeight="false" outlineLevel="0" collapsed="false">
      <c r="A476" s="25" t="s">
        <v>245</v>
      </c>
      <c r="B476" s="26" t="n">
        <v>5</v>
      </c>
      <c r="C476" s="25" t="n">
        <v>0</v>
      </c>
      <c r="D476" s="25" t="n">
        <v>1</v>
      </c>
      <c r="E476" s="25" t="n">
        <v>0</v>
      </c>
      <c r="F476" s="28" t="n">
        <v>0</v>
      </c>
      <c r="G476" s="27" t="n">
        <v>43617</v>
      </c>
      <c r="H476" s="27" t="n">
        <v>43628</v>
      </c>
      <c r="I476" s="25" t="s">
        <v>72</v>
      </c>
    </row>
    <row r="477" customFormat="false" ht="12.8" hidden="false" customHeight="false" outlineLevel="0" collapsed="false">
      <c r="A477" s="25" t="s">
        <v>120</v>
      </c>
      <c r="B477" s="26" t="n">
        <v>3.5</v>
      </c>
      <c r="C477" s="25" t="n">
        <v>0</v>
      </c>
      <c r="D477" s="25" t="n">
        <v>1</v>
      </c>
      <c r="E477" s="25" t="n">
        <v>0</v>
      </c>
      <c r="F477" s="28" t="n">
        <v>0</v>
      </c>
      <c r="G477" s="27" t="n">
        <v>43617</v>
      </c>
      <c r="H477" s="27" t="n">
        <v>43628</v>
      </c>
      <c r="I477" s="25" t="s">
        <v>72</v>
      </c>
    </row>
    <row r="478" customFormat="false" ht="12.8" hidden="false" customHeight="false" outlineLevel="0" collapsed="false">
      <c r="A478" s="25" t="s">
        <v>82</v>
      </c>
      <c r="B478" s="26" t="n">
        <v>5</v>
      </c>
      <c r="C478" s="25" t="n">
        <v>0</v>
      </c>
      <c r="D478" s="25" t="n">
        <v>1</v>
      </c>
      <c r="E478" s="25" t="n">
        <v>0</v>
      </c>
      <c r="F478" s="28" t="n">
        <v>0</v>
      </c>
      <c r="G478" s="27" t="n">
        <v>43617</v>
      </c>
      <c r="H478" s="27" t="n">
        <v>43628</v>
      </c>
      <c r="I478" s="25" t="s">
        <v>72</v>
      </c>
    </row>
    <row r="479" customFormat="false" ht="12.8" hidden="false" customHeight="false" outlineLevel="0" collapsed="false">
      <c r="A479" s="25" t="s">
        <v>74</v>
      </c>
      <c r="B479" s="26" t="n">
        <v>2.99</v>
      </c>
      <c r="C479" s="25" t="n">
        <v>0</v>
      </c>
      <c r="D479" s="25" t="n">
        <v>1</v>
      </c>
      <c r="E479" s="25" t="n">
        <v>0</v>
      </c>
      <c r="F479" s="28" t="n">
        <v>0</v>
      </c>
      <c r="G479" s="27" t="n">
        <v>43617</v>
      </c>
      <c r="H479" s="27" t="n">
        <v>43629</v>
      </c>
      <c r="I479" s="25" t="s">
        <v>72</v>
      </c>
    </row>
    <row r="480" customFormat="false" ht="12.8" hidden="false" customHeight="false" outlineLevel="0" collapsed="false">
      <c r="A480" s="25" t="s">
        <v>82</v>
      </c>
      <c r="B480" s="26" t="n">
        <v>11.5</v>
      </c>
      <c r="C480" s="25" t="n">
        <v>0</v>
      </c>
      <c r="D480" s="25" t="n">
        <v>1</v>
      </c>
      <c r="E480" s="25" t="n">
        <v>0</v>
      </c>
      <c r="F480" s="28" t="n">
        <v>0</v>
      </c>
      <c r="G480" s="27" t="n">
        <v>43617</v>
      </c>
      <c r="H480" s="27" t="n">
        <v>43629</v>
      </c>
      <c r="I480" s="25" t="s">
        <v>72</v>
      </c>
    </row>
    <row r="481" customFormat="false" ht="12.8" hidden="false" customHeight="false" outlineLevel="0" collapsed="false">
      <c r="A481" s="25" t="s">
        <v>112</v>
      </c>
      <c r="B481" s="26" t="n">
        <v>4.5</v>
      </c>
      <c r="C481" s="25" t="n">
        <v>0</v>
      </c>
      <c r="D481" s="25" t="n">
        <v>1</v>
      </c>
      <c r="E481" s="25" t="n">
        <v>0</v>
      </c>
      <c r="F481" s="28" t="n">
        <v>0</v>
      </c>
      <c r="G481" s="27" t="n">
        <v>43617</v>
      </c>
      <c r="H481" s="27" t="n">
        <v>43629</v>
      </c>
      <c r="I481" s="25" t="s">
        <v>72</v>
      </c>
    </row>
    <row r="482" customFormat="false" ht="12.8" hidden="false" customHeight="false" outlineLevel="0" collapsed="false">
      <c r="A482" s="25" t="s">
        <v>85</v>
      </c>
      <c r="B482" s="26" t="n">
        <v>100</v>
      </c>
      <c r="C482" s="25" t="n">
        <v>0</v>
      </c>
      <c r="D482" s="25" t="n">
        <v>1</v>
      </c>
      <c r="E482" s="25" t="n">
        <v>0</v>
      </c>
      <c r="F482" s="28" t="n">
        <v>0</v>
      </c>
      <c r="G482" s="27" t="n">
        <v>43617</v>
      </c>
      <c r="H482" s="27" t="n">
        <v>43633</v>
      </c>
      <c r="I482" s="25" t="s">
        <v>85</v>
      </c>
    </row>
    <row r="483" customFormat="false" ht="12.8" hidden="false" customHeight="false" outlineLevel="0" collapsed="false">
      <c r="A483" s="25" t="s">
        <v>79</v>
      </c>
      <c r="B483" s="26" t="n">
        <v>207.98</v>
      </c>
      <c r="C483" s="25" t="n">
        <v>0</v>
      </c>
      <c r="D483" s="25" t="n">
        <v>1</v>
      </c>
      <c r="E483" s="25" t="n">
        <v>0</v>
      </c>
      <c r="F483" s="28" t="n">
        <v>0</v>
      </c>
      <c r="G483" s="27" t="n">
        <v>43617</v>
      </c>
      <c r="H483" s="27" t="n">
        <v>43633</v>
      </c>
      <c r="I483" s="25" t="s">
        <v>79</v>
      </c>
    </row>
    <row r="484" customFormat="false" ht="12.8" hidden="false" customHeight="false" outlineLevel="0" collapsed="false">
      <c r="A484" s="25" t="s">
        <v>94</v>
      </c>
      <c r="B484" s="26" t="n">
        <v>21.18</v>
      </c>
      <c r="C484" s="25" t="n">
        <v>0</v>
      </c>
      <c r="D484" s="25" t="n">
        <v>1</v>
      </c>
      <c r="E484" s="25" t="n">
        <v>0</v>
      </c>
      <c r="F484" s="28" t="n">
        <v>0</v>
      </c>
      <c r="G484" s="27" t="n">
        <v>43617</v>
      </c>
      <c r="H484" s="27" t="n">
        <v>43633</v>
      </c>
      <c r="I484" s="25" t="s">
        <v>84</v>
      </c>
    </row>
    <row r="485" customFormat="false" ht="12.8" hidden="false" customHeight="false" outlineLevel="0" collapsed="false">
      <c r="A485" s="25" t="s">
        <v>102</v>
      </c>
      <c r="B485" s="26" t="n">
        <v>10</v>
      </c>
      <c r="C485" s="25" t="n">
        <v>0</v>
      </c>
      <c r="D485" s="25" t="n">
        <v>1</v>
      </c>
      <c r="E485" s="25" t="n">
        <v>0</v>
      </c>
      <c r="F485" s="28" t="n">
        <v>0</v>
      </c>
      <c r="G485" s="27" t="n">
        <v>43617</v>
      </c>
      <c r="H485" s="27" t="n">
        <v>43633</v>
      </c>
      <c r="I485" s="25" t="s">
        <v>102</v>
      </c>
    </row>
    <row r="486" customFormat="false" ht="12.8" hidden="false" customHeight="false" outlineLevel="0" collapsed="false">
      <c r="A486" s="25" t="s">
        <v>116</v>
      </c>
      <c r="B486" s="26" t="n">
        <v>67.72</v>
      </c>
      <c r="C486" s="25" t="n">
        <v>0</v>
      </c>
      <c r="D486" s="25" t="n">
        <v>1</v>
      </c>
      <c r="E486" s="25" t="n">
        <v>0</v>
      </c>
      <c r="F486" s="28" t="n">
        <v>0</v>
      </c>
      <c r="G486" s="27" t="n">
        <v>43617</v>
      </c>
      <c r="H486" s="27" t="n">
        <v>43633</v>
      </c>
      <c r="I486" s="25" t="s">
        <v>116</v>
      </c>
    </row>
    <row r="487" customFormat="false" ht="12.8" hidden="false" customHeight="false" outlineLevel="0" collapsed="false">
      <c r="A487" s="25" t="s">
        <v>103</v>
      </c>
      <c r="B487" s="26" t="n">
        <v>29.4</v>
      </c>
      <c r="C487" s="25" t="n">
        <v>0</v>
      </c>
      <c r="D487" s="25" t="n">
        <v>1</v>
      </c>
      <c r="E487" s="25" t="n">
        <v>0</v>
      </c>
      <c r="F487" s="28" t="n">
        <v>0</v>
      </c>
      <c r="G487" s="27" t="n">
        <v>43617</v>
      </c>
      <c r="H487" s="27" t="n">
        <v>43633</v>
      </c>
      <c r="I487" s="25" t="s">
        <v>72</v>
      </c>
    </row>
    <row r="488" customFormat="false" ht="12.8" hidden="false" customHeight="false" outlineLevel="0" collapsed="false">
      <c r="A488" s="25" t="s">
        <v>127</v>
      </c>
      <c r="B488" s="26" t="n">
        <v>5</v>
      </c>
      <c r="C488" s="25" t="n">
        <v>0</v>
      </c>
      <c r="D488" s="25" t="n">
        <v>1</v>
      </c>
      <c r="E488" s="25" t="n">
        <v>0</v>
      </c>
      <c r="F488" s="28" t="n">
        <v>0</v>
      </c>
      <c r="G488" s="27" t="n">
        <v>43617</v>
      </c>
      <c r="H488" s="27" t="n">
        <v>43635</v>
      </c>
      <c r="I488" s="25" t="s">
        <v>72</v>
      </c>
    </row>
    <row r="489" customFormat="false" ht="12.8" hidden="false" customHeight="false" outlineLevel="0" collapsed="false">
      <c r="A489" s="25" t="s">
        <v>260</v>
      </c>
      <c r="B489" s="26" t="n">
        <v>14</v>
      </c>
      <c r="C489" s="25" t="n">
        <v>0</v>
      </c>
      <c r="D489" s="25" t="n">
        <v>1</v>
      </c>
      <c r="E489" s="25" t="n">
        <v>0</v>
      </c>
      <c r="F489" s="28" t="n">
        <v>0</v>
      </c>
      <c r="G489" s="27" t="n">
        <v>43617</v>
      </c>
      <c r="H489" s="27" t="n">
        <v>43636</v>
      </c>
      <c r="I489" s="25" t="s">
        <v>79</v>
      </c>
    </row>
    <row r="490" customFormat="false" ht="12.8" hidden="false" customHeight="false" outlineLevel="0" collapsed="false">
      <c r="A490" s="25" t="s">
        <v>201</v>
      </c>
      <c r="B490" s="26" t="n">
        <v>30</v>
      </c>
      <c r="C490" s="25" t="n">
        <v>0</v>
      </c>
      <c r="D490" s="25" t="n">
        <v>1</v>
      </c>
      <c r="E490" s="25" t="n">
        <v>0</v>
      </c>
      <c r="F490" s="28" t="n">
        <v>0</v>
      </c>
      <c r="G490" s="27" t="n">
        <v>43617</v>
      </c>
      <c r="H490" s="27" t="n">
        <v>43636</v>
      </c>
      <c r="I490" s="25" t="s">
        <v>72</v>
      </c>
    </row>
    <row r="491" customFormat="false" ht="12.8" hidden="false" customHeight="false" outlineLevel="0" collapsed="false">
      <c r="A491" s="25" t="s">
        <v>240</v>
      </c>
      <c r="B491" s="26" t="n">
        <v>16</v>
      </c>
      <c r="C491" s="25" t="n">
        <v>0</v>
      </c>
      <c r="D491" s="25" t="n">
        <v>1</v>
      </c>
      <c r="E491" s="25" t="n">
        <v>0</v>
      </c>
      <c r="F491" s="28" t="n">
        <v>0</v>
      </c>
      <c r="G491" s="27" t="n">
        <v>43617</v>
      </c>
      <c r="H491" s="27" t="n">
        <v>43636</v>
      </c>
      <c r="I491" s="25" t="s">
        <v>72</v>
      </c>
    </row>
    <row r="492" customFormat="false" ht="12.8" hidden="false" customHeight="false" outlineLevel="0" collapsed="false">
      <c r="A492" s="25" t="s">
        <v>260</v>
      </c>
      <c r="B492" s="26" t="n">
        <v>16</v>
      </c>
      <c r="C492" s="25" t="n">
        <v>0</v>
      </c>
      <c r="D492" s="25" t="n">
        <v>1</v>
      </c>
      <c r="E492" s="25" t="n">
        <v>0</v>
      </c>
      <c r="F492" s="28" t="n">
        <v>0</v>
      </c>
      <c r="G492" s="27" t="n">
        <v>43617</v>
      </c>
      <c r="H492" s="27" t="n">
        <v>43637</v>
      </c>
      <c r="I492" s="25" t="s">
        <v>79</v>
      </c>
    </row>
    <row r="493" customFormat="false" ht="12.8" hidden="false" customHeight="false" outlineLevel="0" collapsed="false">
      <c r="A493" s="25" t="s">
        <v>260</v>
      </c>
      <c r="B493" s="26" t="n">
        <v>5</v>
      </c>
      <c r="C493" s="25" t="n">
        <v>0</v>
      </c>
      <c r="D493" s="25" t="n">
        <v>1</v>
      </c>
      <c r="E493" s="25" t="n">
        <v>0</v>
      </c>
      <c r="F493" s="28" t="n">
        <v>0</v>
      </c>
      <c r="G493" s="27" t="n">
        <v>43617</v>
      </c>
      <c r="H493" s="27" t="n">
        <v>43637</v>
      </c>
      <c r="I493" s="25" t="s">
        <v>79</v>
      </c>
    </row>
    <row r="494" customFormat="false" ht="12.8" hidden="false" customHeight="false" outlineLevel="0" collapsed="false">
      <c r="A494" s="25" t="s">
        <v>260</v>
      </c>
      <c r="B494" s="26" t="n">
        <v>2.8</v>
      </c>
      <c r="C494" s="25" t="n">
        <v>0</v>
      </c>
      <c r="D494" s="25" t="n">
        <v>1</v>
      </c>
      <c r="E494" s="25" t="n">
        <v>0</v>
      </c>
      <c r="F494" s="28" t="n">
        <v>0</v>
      </c>
      <c r="G494" s="27" t="n">
        <v>43617</v>
      </c>
      <c r="H494" s="27" t="n">
        <v>43637</v>
      </c>
      <c r="I494" s="25" t="s">
        <v>79</v>
      </c>
    </row>
    <row r="495" customFormat="false" ht="12.8" hidden="false" customHeight="false" outlineLevel="0" collapsed="false">
      <c r="A495" s="25" t="s">
        <v>105</v>
      </c>
      <c r="B495" s="26" t="n">
        <v>85.48</v>
      </c>
      <c r="C495" s="25" t="n">
        <v>0</v>
      </c>
      <c r="D495" s="25" t="n">
        <v>1</v>
      </c>
      <c r="E495" s="25" t="n">
        <v>0</v>
      </c>
      <c r="F495" s="28" t="n">
        <v>0</v>
      </c>
      <c r="G495" s="27" t="n">
        <v>43617</v>
      </c>
      <c r="H495" s="27" t="n">
        <v>43637</v>
      </c>
      <c r="I495" s="25" t="s">
        <v>106</v>
      </c>
    </row>
    <row r="496" customFormat="false" ht="12.8" hidden="false" customHeight="false" outlineLevel="0" collapsed="false">
      <c r="A496" s="25" t="s">
        <v>158</v>
      </c>
      <c r="B496" s="26" t="n">
        <v>13.8</v>
      </c>
      <c r="C496" s="25" t="n">
        <v>0</v>
      </c>
      <c r="D496" s="25" t="n">
        <v>1</v>
      </c>
      <c r="E496" s="25" t="n">
        <v>0</v>
      </c>
      <c r="F496" s="28" t="n">
        <v>0</v>
      </c>
      <c r="G496" s="27" t="n">
        <v>43617</v>
      </c>
      <c r="H496" s="27" t="n">
        <v>43637</v>
      </c>
      <c r="I496" s="25" t="s">
        <v>72</v>
      </c>
    </row>
    <row r="497" customFormat="false" ht="12.8" hidden="false" customHeight="false" outlineLevel="0" collapsed="false">
      <c r="A497" s="25" t="s">
        <v>79</v>
      </c>
      <c r="B497" s="26" t="n">
        <v>178.39</v>
      </c>
      <c r="C497" s="25" t="n">
        <v>0</v>
      </c>
      <c r="D497" s="25" t="n">
        <v>1</v>
      </c>
      <c r="E497" s="25" t="n">
        <v>0</v>
      </c>
      <c r="F497" s="28" t="n">
        <v>0</v>
      </c>
      <c r="G497" s="27" t="n">
        <v>43617</v>
      </c>
      <c r="H497" s="27" t="n">
        <v>43640</v>
      </c>
      <c r="I497" s="25" t="s">
        <v>79</v>
      </c>
    </row>
    <row r="498" customFormat="false" ht="12.8" hidden="false" customHeight="false" outlineLevel="0" collapsed="false">
      <c r="A498" s="25" t="s">
        <v>84</v>
      </c>
      <c r="B498" s="26" t="n">
        <v>4.48</v>
      </c>
      <c r="C498" s="25" t="n">
        <v>0</v>
      </c>
      <c r="D498" s="25" t="n">
        <v>1</v>
      </c>
      <c r="E498" s="25" t="n">
        <v>0</v>
      </c>
      <c r="F498" s="28" t="n">
        <v>0</v>
      </c>
      <c r="G498" s="27" t="n">
        <v>43617</v>
      </c>
      <c r="H498" s="27" t="n">
        <v>43640</v>
      </c>
      <c r="I498" s="25" t="s">
        <v>84</v>
      </c>
    </row>
    <row r="499" customFormat="false" ht="12.8" hidden="false" customHeight="false" outlineLevel="0" collapsed="false">
      <c r="A499" s="25" t="s">
        <v>73</v>
      </c>
      <c r="B499" s="26" t="n">
        <v>31.8</v>
      </c>
      <c r="C499" s="25" t="n">
        <v>0</v>
      </c>
      <c r="D499" s="25" t="n">
        <v>1</v>
      </c>
      <c r="E499" s="25" t="n">
        <v>0</v>
      </c>
      <c r="F499" s="28" t="n">
        <v>0</v>
      </c>
      <c r="G499" s="27" t="n">
        <v>43617</v>
      </c>
      <c r="H499" s="27" t="n">
        <v>43640</v>
      </c>
      <c r="I499" s="25" t="s">
        <v>73</v>
      </c>
    </row>
    <row r="500" customFormat="false" ht="12.8" hidden="false" customHeight="false" outlineLevel="0" collapsed="false">
      <c r="A500" s="25" t="s">
        <v>118</v>
      </c>
      <c r="B500" s="26" t="n">
        <v>11.1</v>
      </c>
      <c r="C500" s="25" t="n">
        <v>0</v>
      </c>
      <c r="D500" s="25" t="n">
        <v>1</v>
      </c>
      <c r="E500" s="25" t="n">
        <v>0</v>
      </c>
      <c r="F500" s="28" t="n">
        <v>0</v>
      </c>
      <c r="G500" s="27" t="n">
        <v>43617</v>
      </c>
      <c r="H500" s="27" t="n">
        <v>43640</v>
      </c>
      <c r="I500" s="25" t="s">
        <v>72</v>
      </c>
    </row>
    <row r="501" customFormat="false" ht="12.8" hidden="false" customHeight="false" outlineLevel="0" collapsed="false">
      <c r="A501" s="25" t="s">
        <v>261</v>
      </c>
      <c r="B501" s="26" t="n">
        <v>26.9</v>
      </c>
      <c r="C501" s="25" t="n">
        <v>0</v>
      </c>
      <c r="D501" s="25" t="n">
        <v>1</v>
      </c>
      <c r="E501" s="25" t="n">
        <v>0</v>
      </c>
      <c r="F501" s="28" t="n">
        <v>0</v>
      </c>
      <c r="G501" s="27" t="n">
        <v>43617</v>
      </c>
      <c r="H501" s="27" t="n">
        <v>43640</v>
      </c>
      <c r="I501" s="25" t="s">
        <v>81</v>
      </c>
    </row>
    <row r="502" customFormat="false" ht="12.8" hidden="false" customHeight="false" outlineLevel="0" collapsed="false">
      <c r="A502" s="25" t="s">
        <v>260</v>
      </c>
      <c r="B502" s="26" t="n">
        <v>2.5</v>
      </c>
      <c r="C502" s="25" t="n">
        <v>0</v>
      </c>
      <c r="D502" s="25" t="n">
        <v>1</v>
      </c>
      <c r="E502" s="25" t="n">
        <v>0</v>
      </c>
      <c r="F502" s="28" t="n">
        <v>0</v>
      </c>
      <c r="G502" s="27" t="n">
        <v>43617</v>
      </c>
      <c r="H502" s="27" t="n">
        <v>43640</v>
      </c>
      <c r="I502" s="25" t="s">
        <v>79</v>
      </c>
    </row>
    <row r="503" customFormat="false" ht="12.8" hidden="false" customHeight="false" outlineLevel="0" collapsed="false">
      <c r="A503" s="25" t="s">
        <v>260</v>
      </c>
      <c r="B503" s="26" t="n">
        <v>4</v>
      </c>
      <c r="C503" s="25" t="n">
        <v>0</v>
      </c>
      <c r="D503" s="25" t="n">
        <v>1</v>
      </c>
      <c r="E503" s="25" t="n">
        <v>0</v>
      </c>
      <c r="F503" s="28" t="n">
        <v>0</v>
      </c>
      <c r="G503" s="27" t="n">
        <v>43617</v>
      </c>
      <c r="H503" s="27" t="n">
        <v>43640</v>
      </c>
      <c r="I503" s="25" t="s">
        <v>79</v>
      </c>
    </row>
    <row r="504" customFormat="false" ht="12.8" hidden="false" customHeight="false" outlineLevel="0" collapsed="false">
      <c r="A504" s="25" t="s">
        <v>245</v>
      </c>
      <c r="B504" s="26" t="n">
        <v>10</v>
      </c>
      <c r="C504" s="25" t="n">
        <v>0</v>
      </c>
      <c r="D504" s="25" t="n">
        <v>1</v>
      </c>
      <c r="E504" s="25" t="n">
        <v>0</v>
      </c>
      <c r="F504" s="28" t="n">
        <v>0</v>
      </c>
      <c r="G504" s="27" t="n">
        <v>43617</v>
      </c>
      <c r="H504" s="27" t="n">
        <v>43640</v>
      </c>
      <c r="I504" s="25" t="s">
        <v>72</v>
      </c>
    </row>
    <row r="505" customFormat="false" ht="12.8" hidden="false" customHeight="false" outlineLevel="0" collapsed="false">
      <c r="A505" s="25" t="s">
        <v>116</v>
      </c>
      <c r="B505" s="26" t="n">
        <v>37.03</v>
      </c>
      <c r="C505" s="25" t="n">
        <v>0</v>
      </c>
      <c r="D505" s="25" t="n">
        <v>1</v>
      </c>
      <c r="E505" s="25" t="n">
        <v>0</v>
      </c>
      <c r="F505" s="28" t="n">
        <v>0</v>
      </c>
      <c r="G505" s="27" t="n">
        <v>43617</v>
      </c>
      <c r="H505" s="27" t="n">
        <v>43640</v>
      </c>
      <c r="I505" s="25" t="s">
        <v>116</v>
      </c>
    </row>
    <row r="506" customFormat="false" ht="12.8" hidden="false" customHeight="false" outlineLevel="0" collapsed="false">
      <c r="A506" s="25" t="s">
        <v>153</v>
      </c>
      <c r="B506" s="26" t="n">
        <v>50</v>
      </c>
      <c r="C506" s="25" t="n">
        <v>0</v>
      </c>
      <c r="D506" s="25" t="n">
        <v>1</v>
      </c>
      <c r="E506" s="25" t="n">
        <v>0</v>
      </c>
      <c r="F506" s="28" t="n">
        <v>0</v>
      </c>
      <c r="G506" s="27" t="n">
        <v>43617</v>
      </c>
      <c r="H506" s="27" t="n">
        <v>43640</v>
      </c>
      <c r="I506" s="25" t="s">
        <v>72</v>
      </c>
    </row>
    <row r="507" customFormat="false" ht="12.8" hidden="false" customHeight="false" outlineLevel="0" collapsed="false">
      <c r="A507" s="25" t="s">
        <v>262</v>
      </c>
      <c r="B507" s="26" t="n">
        <v>100</v>
      </c>
      <c r="C507" s="25" t="n">
        <v>0</v>
      </c>
      <c r="D507" s="25" t="n">
        <v>1</v>
      </c>
      <c r="E507" s="25" t="n">
        <v>0</v>
      </c>
      <c r="F507" s="28" t="n">
        <v>0</v>
      </c>
      <c r="G507" s="27" t="n">
        <v>43617</v>
      </c>
      <c r="H507" s="27" t="n">
        <v>43642</v>
      </c>
      <c r="I507" s="25" t="s">
        <v>81</v>
      </c>
    </row>
    <row r="508" customFormat="false" ht="12.8" hidden="false" customHeight="false" outlineLevel="0" collapsed="false">
      <c r="A508" s="25" t="s">
        <v>79</v>
      </c>
      <c r="B508" s="26" t="n">
        <v>59.48</v>
      </c>
      <c r="C508" s="25" t="n">
        <v>0</v>
      </c>
      <c r="D508" s="25" t="n">
        <v>1</v>
      </c>
      <c r="E508" s="25" t="n">
        <v>0</v>
      </c>
      <c r="F508" s="28" t="n">
        <v>0</v>
      </c>
      <c r="G508" s="27" t="n">
        <v>43617</v>
      </c>
      <c r="H508" s="27" t="n">
        <v>43642</v>
      </c>
      <c r="I508" s="25" t="s">
        <v>79</v>
      </c>
    </row>
    <row r="509" customFormat="false" ht="12.8" hidden="false" customHeight="false" outlineLevel="0" collapsed="false">
      <c r="A509" s="25" t="s">
        <v>263</v>
      </c>
      <c r="B509" s="26" t="n">
        <v>123.4</v>
      </c>
      <c r="C509" s="25" t="n">
        <v>0</v>
      </c>
      <c r="D509" s="25" t="n">
        <v>1</v>
      </c>
      <c r="E509" s="25" t="n">
        <v>0</v>
      </c>
      <c r="F509" s="28" t="n">
        <v>0</v>
      </c>
      <c r="G509" s="27" t="n">
        <v>43617</v>
      </c>
      <c r="H509" s="27" t="n">
        <v>43642</v>
      </c>
      <c r="I509" s="25" t="s">
        <v>138</v>
      </c>
    </row>
    <row r="510" customFormat="false" ht="12.8" hidden="false" customHeight="false" outlineLevel="0" collapsed="false">
      <c r="A510" s="25" t="s">
        <v>264</v>
      </c>
      <c r="B510" s="26" t="n">
        <v>40</v>
      </c>
      <c r="C510" s="25" t="n">
        <v>0</v>
      </c>
      <c r="D510" s="25" t="n">
        <v>1</v>
      </c>
      <c r="E510" s="25" t="n">
        <v>0</v>
      </c>
      <c r="F510" s="28" t="n">
        <v>0</v>
      </c>
      <c r="G510" s="27" t="n">
        <v>43617</v>
      </c>
      <c r="H510" s="27" t="n">
        <v>43644</v>
      </c>
      <c r="I510" s="25" t="s">
        <v>81</v>
      </c>
    </row>
    <row r="511" customFormat="false" ht="12.8" hidden="false" customHeight="false" outlineLevel="0" collapsed="false">
      <c r="A511" s="25" t="s">
        <v>264</v>
      </c>
      <c r="B511" s="26" t="n">
        <v>40</v>
      </c>
      <c r="C511" s="25" t="n">
        <v>0</v>
      </c>
      <c r="D511" s="25" t="n">
        <v>1</v>
      </c>
      <c r="E511" s="25" t="n">
        <v>0</v>
      </c>
      <c r="F511" s="28" t="n">
        <v>0</v>
      </c>
      <c r="G511" s="27" t="n">
        <v>43617</v>
      </c>
      <c r="H511" s="27" t="n">
        <v>43644</v>
      </c>
      <c r="I511" s="25" t="s">
        <v>81</v>
      </c>
    </row>
    <row r="512" customFormat="false" ht="12.8" hidden="false" customHeight="false" outlineLevel="0" collapsed="false">
      <c r="A512" s="25" t="s">
        <v>260</v>
      </c>
      <c r="B512" s="26" t="n">
        <v>10.5</v>
      </c>
      <c r="C512" s="25" t="n">
        <v>0</v>
      </c>
      <c r="D512" s="25" t="n">
        <v>1</v>
      </c>
      <c r="E512" s="25" t="n">
        <v>0</v>
      </c>
      <c r="F512" s="28" t="n">
        <v>0</v>
      </c>
      <c r="G512" s="27" t="n">
        <v>43617</v>
      </c>
      <c r="H512" s="27" t="n">
        <v>43644</v>
      </c>
      <c r="I512" s="25" t="s">
        <v>79</v>
      </c>
    </row>
    <row r="513" customFormat="false" ht="12.8" hidden="false" customHeight="false" outlineLevel="0" collapsed="false">
      <c r="A513" s="8" t="s">
        <v>265</v>
      </c>
      <c r="B513" s="23" t="n">
        <v>0</v>
      </c>
      <c r="C513" s="8" t="n">
        <v>1</v>
      </c>
      <c r="D513" s="8" t="n">
        <v>0</v>
      </c>
      <c r="E513" s="8" t="n">
        <v>1</v>
      </c>
      <c r="F513" s="28" t="n">
        <v>0</v>
      </c>
      <c r="G513" s="9" t="n">
        <v>43647</v>
      </c>
      <c r="H513" s="47"/>
      <c r="I513" s="8" t="s">
        <v>106</v>
      </c>
      <c r="J513" s="48" t="n">
        <v>1124.71</v>
      </c>
    </row>
    <row r="514" customFormat="false" ht="12.8" hidden="false" customHeight="false" outlineLevel="0" collapsed="false">
      <c r="A514" s="8" t="s">
        <v>266</v>
      </c>
      <c r="B514" s="23" t="n">
        <v>0</v>
      </c>
      <c r="C514" s="8" t="n">
        <v>1</v>
      </c>
      <c r="D514" s="8" t="n">
        <v>0</v>
      </c>
      <c r="E514" s="8" t="n">
        <v>1</v>
      </c>
      <c r="F514" s="28" t="n">
        <v>0</v>
      </c>
      <c r="G514" s="9" t="n">
        <v>43647</v>
      </c>
      <c r="H514" s="47"/>
      <c r="I514" s="8" t="s">
        <v>106</v>
      </c>
      <c r="J514" s="48" t="n">
        <v>16.21</v>
      </c>
    </row>
    <row r="515" customFormat="false" ht="12.8" hidden="false" customHeight="false" outlineLevel="0" collapsed="false">
      <c r="A515" s="8" t="s">
        <v>267</v>
      </c>
      <c r="B515" s="23" t="n">
        <v>0</v>
      </c>
      <c r="C515" s="8" t="n">
        <v>1</v>
      </c>
      <c r="D515" s="8" t="n">
        <v>0</v>
      </c>
      <c r="E515" s="8" t="n">
        <v>1</v>
      </c>
      <c r="F515" s="28" t="n">
        <v>0</v>
      </c>
      <c r="G515" s="9" t="n">
        <v>43647</v>
      </c>
      <c r="H515" s="47"/>
      <c r="I515" s="8" t="s">
        <v>106</v>
      </c>
      <c r="J515" s="48" t="n">
        <v>90.2</v>
      </c>
    </row>
    <row r="516" customFormat="false" ht="12.8" hidden="false" customHeight="false" outlineLevel="0" collapsed="false">
      <c r="A516" s="8" t="s">
        <v>57</v>
      </c>
      <c r="B516" s="37" t="n">
        <v>76.9</v>
      </c>
      <c r="C516" s="8" t="n">
        <v>1</v>
      </c>
      <c r="D516" s="8" t="n">
        <v>0</v>
      </c>
      <c r="E516" s="8" t="n">
        <v>0</v>
      </c>
      <c r="F516" s="28" t="n">
        <v>0</v>
      </c>
      <c r="G516" s="9" t="n">
        <v>43647</v>
      </c>
      <c r="H516" s="9" t="n">
        <v>43648</v>
      </c>
      <c r="I516" s="8" t="s">
        <v>58</v>
      </c>
    </row>
    <row r="517" customFormat="false" ht="12.8" hidden="false" customHeight="false" outlineLevel="0" collapsed="false">
      <c r="A517" s="8" t="s">
        <v>135</v>
      </c>
      <c r="B517" s="23" t="n">
        <f aca="false">SUMIFS(credito!$B$1:$B$190,credito!$F$1:$F$190,debito!G517,credito!$G$1:$G$190,0)</f>
        <v>3266.96</v>
      </c>
      <c r="C517" s="8" t="n">
        <v>0</v>
      </c>
      <c r="D517" s="8" t="n">
        <v>1</v>
      </c>
      <c r="E517" s="8" t="n">
        <v>0</v>
      </c>
      <c r="F517" s="28" t="n">
        <v>0</v>
      </c>
      <c r="G517" s="9" t="n">
        <v>43647</v>
      </c>
      <c r="H517" s="9" t="n">
        <v>43662</v>
      </c>
      <c r="I517" s="8" t="s">
        <v>131</v>
      </c>
    </row>
    <row r="518" customFormat="false" ht="12.8" hidden="false" customHeight="false" outlineLevel="0" collapsed="false">
      <c r="A518" s="8" t="s">
        <v>132</v>
      </c>
      <c r="B518" s="37" t="n">
        <v>507</v>
      </c>
      <c r="C518" s="8" t="n">
        <v>1</v>
      </c>
      <c r="D518" s="8" t="n">
        <v>0</v>
      </c>
      <c r="E518" s="8" t="n">
        <v>0</v>
      </c>
      <c r="F518" s="28" t="n">
        <v>0</v>
      </c>
      <c r="G518" s="9" t="n">
        <v>43647</v>
      </c>
      <c r="H518" s="9" t="n">
        <v>43663</v>
      </c>
      <c r="I518" s="8" t="s">
        <v>131</v>
      </c>
    </row>
    <row r="519" customFormat="false" ht="12.8" hidden="false" customHeight="false" outlineLevel="0" collapsed="false">
      <c r="A519" s="8" t="s">
        <v>69</v>
      </c>
      <c r="B519" s="37" t="n">
        <v>330</v>
      </c>
      <c r="C519" s="8" t="n">
        <v>1</v>
      </c>
      <c r="D519" s="8" t="n">
        <v>0</v>
      </c>
      <c r="E519" s="8" t="n">
        <v>0</v>
      </c>
      <c r="F519" s="28" t="n">
        <v>0</v>
      </c>
      <c r="G519" s="9" t="n">
        <v>43647</v>
      </c>
      <c r="H519" s="9" t="n">
        <v>43661</v>
      </c>
      <c r="I519" s="8" t="s">
        <v>70</v>
      </c>
    </row>
    <row r="520" customFormat="false" ht="12.8" hidden="false" customHeight="false" outlineLevel="0" collapsed="false">
      <c r="A520" s="8" t="s">
        <v>62</v>
      </c>
      <c r="B520" s="37" t="n">
        <v>6.18</v>
      </c>
      <c r="C520" s="8" t="n">
        <v>1</v>
      </c>
      <c r="D520" s="8" t="n">
        <v>0</v>
      </c>
      <c r="E520" s="8" t="n">
        <v>0</v>
      </c>
      <c r="F520" s="28" t="n">
        <v>0</v>
      </c>
      <c r="G520" s="9" t="n">
        <v>43647</v>
      </c>
      <c r="H520" s="9" t="n">
        <v>43656</v>
      </c>
      <c r="I520" s="8" t="s">
        <v>58</v>
      </c>
    </row>
    <row r="521" customFormat="false" ht="12.8" hidden="false" customHeight="false" outlineLevel="0" collapsed="false">
      <c r="A521" s="8" t="s">
        <v>63</v>
      </c>
      <c r="B521" s="37" t="n">
        <v>75</v>
      </c>
      <c r="C521" s="8" t="n">
        <v>1</v>
      </c>
      <c r="D521" s="8" t="n">
        <v>0</v>
      </c>
      <c r="E521" s="8" t="n">
        <v>0</v>
      </c>
      <c r="F521" s="28" t="n">
        <v>0</v>
      </c>
      <c r="G521" s="9" t="n">
        <v>43647</v>
      </c>
      <c r="H521" s="9" t="n">
        <v>43661</v>
      </c>
      <c r="I521" s="8" t="s">
        <v>64</v>
      </c>
    </row>
    <row r="522" customFormat="false" ht="12.8" hidden="false" customHeight="false" outlineLevel="0" collapsed="false">
      <c r="A522" s="8" t="s">
        <v>75</v>
      </c>
      <c r="B522" s="37" t="n">
        <v>250.59</v>
      </c>
      <c r="C522" s="8" t="n">
        <v>1</v>
      </c>
      <c r="D522" s="8" t="n">
        <v>0</v>
      </c>
      <c r="E522" s="8" t="n">
        <v>0</v>
      </c>
      <c r="F522" s="28" t="n">
        <v>0</v>
      </c>
      <c r="G522" s="9" t="n">
        <v>43647</v>
      </c>
      <c r="H522" s="9" t="n">
        <v>43663</v>
      </c>
      <c r="I522" s="8" t="s">
        <v>76</v>
      </c>
    </row>
    <row r="523" customFormat="false" ht="12.8" hidden="false" customHeight="false" outlineLevel="0" collapsed="false">
      <c r="A523" s="18" t="s">
        <v>65</v>
      </c>
      <c r="B523" s="42" t="n">
        <v>2700</v>
      </c>
      <c r="C523" s="18" t="n">
        <v>1</v>
      </c>
      <c r="D523" s="18" t="n">
        <v>0</v>
      </c>
      <c r="E523" s="18" t="n">
        <v>1</v>
      </c>
      <c r="F523" s="28" t="n">
        <v>0</v>
      </c>
      <c r="G523" s="16" t="n">
        <v>43647</v>
      </c>
      <c r="H523" s="16" t="n">
        <v>43677</v>
      </c>
      <c r="I523" s="18" t="s">
        <v>66</v>
      </c>
    </row>
    <row r="524" customFormat="false" ht="12.8" hidden="false" customHeight="false" outlineLevel="0" collapsed="false">
      <c r="A524" s="8" t="s">
        <v>177</v>
      </c>
      <c r="B524" s="43" t="n">
        <v>187.87</v>
      </c>
      <c r="C524" s="8" t="n">
        <v>1</v>
      </c>
      <c r="D524" s="8" t="n">
        <v>0</v>
      </c>
      <c r="E524" s="8" t="n">
        <v>0</v>
      </c>
      <c r="F524" s="28" t="n">
        <v>0</v>
      </c>
      <c r="G524" s="47" t="n">
        <v>43647</v>
      </c>
      <c r="H524" s="47" t="n">
        <v>43663</v>
      </c>
      <c r="I524" s="8" t="s">
        <v>106</v>
      </c>
    </row>
    <row r="525" customFormat="false" ht="12.8" hidden="false" customHeight="false" outlineLevel="0" collapsed="false">
      <c r="A525" s="8" t="s">
        <v>183</v>
      </c>
      <c r="B525" s="43" t="n">
        <v>383.22</v>
      </c>
      <c r="C525" s="8" t="n">
        <v>0</v>
      </c>
      <c r="D525" s="8" t="n">
        <v>1</v>
      </c>
      <c r="E525" s="8" t="n">
        <v>0</v>
      </c>
      <c r="F525" s="28" t="n">
        <v>0</v>
      </c>
      <c r="G525" s="47" t="n">
        <v>43647</v>
      </c>
      <c r="H525" s="47" t="n">
        <v>43663</v>
      </c>
      <c r="I525" s="8"/>
    </row>
    <row r="526" customFormat="false" ht="12.8" hidden="false" customHeight="false" outlineLevel="0" collapsed="false">
      <c r="A526" s="8" t="s">
        <v>260</v>
      </c>
      <c r="B526" s="43" t="n">
        <v>9</v>
      </c>
      <c r="C526" s="8" t="n">
        <v>0</v>
      </c>
      <c r="D526" s="8" t="n">
        <v>1</v>
      </c>
      <c r="E526" s="8" t="n">
        <v>0</v>
      </c>
      <c r="F526" s="28" t="n">
        <v>0</v>
      </c>
      <c r="G526" s="47" t="n">
        <v>43647</v>
      </c>
      <c r="H526" s="47" t="n">
        <v>43645</v>
      </c>
      <c r="I526" s="8" t="s">
        <v>79</v>
      </c>
    </row>
    <row r="527" customFormat="false" ht="12.8" hidden="false" customHeight="false" outlineLevel="0" collapsed="false">
      <c r="A527" s="8" t="s">
        <v>105</v>
      </c>
      <c r="B527" s="43" t="n">
        <v>81.48</v>
      </c>
      <c r="C527" s="8" t="n">
        <v>0</v>
      </c>
      <c r="D527" s="8" t="n">
        <v>1</v>
      </c>
      <c r="E527" s="8" t="n">
        <v>0</v>
      </c>
      <c r="F527" s="28" t="n">
        <v>0</v>
      </c>
      <c r="G527" s="47" t="n">
        <v>43647</v>
      </c>
      <c r="H527" s="47" t="n">
        <v>43647</v>
      </c>
      <c r="I527" s="8" t="s">
        <v>106</v>
      </c>
    </row>
    <row r="528" customFormat="false" ht="12.8" hidden="false" customHeight="false" outlineLevel="0" collapsed="false">
      <c r="A528" s="8" t="s">
        <v>268</v>
      </c>
      <c r="B528" s="43" t="n">
        <v>2.5</v>
      </c>
      <c r="C528" s="8" t="n">
        <v>0</v>
      </c>
      <c r="D528" s="8" t="n">
        <v>1</v>
      </c>
      <c r="E528" s="8" t="n">
        <v>0</v>
      </c>
      <c r="F528" s="28" t="n">
        <v>0</v>
      </c>
      <c r="G528" s="47" t="n">
        <v>43647</v>
      </c>
      <c r="H528" s="47" t="n">
        <v>43647</v>
      </c>
      <c r="I528" s="8" t="s">
        <v>138</v>
      </c>
    </row>
    <row r="529" customFormat="false" ht="12.8" hidden="false" customHeight="false" outlineLevel="0" collapsed="false">
      <c r="A529" s="8" t="s">
        <v>268</v>
      </c>
      <c r="B529" s="43" t="n">
        <v>10.9</v>
      </c>
      <c r="C529" s="8" t="n">
        <v>0</v>
      </c>
      <c r="D529" s="8" t="n">
        <v>1</v>
      </c>
      <c r="E529" s="8" t="n">
        <v>0</v>
      </c>
      <c r="F529" s="28" t="n">
        <v>0</v>
      </c>
      <c r="G529" s="47" t="n">
        <v>43647</v>
      </c>
      <c r="H529" s="47" t="n">
        <v>43647</v>
      </c>
      <c r="I529" s="8" t="s">
        <v>138</v>
      </c>
    </row>
    <row r="530" customFormat="false" ht="12.8" hidden="false" customHeight="false" outlineLevel="0" collapsed="false">
      <c r="A530" s="8" t="s">
        <v>79</v>
      </c>
      <c r="B530" s="43" t="n">
        <v>97.12</v>
      </c>
      <c r="C530" s="8" t="n">
        <v>0</v>
      </c>
      <c r="D530" s="8" t="n">
        <v>1</v>
      </c>
      <c r="E530" s="8" t="n">
        <v>0</v>
      </c>
      <c r="F530" s="28" t="n">
        <v>0</v>
      </c>
      <c r="G530" s="47" t="n">
        <v>43647</v>
      </c>
      <c r="H530" s="47" t="n">
        <v>43647</v>
      </c>
      <c r="I530" s="8" t="s">
        <v>79</v>
      </c>
    </row>
    <row r="531" customFormat="false" ht="12.8" hidden="false" customHeight="false" outlineLevel="0" collapsed="false">
      <c r="A531" s="8" t="s">
        <v>269</v>
      </c>
      <c r="B531" s="43" t="n">
        <v>64</v>
      </c>
      <c r="C531" s="8" t="n">
        <v>0</v>
      </c>
      <c r="D531" s="8" t="n">
        <v>1</v>
      </c>
      <c r="E531" s="8" t="n">
        <v>0</v>
      </c>
      <c r="F531" s="28" t="n">
        <v>0</v>
      </c>
      <c r="G531" s="47" t="n">
        <v>43647</v>
      </c>
      <c r="H531" s="47" t="n">
        <v>43647</v>
      </c>
      <c r="I531" s="8" t="s">
        <v>81</v>
      </c>
    </row>
    <row r="532" customFormat="false" ht="12.8" hidden="false" customHeight="false" outlineLevel="0" collapsed="false">
      <c r="A532" s="8" t="s">
        <v>270</v>
      </c>
      <c r="B532" s="43" t="n">
        <v>39.99</v>
      </c>
      <c r="C532" s="8" t="n">
        <v>0</v>
      </c>
      <c r="D532" s="8" t="n">
        <v>1</v>
      </c>
      <c r="E532" s="8" t="n">
        <v>0</v>
      </c>
      <c r="F532" s="28" t="n">
        <v>0</v>
      </c>
      <c r="G532" s="47" t="n">
        <v>43647</v>
      </c>
      <c r="H532" s="47" t="n">
        <v>43647</v>
      </c>
      <c r="I532" s="8" t="s">
        <v>81</v>
      </c>
    </row>
    <row r="533" customFormat="false" ht="12.8" hidden="false" customHeight="false" outlineLevel="0" collapsed="false">
      <c r="A533" s="8" t="s">
        <v>260</v>
      </c>
      <c r="B533" s="43" t="n">
        <v>9.8</v>
      </c>
      <c r="C533" s="8" t="n">
        <v>0</v>
      </c>
      <c r="D533" s="8" t="n">
        <v>1</v>
      </c>
      <c r="E533" s="8" t="n">
        <v>0</v>
      </c>
      <c r="F533" s="28" t="n">
        <v>0</v>
      </c>
      <c r="G533" s="47" t="n">
        <v>43647</v>
      </c>
      <c r="H533" s="47" t="n">
        <v>43647</v>
      </c>
      <c r="I533" s="8" t="s">
        <v>79</v>
      </c>
    </row>
    <row r="534" customFormat="false" ht="12.8" hidden="false" customHeight="false" outlineLevel="0" collapsed="false">
      <c r="A534" s="8" t="s">
        <v>271</v>
      </c>
      <c r="B534" s="43" t="n">
        <v>70</v>
      </c>
      <c r="C534" s="8" t="n">
        <v>0</v>
      </c>
      <c r="D534" s="8" t="n">
        <v>1</v>
      </c>
      <c r="E534" s="8" t="n">
        <v>0</v>
      </c>
      <c r="F534" s="28" t="n">
        <v>0</v>
      </c>
      <c r="G534" s="47" t="n">
        <v>43647</v>
      </c>
      <c r="H534" s="47" t="n">
        <v>43647</v>
      </c>
      <c r="I534" s="8" t="s">
        <v>79</v>
      </c>
    </row>
    <row r="535" customFormat="false" ht="12.8" hidden="false" customHeight="false" outlineLevel="0" collapsed="false">
      <c r="A535" s="8" t="s">
        <v>73</v>
      </c>
      <c r="B535" s="43" t="n">
        <v>30</v>
      </c>
      <c r="C535" s="8" t="n">
        <v>0</v>
      </c>
      <c r="D535" s="8" t="n">
        <v>1</v>
      </c>
      <c r="E535" s="8" t="n">
        <v>0</v>
      </c>
      <c r="F535" s="28" t="n">
        <v>0</v>
      </c>
      <c r="G535" s="47" t="n">
        <v>43647</v>
      </c>
      <c r="H535" s="47" t="n">
        <v>43647</v>
      </c>
      <c r="I535" s="8" t="s">
        <v>73</v>
      </c>
    </row>
    <row r="536" customFormat="false" ht="12.8" hidden="false" customHeight="false" outlineLevel="0" collapsed="false">
      <c r="A536" s="8" t="s">
        <v>272</v>
      </c>
      <c r="B536" s="43" t="n">
        <v>13.5</v>
      </c>
      <c r="C536" s="8" t="n">
        <v>0</v>
      </c>
      <c r="D536" s="8" t="n">
        <v>1</v>
      </c>
      <c r="E536" s="8" t="n">
        <v>0</v>
      </c>
      <c r="F536" s="28" t="n">
        <v>0</v>
      </c>
      <c r="G536" s="47" t="n">
        <v>43647</v>
      </c>
      <c r="H536" s="47" t="n">
        <v>43647</v>
      </c>
      <c r="I536" s="8" t="s">
        <v>72</v>
      </c>
    </row>
    <row r="537" customFormat="false" ht="12.8" hidden="false" customHeight="false" outlineLevel="0" collapsed="false">
      <c r="A537" s="8" t="s">
        <v>74</v>
      </c>
      <c r="B537" s="43" t="n">
        <v>2.99</v>
      </c>
      <c r="C537" s="8" t="n">
        <v>0</v>
      </c>
      <c r="D537" s="8" t="n">
        <v>1</v>
      </c>
      <c r="E537" s="8" t="n">
        <v>0</v>
      </c>
      <c r="F537" s="28" t="n">
        <v>0</v>
      </c>
      <c r="G537" s="47" t="n">
        <v>43647</v>
      </c>
      <c r="H537" s="47" t="n">
        <v>43647</v>
      </c>
      <c r="I537" s="8" t="s">
        <v>72</v>
      </c>
    </row>
    <row r="538" customFormat="false" ht="12.8" hidden="false" customHeight="false" outlineLevel="0" collapsed="false">
      <c r="A538" s="8" t="s">
        <v>94</v>
      </c>
      <c r="B538" s="43" t="n">
        <v>20.29</v>
      </c>
      <c r="C538" s="8" t="n">
        <v>0</v>
      </c>
      <c r="D538" s="8" t="n">
        <v>1</v>
      </c>
      <c r="E538" s="8" t="n">
        <v>0</v>
      </c>
      <c r="F538" s="28" t="n">
        <v>0</v>
      </c>
      <c r="G538" s="47" t="n">
        <v>43647</v>
      </c>
      <c r="H538" s="47" t="n">
        <v>43647</v>
      </c>
      <c r="I538" s="8" t="s">
        <v>72</v>
      </c>
    </row>
    <row r="539" customFormat="false" ht="12.8" hidden="false" customHeight="false" outlineLevel="0" collapsed="false">
      <c r="A539" s="8" t="s">
        <v>60</v>
      </c>
      <c r="B539" s="43" t="n">
        <v>260</v>
      </c>
      <c r="C539" s="8" t="n">
        <v>0</v>
      </c>
      <c r="D539" s="8" t="n">
        <v>1</v>
      </c>
      <c r="E539" s="8" t="n">
        <v>0</v>
      </c>
      <c r="F539" s="28" t="n">
        <v>0</v>
      </c>
      <c r="G539" s="47" t="n">
        <v>43647</v>
      </c>
      <c r="H539" s="47" t="n">
        <v>43648</v>
      </c>
      <c r="I539" s="8" t="s">
        <v>60</v>
      </c>
    </row>
    <row r="540" customFormat="false" ht="12.8" hidden="false" customHeight="false" outlineLevel="0" collapsed="false">
      <c r="A540" s="8" t="s">
        <v>68</v>
      </c>
      <c r="B540" s="43" t="n">
        <v>60</v>
      </c>
      <c r="C540" s="8" t="n">
        <v>0</v>
      </c>
      <c r="D540" s="8" t="n">
        <v>1</v>
      </c>
      <c r="E540" s="8" t="n">
        <v>0</v>
      </c>
      <c r="F540" s="28" t="n">
        <v>0</v>
      </c>
      <c r="G540" s="47" t="n">
        <v>43647</v>
      </c>
      <c r="H540" s="47" t="n">
        <v>43648</v>
      </c>
      <c r="I540" s="8" t="s">
        <v>68</v>
      </c>
    </row>
    <row r="541" customFormat="false" ht="12.8" hidden="false" customHeight="false" outlineLevel="0" collapsed="false">
      <c r="A541" s="8" t="s">
        <v>89</v>
      </c>
      <c r="B541" s="43" t="n">
        <v>68</v>
      </c>
      <c r="C541" s="8" t="n">
        <v>0</v>
      </c>
      <c r="D541" s="8" t="n">
        <v>1</v>
      </c>
      <c r="E541" s="8" t="n">
        <v>0</v>
      </c>
      <c r="F541" s="28" t="n">
        <v>0</v>
      </c>
      <c r="G541" s="47" t="n">
        <v>43647</v>
      </c>
      <c r="H541" s="47" t="n">
        <v>43648</v>
      </c>
      <c r="I541" s="8" t="s">
        <v>81</v>
      </c>
    </row>
    <row r="542" customFormat="false" ht="12.8" hidden="false" customHeight="false" outlineLevel="0" collapsed="false">
      <c r="A542" s="8" t="s">
        <v>116</v>
      </c>
      <c r="B542" s="43" t="n">
        <v>13.29</v>
      </c>
      <c r="C542" s="8" t="n">
        <v>0</v>
      </c>
      <c r="D542" s="8" t="n">
        <v>1</v>
      </c>
      <c r="E542" s="8" t="n">
        <v>0</v>
      </c>
      <c r="F542" s="28" t="n">
        <v>0</v>
      </c>
      <c r="G542" s="47" t="n">
        <v>43647</v>
      </c>
      <c r="H542" s="47" t="n">
        <v>43648</v>
      </c>
      <c r="I542" s="8" t="s">
        <v>116</v>
      </c>
    </row>
    <row r="543" customFormat="false" ht="12.8" hidden="false" customHeight="false" outlineLevel="0" collapsed="false">
      <c r="A543" s="8" t="s">
        <v>158</v>
      </c>
      <c r="B543" s="43" t="n">
        <v>3.5</v>
      </c>
      <c r="C543" s="8" t="n">
        <v>0</v>
      </c>
      <c r="D543" s="8" t="n">
        <v>1</v>
      </c>
      <c r="E543" s="8" t="n">
        <v>0</v>
      </c>
      <c r="F543" s="28" t="n">
        <v>0</v>
      </c>
      <c r="G543" s="47" t="n">
        <v>43647</v>
      </c>
      <c r="H543" s="47" t="n">
        <v>43648</v>
      </c>
      <c r="I543" s="8" t="s">
        <v>72</v>
      </c>
    </row>
    <row r="544" customFormat="false" ht="12.8" hidden="false" customHeight="false" outlineLevel="0" collapsed="false">
      <c r="A544" s="8" t="s">
        <v>257</v>
      </c>
      <c r="B544" s="43" t="n">
        <v>14.99</v>
      </c>
      <c r="C544" s="8" t="n">
        <v>0</v>
      </c>
      <c r="D544" s="8" t="n">
        <v>1</v>
      </c>
      <c r="E544" s="8" t="n">
        <v>0</v>
      </c>
      <c r="F544" s="28" t="n">
        <v>0</v>
      </c>
      <c r="G544" s="47" t="n">
        <v>43647</v>
      </c>
      <c r="H544" s="47" t="n">
        <v>43649</v>
      </c>
      <c r="I544" s="8" t="s">
        <v>81</v>
      </c>
    </row>
    <row r="545" customFormat="false" ht="12.8" hidden="false" customHeight="false" outlineLevel="0" collapsed="false">
      <c r="A545" s="8" t="s">
        <v>245</v>
      </c>
      <c r="B545" s="43" t="n">
        <v>10</v>
      </c>
      <c r="C545" s="8" t="n">
        <v>0</v>
      </c>
      <c r="D545" s="8" t="n">
        <v>1</v>
      </c>
      <c r="E545" s="8" t="n">
        <v>0</v>
      </c>
      <c r="F545" s="28" t="n">
        <v>0</v>
      </c>
      <c r="G545" s="47" t="n">
        <v>43647</v>
      </c>
      <c r="H545" s="47" t="n">
        <v>43650</v>
      </c>
      <c r="I545" s="8" t="s">
        <v>72</v>
      </c>
    </row>
    <row r="546" customFormat="false" ht="12.8" hidden="false" customHeight="false" outlineLevel="0" collapsed="false">
      <c r="A546" s="8" t="s">
        <v>273</v>
      </c>
      <c r="B546" s="43" t="n">
        <v>52.36</v>
      </c>
      <c r="C546" s="8" t="n">
        <v>0</v>
      </c>
      <c r="D546" s="8" t="n">
        <v>1</v>
      </c>
      <c r="E546" s="8" t="n">
        <v>0</v>
      </c>
      <c r="F546" s="28" t="n">
        <v>0</v>
      </c>
      <c r="G546" s="47" t="n">
        <v>43647</v>
      </c>
      <c r="H546" s="47" t="n">
        <v>43650</v>
      </c>
      <c r="I546" s="8" t="s">
        <v>72</v>
      </c>
    </row>
    <row r="547" customFormat="false" ht="12.8" hidden="false" customHeight="false" outlineLevel="0" collapsed="false">
      <c r="A547" s="8" t="s">
        <v>245</v>
      </c>
      <c r="B547" s="43" t="n">
        <v>11.5</v>
      </c>
      <c r="C547" s="8" t="n">
        <v>0</v>
      </c>
      <c r="D547" s="8" t="n">
        <v>1</v>
      </c>
      <c r="E547" s="8" t="n">
        <v>0</v>
      </c>
      <c r="F547" s="28" t="n">
        <v>0</v>
      </c>
      <c r="G547" s="47" t="n">
        <v>43647</v>
      </c>
      <c r="H547" s="47" t="n">
        <v>43650</v>
      </c>
      <c r="I547" s="8" t="s">
        <v>72</v>
      </c>
    </row>
    <row r="548" customFormat="false" ht="12.8" hidden="false" customHeight="false" outlineLevel="0" collapsed="false">
      <c r="A548" s="8" t="s">
        <v>245</v>
      </c>
      <c r="B548" s="43" t="n">
        <v>6</v>
      </c>
      <c r="C548" s="8" t="n">
        <v>0</v>
      </c>
      <c r="D548" s="8" t="n">
        <v>1</v>
      </c>
      <c r="E548" s="8" t="n">
        <v>0</v>
      </c>
      <c r="F548" s="28" t="n">
        <v>0</v>
      </c>
      <c r="G548" s="47" t="n">
        <v>43647</v>
      </c>
      <c r="H548" s="47" t="n">
        <v>43650</v>
      </c>
      <c r="I548" s="8" t="s">
        <v>72</v>
      </c>
    </row>
    <row r="549" customFormat="false" ht="12.8" hidden="false" customHeight="false" outlineLevel="0" collapsed="false">
      <c r="A549" s="8" t="s">
        <v>260</v>
      </c>
      <c r="B549" s="43" t="n">
        <v>6.6</v>
      </c>
      <c r="C549" s="8" t="n">
        <v>0</v>
      </c>
      <c r="D549" s="8" t="n">
        <v>1</v>
      </c>
      <c r="E549" s="8" t="n">
        <v>0</v>
      </c>
      <c r="F549" s="28" t="n">
        <v>0</v>
      </c>
      <c r="G549" s="47" t="n">
        <v>43647</v>
      </c>
      <c r="H549" s="47" t="n">
        <v>43650</v>
      </c>
      <c r="I549" s="8" t="s">
        <v>79</v>
      </c>
    </row>
    <row r="550" customFormat="false" ht="12.8" hidden="false" customHeight="false" outlineLevel="0" collapsed="false">
      <c r="A550" s="8" t="s">
        <v>274</v>
      </c>
      <c r="B550" s="43" t="n">
        <v>37</v>
      </c>
      <c r="C550" s="8" t="n">
        <v>0</v>
      </c>
      <c r="D550" s="8" t="n">
        <v>1</v>
      </c>
      <c r="E550" s="8" t="n">
        <v>0</v>
      </c>
      <c r="F550" s="28" t="n">
        <v>0</v>
      </c>
      <c r="G550" s="47" t="n">
        <v>43647</v>
      </c>
      <c r="H550" s="47" t="n">
        <v>43650</v>
      </c>
      <c r="I550" s="8" t="s">
        <v>85</v>
      </c>
    </row>
    <row r="551" customFormat="false" ht="12.8" hidden="false" customHeight="false" outlineLevel="0" collapsed="false">
      <c r="A551" s="8" t="s">
        <v>275</v>
      </c>
      <c r="B551" s="43" t="n">
        <v>147.13</v>
      </c>
      <c r="C551" s="8" t="n">
        <v>0</v>
      </c>
      <c r="D551" s="8" t="n">
        <v>1</v>
      </c>
      <c r="E551" s="8" t="n">
        <v>0</v>
      </c>
      <c r="F551" s="28" t="n">
        <v>0</v>
      </c>
      <c r="G551" s="47" t="n">
        <v>43647</v>
      </c>
      <c r="H551" s="47" t="n">
        <v>43650</v>
      </c>
      <c r="I551" s="8" t="s">
        <v>116</v>
      </c>
    </row>
    <row r="552" customFormat="false" ht="12.8" hidden="false" customHeight="false" outlineLevel="0" collapsed="false">
      <c r="A552" s="8" t="s">
        <v>245</v>
      </c>
      <c r="B552" s="43" t="n">
        <v>8.5</v>
      </c>
      <c r="C552" s="8" t="n">
        <v>0</v>
      </c>
      <c r="D552" s="8" t="n">
        <v>1</v>
      </c>
      <c r="E552" s="8" t="n">
        <v>0</v>
      </c>
      <c r="F552" s="28" t="n">
        <v>0</v>
      </c>
      <c r="G552" s="47" t="n">
        <v>43647</v>
      </c>
      <c r="H552" s="47" t="n">
        <v>43651</v>
      </c>
      <c r="I552" s="8" t="s">
        <v>72</v>
      </c>
    </row>
    <row r="553" customFormat="false" ht="12.8" hidden="false" customHeight="false" outlineLevel="0" collapsed="false">
      <c r="A553" s="8" t="s">
        <v>245</v>
      </c>
      <c r="B553" s="43" t="n">
        <v>12</v>
      </c>
      <c r="C553" s="8" t="n">
        <v>0</v>
      </c>
      <c r="D553" s="8" t="n">
        <v>1</v>
      </c>
      <c r="E553" s="8" t="n">
        <v>0</v>
      </c>
      <c r="F553" s="28" t="n">
        <v>0</v>
      </c>
      <c r="G553" s="47" t="n">
        <v>43647</v>
      </c>
      <c r="H553" s="47" t="n">
        <v>43651</v>
      </c>
      <c r="I553" s="8" t="s">
        <v>72</v>
      </c>
    </row>
    <row r="554" customFormat="false" ht="12.8" hidden="false" customHeight="false" outlineLevel="0" collapsed="false">
      <c r="A554" s="8" t="s">
        <v>245</v>
      </c>
      <c r="B554" s="43" t="n">
        <v>2</v>
      </c>
      <c r="C554" s="8" t="n">
        <v>0</v>
      </c>
      <c r="D554" s="8" t="n">
        <v>1</v>
      </c>
      <c r="E554" s="8" t="n">
        <v>0</v>
      </c>
      <c r="F554" s="28" t="n">
        <v>0</v>
      </c>
      <c r="G554" s="47" t="n">
        <v>43647</v>
      </c>
      <c r="H554" s="47" t="n">
        <v>43651</v>
      </c>
      <c r="I554" s="8" t="s">
        <v>72</v>
      </c>
    </row>
    <row r="555" customFormat="false" ht="12.8" hidden="false" customHeight="false" outlineLevel="0" collapsed="false">
      <c r="A555" s="8" t="s">
        <v>74</v>
      </c>
      <c r="B555" s="43" t="n">
        <v>3</v>
      </c>
      <c r="C555" s="8" t="n">
        <v>0</v>
      </c>
      <c r="D555" s="8" t="n">
        <v>1</v>
      </c>
      <c r="E555" s="8" t="n">
        <v>0</v>
      </c>
      <c r="F555" s="28" t="n">
        <v>0</v>
      </c>
      <c r="G555" s="47" t="n">
        <v>43647</v>
      </c>
      <c r="H555" s="47" t="n">
        <v>43651</v>
      </c>
      <c r="I555" s="8" t="s">
        <v>72</v>
      </c>
    </row>
    <row r="556" customFormat="false" ht="12.8" hidden="false" customHeight="false" outlineLevel="0" collapsed="false">
      <c r="A556" s="8" t="s">
        <v>231</v>
      </c>
      <c r="B556" s="43" t="n">
        <v>37.5</v>
      </c>
      <c r="C556" s="8" t="n">
        <v>0</v>
      </c>
      <c r="D556" s="8" t="n">
        <v>1</v>
      </c>
      <c r="E556" s="8" t="n">
        <v>0</v>
      </c>
      <c r="F556" s="28" t="n">
        <v>0</v>
      </c>
      <c r="G556" s="47" t="n">
        <v>43647</v>
      </c>
      <c r="H556" s="47" t="n">
        <v>43654</v>
      </c>
      <c r="I556" s="8" t="s">
        <v>81</v>
      </c>
    </row>
    <row r="557" customFormat="false" ht="12.8" hidden="false" customHeight="false" outlineLevel="0" collapsed="false">
      <c r="A557" s="8" t="s">
        <v>84</v>
      </c>
      <c r="B557" s="43" t="n">
        <v>7.27</v>
      </c>
      <c r="C557" s="8" t="n">
        <v>0</v>
      </c>
      <c r="D557" s="8" t="n">
        <v>1</v>
      </c>
      <c r="E557" s="8" t="n">
        <v>0</v>
      </c>
      <c r="F557" s="28" t="n">
        <v>0</v>
      </c>
      <c r="G557" s="47" t="n">
        <v>43647</v>
      </c>
      <c r="H557" s="47" t="n">
        <v>43654</v>
      </c>
      <c r="I557" s="8" t="s">
        <v>84</v>
      </c>
    </row>
    <row r="558" customFormat="false" ht="12.8" hidden="false" customHeight="false" outlineLevel="0" collapsed="false">
      <c r="A558" s="8" t="s">
        <v>84</v>
      </c>
      <c r="B558" s="43" t="n">
        <v>17.39</v>
      </c>
      <c r="C558" s="8" t="n">
        <v>0</v>
      </c>
      <c r="D558" s="8" t="n">
        <v>1</v>
      </c>
      <c r="E558" s="8" t="n">
        <v>0</v>
      </c>
      <c r="F558" s="28" t="n">
        <v>0</v>
      </c>
      <c r="G558" s="47" t="n">
        <v>43647</v>
      </c>
      <c r="H558" s="47" t="n">
        <v>43654</v>
      </c>
      <c r="I558" s="8" t="s">
        <v>84</v>
      </c>
    </row>
    <row r="559" customFormat="false" ht="12.8" hidden="false" customHeight="false" outlineLevel="0" collapsed="false">
      <c r="A559" s="8" t="s">
        <v>105</v>
      </c>
      <c r="B559" s="43" t="n">
        <v>75.98</v>
      </c>
      <c r="C559" s="8" t="n">
        <v>0</v>
      </c>
      <c r="D559" s="8" t="n">
        <v>1</v>
      </c>
      <c r="E559" s="8" t="n">
        <v>0</v>
      </c>
      <c r="F559" s="28" t="n">
        <v>0</v>
      </c>
      <c r="G559" s="47" t="n">
        <v>43647</v>
      </c>
      <c r="H559" s="47" t="n">
        <v>43654</v>
      </c>
      <c r="I559" s="8" t="s">
        <v>106</v>
      </c>
    </row>
    <row r="560" customFormat="false" ht="12.8" hidden="false" customHeight="false" outlineLevel="0" collapsed="false">
      <c r="A560" s="8" t="s">
        <v>245</v>
      </c>
      <c r="B560" s="43" t="n">
        <v>10</v>
      </c>
      <c r="C560" s="8" t="n">
        <v>0</v>
      </c>
      <c r="D560" s="8" t="n">
        <v>1</v>
      </c>
      <c r="E560" s="8" t="n">
        <v>0</v>
      </c>
      <c r="F560" s="28" t="n">
        <v>0</v>
      </c>
      <c r="G560" s="47" t="n">
        <v>43647</v>
      </c>
      <c r="H560" s="47" t="n">
        <v>43654</v>
      </c>
      <c r="I560" s="8" t="s">
        <v>72</v>
      </c>
    </row>
    <row r="561" customFormat="false" ht="12.8" hidden="false" customHeight="false" outlineLevel="0" collapsed="false">
      <c r="A561" s="8" t="s">
        <v>245</v>
      </c>
      <c r="B561" s="43" t="n">
        <v>50</v>
      </c>
      <c r="C561" s="8" t="n">
        <v>0</v>
      </c>
      <c r="D561" s="8" t="n">
        <v>1</v>
      </c>
      <c r="E561" s="8" t="n">
        <v>0</v>
      </c>
      <c r="F561" s="28" t="n">
        <v>0</v>
      </c>
      <c r="G561" s="47" t="n">
        <v>43647</v>
      </c>
      <c r="H561" s="47" t="n">
        <v>43654</v>
      </c>
      <c r="I561" s="8" t="s">
        <v>72</v>
      </c>
    </row>
    <row r="562" customFormat="false" ht="12.8" hidden="false" customHeight="false" outlineLevel="0" collapsed="false">
      <c r="A562" s="8" t="s">
        <v>116</v>
      </c>
      <c r="B562" s="43" t="n">
        <v>43.9</v>
      </c>
      <c r="C562" s="8" t="n">
        <v>0</v>
      </c>
      <c r="D562" s="8" t="n">
        <v>1</v>
      </c>
      <c r="E562" s="8" t="n">
        <v>0</v>
      </c>
      <c r="F562" s="28" t="n">
        <v>0</v>
      </c>
      <c r="G562" s="47" t="n">
        <v>43647</v>
      </c>
      <c r="H562" s="47" t="n">
        <v>43654</v>
      </c>
      <c r="I562" s="8" t="s">
        <v>116</v>
      </c>
    </row>
    <row r="563" customFormat="false" ht="12.8" hidden="false" customHeight="false" outlineLevel="0" collapsed="false">
      <c r="A563" s="8" t="s">
        <v>116</v>
      </c>
      <c r="B563" s="43" t="n">
        <v>8.44</v>
      </c>
      <c r="C563" s="8" t="n">
        <v>0</v>
      </c>
      <c r="D563" s="8" t="n">
        <v>1</v>
      </c>
      <c r="E563" s="8" t="n">
        <v>0</v>
      </c>
      <c r="F563" s="28" t="n">
        <v>0</v>
      </c>
      <c r="G563" s="47" t="n">
        <v>43647</v>
      </c>
      <c r="H563" s="47" t="n">
        <v>43654</v>
      </c>
      <c r="I563" s="8" t="s">
        <v>116</v>
      </c>
    </row>
    <row r="564" customFormat="false" ht="12.8" hidden="false" customHeight="false" outlineLevel="0" collapsed="false">
      <c r="A564" s="8" t="s">
        <v>231</v>
      </c>
      <c r="B564" s="43" t="n">
        <v>33.93</v>
      </c>
      <c r="C564" s="8" t="n">
        <v>0</v>
      </c>
      <c r="D564" s="8" t="n">
        <v>1</v>
      </c>
      <c r="E564" s="8" t="n">
        <v>0</v>
      </c>
      <c r="F564" s="28" t="n">
        <v>0</v>
      </c>
      <c r="G564" s="47" t="n">
        <v>43647</v>
      </c>
      <c r="H564" s="47" t="n">
        <v>43654</v>
      </c>
      <c r="I564" s="8" t="s">
        <v>81</v>
      </c>
    </row>
    <row r="565" customFormat="false" ht="12.8" hidden="false" customHeight="false" outlineLevel="0" collapsed="false">
      <c r="A565" s="8" t="s">
        <v>231</v>
      </c>
      <c r="B565" s="43" t="n">
        <v>45</v>
      </c>
      <c r="C565" s="8" t="n">
        <v>0</v>
      </c>
      <c r="D565" s="8" t="n">
        <v>1</v>
      </c>
      <c r="E565" s="8" t="n">
        <v>0</v>
      </c>
      <c r="F565" s="28" t="n">
        <v>0</v>
      </c>
      <c r="G565" s="47" t="n">
        <v>43647</v>
      </c>
      <c r="H565" s="47" t="n">
        <v>43654</v>
      </c>
      <c r="I565" s="8" t="s">
        <v>81</v>
      </c>
    </row>
    <row r="566" customFormat="false" ht="12.8" hidden="false" customHeight="false" outlineLevel="0" collapsed="false">
      <c r="A566" s="8" t="s">
        <v>231</v>
      </c>
      <c r="B566" s="43" t="n">
        <v>6.4</v>
      </c>
      <c r="C566" s="8" t="n">
        <v>0</v>
      </c>
      <c r="D566" s="8" t="n">
        <v>1</v>
      </c>
      <c r="E566" s="8" t="n">
        <v>0</v>
      </c>
      <c r="F566" s="28" t="n">
        <v>0</v>
      </c>
      <c r="G566" s="47" t="n">
        <v>43647</v>
      </c>
      <c r="H566" s="47" t="n">
        <v>43654</v>
      </c>
      <c r="I566" s="8" t="s">
        <v>81</v>
      </c>
    </row>
    <row r="567" customFormat="false" ht="12.8" hidden="false" customHeight="false" outlineLevel="0" collapsed="false">
      <c r="A567" s="8" t="s">
        <v>231</v>
      </c>
      <c r="B567" s="43" t="n">
        <v>25.25</v>
      </c>
      <c r="C567" s="8" t="n">
        <v>0</v>
      </c>
      <c r="D567" s="8" t="n">
        <v>1</v>
      </c>
      <c r="E567" s="8" t="n">
        <v>0</v>
      </c>
      <c r="F567" s="28" t="n">
        <v>0</v>
      </c>
      <c r="G567" s="47" t="n">
        <v>43647</v>
      </c>
      <c r="H567" s="47" t="n">
        <v>43654</v>
      </c>
      <c r="I567" s="8" t="s">
        <v>81</v>
      </c>
    </row>
    <row r="568" customFormat="false" ht="12.8" hidden="false" customHeight="false" outlineLevel="0" collapsed="false">
      <c r="A568" s="8" t="s">
        <v>231</v>
      </c>
      <c r="B568" s="43" t="n">
        <v>227.95</v>
      </c>
      <c r="C568" s="8" t="n">
        <v>0</v>
      </c>
      <c r="D568" s="8" t="n">
        <v>1</v>
      </c>
      <c r="E568" s="8" t="n">
        <v>0</v>
      </c>
      <c r="F568" s="28" t="n">
        <v>0</v>
      </c>
      <c r="G568" s="47" t="n">
        <v>43647</v>
      </c>
      <c r="H568" s="47" t="n">
        <v>43654</v>
      </c>
      <c r="I568" s="8" t="s">
        <v>81</v>
      </c>
    </row>
    <row r="569" customFormat="false" ht="12.8" hidden="false" customHeight="false" outlineLevel="0" collapsed="false">
      <c r="A569" s="8" t="s">
        <v>231</v>
      </c>
      <c r="B569" s="43" t="n">
        <v>9.65</v>
      </c>
      <c r="C569" s="8" t="n">
        <v>0</v>
      </c>
      <c r="D569" s="8" t="n">
        <v>1</v>
      </c>
      <c r="E569" s="8" t="n">
        <v>0</v>
      </c>
      <c r="F569" s="28" t="n">
        <v>0</v>
      </c>
      <c r="G569" s="47" t="n">
        <v>43647</v>
      </c>
      <c r="H569" s="47" t="n">
        <v>43654</v>
      </c>
      <c r="I569" s="8" t="s">
        <v>81</v>
      </c>
    </row>
    <row r="570" customFormat="false" ht="12.8" hidden="false" customHeight="false" outlineLevel="0" collapsed="false">
      <c r="A570" s="8" t="s">
        <v>73</v>
      </c>
      <c r="B570" s="43" t="n">
        <v>9.9</v>
      </c>
      <c r="C570" s="8" t="n">
        <v>0</v>
      </c>
      <c r="D570" s="8" t="n">
        <v>1</v>
      </c>
      <c r="E570" s="8" t="n">
        <v>0</v>
      </c>
      <c r="F570" s="28" t="n">
        <v>0</v>
      </c>
      <c r="G570" s="47" t="n">
        <v>43647</v>
      </c>
      <c r="H570" s="47" t="n">
        <v>43656</v>
      </c>
      <c r="I570" s="8" t="s">
        <v>73</v>
      </c>
    </row>
    <row r="571" customFormat="false" ht="12.8" hidden="false" customHeight="false" outlineLevel="0" collapsed="false">
      <c r="A571" s="8" t="s">
        <v>74</v>
      </c>
      <c r="B571" s="43" t="n">
        <v>2.99</v>
      </c>
      <c r="C571" s="8" t="n">
        <v>0</v>
      </c>
      <c r="D571" s="8" t="n">
        <v>1</v>
      </c>
      <c r="E571" s="8" t="n">
        <v>0</v>
      </c>
      <c r="F571" s="28" t="n">
        <v>0</v>
      </c>
      <c r="G571" s="47" t="n">
        <v>43647</v>
      </c>
      <c r="H571" s="47" t="n">
        <v>43656</v>
      </c>
      <c r="I571" s="8" t="s">
        <v>72</v>
      </c>
    </row>
    <row r="572" customFormat="false" ht="12.8" hidden="false" customHeight="false" outlineLevel="0" collapsed="false">
      <c r="A572" s="8" t="s">
        <v>82</v>
      </c>
      <c r="B572" s="43" t="n">
        <v>7</v>
      </c>
      <c r="C572" s="8" t="n">
        <v>0</v>
      </c>
      <c r="D572" s="8" t="n">
        <v>1</v>
      </c>
      <c r="E572" s="8" t="n">
        <v>0</v>
      </c>
      <c r="F572" s="28" t="n">
        <v>0</v>
      </c>
      <c r="G572" s="47" t="n">
        <v>43647</v>
      </c>
      <c r="H572" s="47" t="n">
        <v>43656</v>
      </c>
      <c r="I572" s="8" t="s">
        <v>72</v>
      </c>
    </row>
    <row r="573" customFormat="false" ht="12.8" hidden="false" customHeight="false" outlineLevel="0" collapsed="false">
      <c r="A573" s="8" t="s">
        <v>245</v>
      </c>
      <c r="B573" s="43" t="n">
        <v>29.03</v>
      </c>
      <c r="C573" s="8" t="n">
        <v>0</v>
      </c>
      <c r="D573" s="8" t="n">
        <v>1</v>
      </c>
      <c r="E573" s="8" t="n">
        <v>0</v>
      </c>
      <c r="F573" s="28" t="n">
        <v>0</v>
      </c>
      <c r="G573" s="47" t="n">
        <v>43647</v>
      </c>
      <c r="H573" s="47" t="n">
        <v>43656</v>
      </c>
      <c r="I573" s="8" t="s">
        <v>72</v>
      </c>
    </row>
    <row r="574" customFormat="false" ht="12.8" hidden="false" customHeight="false" outlineLevel="0" collapsed="false">
      <c r="A574" s="8" t="s">
        <v>245</v>
      </c>
      <c r="B574" s="43" t="n">
        <v>9.9</v>
      </c>
      <c r="C574" s="8" t="n">
        <v>0</v>
      </c>
      <c r="D574" s="8" t="n">
        <v>1</v>
      </c>
      <c r="E574" s="8" t="n">
        <v>0</v>
      </c>
      <c r="F574" s="28" t="n">
        <v>0</v>
      </c>
      <c r="G574" s="47" t="n">
        <v>43647</v>
      </c>
      <c r="H574" s="47" t="n">
        <v>43656</v>
      </c>
      <c r="I574" s="8" t="s">
        <v>72</v>
      </c>
    </row>
    <row r="575" customFormat="false" ht="12.8" hidden="false" customHeight="false" outlineLevel="0" collapsed="false">
      <c r="A575" s="8" t="s">
        <v>85</v>
      </c>
      <c r="B575" s="43" t="n">
        <v>50</v>
      </c>
      <c r="C575" s="8" t="n">
        <v>0</v>
      </c>
      <c r="D575" s="8" t="n">
        <v>1</v>
      </c>
      <c r="E575" s="8" t="n">
        <v>0</v>
      </c>
      <c r="F575" s="28" t="n">
        <v>0</v>
      </c>
      <c r="G575" s="47" t="n">
        <v>43647</v>
      </c>
      <c r="H575" s="47" t="n">
        <v>43657</v>
      </c>
      <c r="I575" s="8" t="s">
        <v>85</v>
      </c>
    </row>
    <row r="576" customFormat="false" ht="12.8" hidden="false" customHeight="false" outlineLevel="0" collapsed="false">
      <c r="A576" s="8" t="s">
        <v>112</v>
      </c>
      <c r="B576" s="43" t="n">
        <v>4.5</v>
      </c>
      <c r="C576" s="8" t="n">
        <v>0</v>
      </c>
      <c r="D576" s="8" t="n">
        <v>1</v>
      </c>
      <c r="E576" s="8" t="n">
        <v>0</v>
      </c>
      <c r="F576" s="28" t="n">
        <v>0</v>
      </c>
      <c r="G576" s="47" t="n">
        <v>43647</v>
      </c>
      <c r="H576" s="47" t="n">
        <v>43657</v>
      </c>
      <c r="I576" s="8" t="s">
        <v>72</v>
      </c>
    </row>
    <row r="577" customFormat="false" ht="12.8" hidden="false" customHeight="false" outlineLevel="0" collapsed="false">
      <c r="A577" s="8" t="s">
        <v>245</v>
      </c>
      <c r="B577" s="43" t="n">
        <v>13</v>
      </c>
      <c r="C577" s="8" t="n">
        <v>0</v>
      </c>
      <c r="D577" s="8" t="n">
        <v>1</v>
      </c>
      <c r="E577" s="8" t="n">
        <v>0</v>
      </c>
      <c r="F577" s="28" t="n">
        <v>0</v>
      </c>
      <c r="G577" s="47" t="n">
        <v>43647</v>
      </c>
      <c r="H577" s="47" t="n">
        <v>43657</v>
      </c>
      <c r="I577" s="8" t="s">
        <v>72</v>
      </c>
    </row>
    <row r="578" customFormat="false" ht="12.8" hidden="false" customHeight="false" outlineLevel="0" collapsed="false">
      <c r="A578" s="8" t="s">
        <v>276</v>
      </c>
      <c r="B578" s="43" t="n">
        <v>63.14</v>
      </c>
      <c r="C578" s="8" t="n">
        <v>0</v>
      </c>
      <c r="D578" s="8" t="n">
        <v>1</v>
      </c>
      <c r="E578" s="8" t="n">
        <v>0</v>
      </c>
      <c r="F578" s="28" t="n">
        <v>0</v>
      </c>
      <c r="G578" s="47" t="n">
        <v>43647</v>
      </c>
      <c r="H578" s="47" t="n">
        <v>43657</v>
      </c>
      <c r="I578" s="8" t="s">
        <v>81</v>
      </c>
    </row>
    <row r="579" customFormat="false" ht="12.8" hidden="false" customHeight="false" outlineLevel="0" collapsed="false">
      <c r="A579" s="8" t="s">
        <v>245</v>
      </c>
      <c r="B579" s="43" t="n">
        <v>8</v>
      </c>
      <c r="C579" s="8" t="n">
        <v>0</v>
      </c>
      <c r="D579" s="8" t="n">
        <v>1</v>
      </c>
      <c r="E579" s="8" t="n">
        <v>0</v>
      </c>
      <c r="F579" s="28" t="n">
        <v>0</v>
      </c>
      <c r="G579" s="47" t="n">
        <v>43647</v>
      </c>
      <c r="H579" s="47" t="n">
        <v>43657</v>
      </c>
      <c r="I579" s="8" t="s">
        <v>72</v>
      </c>
    </row>
    <row r="580" customFormat="false" ht="12.8" hidden="false" customHeight="false" outlineLevel="0" collapsed="false">
      <c r="A580" s="8" t="s">
        <v>277</v>
      </c>
      <c r="B580" s="43" t="n">
        <v>20</v>
      </c>
      <c r="C580" s="8" t="n">
        <v>0</v>
      </c>
      <c r="D580" s="8" t="n">
        <v>1</v>
      </c>
      <c r="E580" s="8" t="n">
        <v>0</v>
      </c>
      <c r="F580" s="28" t="n">
        <v>0</v>
      </c>
      <c r="G580" s="47" t="n">
        <v>43647</v>
      </c>
      <c r="H580" s="47" t="n">
        <v>43657</v>
      </c>
      <c r="I580" s="8" t="s">
        <v>85</v>
      </c>
    </row>
    <row r="581" customFormat="false" ht="12.8" hidden="false" customHeight="false" outlineLevel="0" collapsed="false">
      <c r="A581" s="8" t="s">
        <v>278</v>
      </c>
      <c r="B581" s="43" t="n">
        <v>20</v>
      </c>
      <c r="C581" s="8" t="n">
        <v>0</v>
      </c>
      <c r="D581" s="8" t="n">
        <v>1</v>
      </c>
      <c r="E581" s="8" t="n">
        <v>0</v>
      </c>
      <c r="F581" s="28" t="n">
        <v>0</v>
      </c>
      <c r="G581" s="47" t="n">
        <v>43647</v>
      </c>
      <c r="H581" s="47" t="n">
        <v>43657</v>
      </c>
      <c r="I581" s="8" t="s">
        <v>81</v>
      </c>
    </row>
    <row r="582" customFormat="false" ht="12.8" hidden="false" customHeight="false" outlineLevel="0" collapsed="false">
      <c r="A582" s="8" t="s">
        <v>74</v>
      </c>
      <c r="B582" s="43" t="n">
        <v>2.99</v>
      </c>
      <c r="C582" s="8" t="n">
        <v>0</v>
      </c>
      <c r="D582" s="8" t="n">
        <v>1</v>
      </c>
      <c r="E582" s="8" t="n">
        <v>0</v>
      </c>
      <c r="F582" s="28" t="n">
        <v>0</v>
      </c>
      <c r="G582" s="47" t="n">
        <v>43647</v>
      </c>
      <c r="H582" s="47" t="n">
        <v>43658</v>
      </c>
      <c r="I582" s="8" t="s">
        <v>72</v>
      </c>
    </row>
    <row r="583" customFormat="false" ht="12.8" hidden="false" customHeight="false" outlineLevel="0" collapsed="false">
      <c r="A583" s="8" t="s">
        <v>279</v>
      </c>
      <c r="B583" s="43" t="n">
        <v>78.5</v>
      </c>
      <c r="C583" s="8" t="n">
        <v>0</v>
      </c>
      <c r="D583" s="8" t="n">
        <v>1</v>
      </c>
      <c r="E583" s="8" t="n">
        <v>0</v>
      </c>
      <c r="F583" s="28" t="n">
        <v>0</v>
      </c>
      <c r="G583" s="47" t="n">
        <v>43647</v>
      </c>
      <c r="H583" s="47" t="n">
        <v>43658</v>
      </c>
      <c r="I583" s="8" t="s">
        <v>81</v>
      </c>
    </row>
    <row r="584" customFormat="false" ht="12.8" hidden="false" customHeight="false" outlineLevel="0" collapsed="false">
      <c r="A584" s="8" t="s">
        <v>260</v>
      </c>
      <c r="B584" s="43" t="n">
        <v>6.7</v>
      </c>
      <c r="C584" s="8" t="n">
        <v>0</v>
      </c>
      <c r="D584" s="8" t="n">
        <v>1</v>
      </c>
      <c r="E584" s="8" t="n">
        <v>0</v>
      </c>
      <c r="F584" s="28" t="n">
        <v>0</v>
      </c>
      <c r="G584" s="47" t="n">
        <v>43647</v>
      </c>
      <c r="H584" s="47" t="n">
        <v>43658</v>
      </c>
      <c r="I584" s="8" t="s">
        <v>79</v>
      </c>
    </row>
    <row r="585" customFormat="false" ht="12.8" hidden="false" customHeight="false" outlineLevel="0" collapsed="false">
      <c r="A585" s="8" t="s">
        <v>69</v>
      </c>
      <c r="B585" s="43" t="n">
        <v>66</v>
      </c>
      <c r="C585" s="8" t="n">
        <v>0</v>
      </c>
      <c r="D585" s="8" t="n">
        <v>1</v>
      </c>
      <c r="E585" s="8" t="n">
        <v>0</v>
      </c>
      <c r="F585" s="28" t="n">
        <v>0</v>
      </c>
      <c r="G585" s="47" t="n">
        <v>43647</v>
      </c>
      <c r="H585" s="47" t="n">
        <v>43658</v>
      </c>
      <c r="I585" s="8" t="s">
        <v>70</v>
      </c>
    </row>
    <row r="586" customFormat="false" ht="12.8" hidden="false" customHeight="false" outlineLevel="0" collapsed="false">
      <c r="A586" s="8" t="s">
        <v>73</v>
      </c>
      <c r="B586" s="43" t="n">
        <v>48.3</v>
      </c>
      <c r="C586" s="8" t="n">
        <v>0</v>
      </c>
      <c r="D586" s="8" t="n">
        <v>1</v>
      </c>
      <c r="E586" s="8" t="n">
        <v>0</v>
      </c>
      <c r="F586" s="28" t="n">
        <v>0</v>
      </c>
      <c r="G586" s="47" t="n">
        <v>43647</v>
      </c>
      <c r="H586" s="47" t="n">
        <v>43658</v>
      </c>
      <c r="I586" s="8" t="s">
        <v>73</v>
      </c>
    </row>
    <row r="587" customFormat="false" ht="12.8" hidden="false" customHeight="false" outlineLevel="0" collapsed="false">
      <c r="A587" s="8" t="s">
        <v>74</v>
      </c>
      <c r="B587" s="43" t="n">
        <v>8.98</v>
      </c>
      <c r="C587" s="8" t="n">
        <v>0</v>
      </c>
      <c r="D587" s="8" t="n">
        <v>1</v>
      </c>
      <c r="E587" s="8" t="n">
        <v>0</v>
      </c>
      <c r="F587" s="28" t="n">
        <v>0</v>
      </c>
      <c r="G587" s="47" t="n">
        <v>43647</v>
      </c>
      <c r="H587" s="47" t="n">
        <v>43659</v>
      </c>
      <c r="I587" s="8" t="s">
        <v>72</v>
      </c>
    </row>
    <row r="588" customFormat="false" ht="12.8" hidden="false" customHeight="false" outlineLevel="0" collapsed="false">
      <c r="A588" s="8" t="s">
        <v>73</v>
      </c>
      <c r="B588" s="43" t="n">
        <v>135.3</v>
      </c>
      <c r="C588" s="8" t="n">
        <v>0</v>
      </c>
      <c r="D588" s="8" t="n">
        <v>1</v>
      </c>
      <c r="E588" s="8" t="n">
        <v>0</v>
      </c>
      <c r="F588" s="28" t="n">
        <v>0</v>
      </c>
      <c r="G588" s="47" t="n">
        <v>43647</v>
      </c>
      <c r="H588" s="47" t="n">
        <v>43659</v>
      </c>
      <c r="I588" s="8" t="s">
        <v>73</v>
      </c>
    </row>
    <row r="589" customFormat="false" ht="12.8" hidden="false" customHeight="false" outlineLevel="0" collapsed="false">
      <c r="A589" s="8" t="s">
        <v>105</v>
      </c>
      <c r="B589" s="43" t="n">
        <v>178.11</v>
      </c>
      <c r="C589" s="8" t="n">
        <v>0</v>
      </c>
      <c r="D589" s="8" t="n">
        <v>1</v>
      </c>
      <c r="E589" s="8" t="n">
        <v>0</v>
      </c>
      <c r="F589" s="28" t="n">
        <v>0</v>
      </c>
      <c r="G589" s="47" t="n">
        <v>43647</v>
      </c>
      <c r="H589" s="47" t="n">
        <v>43659</v>
      </c>
      <c r="I589" s="8" t="s">
        <v>106</v>
      </c>
    </row>
    <row r="590" customFormat="false" ht="12.8" hidden="false" customHeight="false" outlineLevel="0" collapsed="false">
      <c r="A590" s="8" t="s">
        <v>280</v>
      </c>
      <c r="B590" s="43" t="n">
        <v>35</v>
      </c>
      <c r="C590" s="8" t="n">
        <v>0</v>
      </c>
      <c r="D590" s="8" t="n">
        <v>1</v>
      </c>
      <c r="E590" s="8" t="n">
        <v>0</v>
      </c>
      <c r="F590" s="28" t="n">
        <v>0</v>
      </c>
      <c r="G590" s="47" t="n">
        <v>43647</v>
      </c>
      <c r="H590" s="47" t="n">
        <v>43479</v>
      </c>
      <c r="I590" s="8" t="s">
        <v>73</v>
      </c>
    </row>
    <row r="591" customFormat="false" ht="12.8" hidden="false" customHeight="false" outlineLevel="0" collapsed="false">
      <c r="A591" s="8" t="s">
        <v>94</v>
      </c>
      <c r="B591" s="43" t="n">
        <v>5.51</v>
      </c>
      <c r="C591" s="8" t="n">
        <v>0</v>
      </c>
      <c r="D591" s="8" t="n">
        <v>1</v>
      </c>
      <c r="E591" s="8" t="n">
        <v>0</v>
      </c>
      <c r="F591" s="28" t="n">
        <v>0</v>
      </c>
      <c r="G591" s="47" t="n">
        <v>43647</v>
      </c>
      <c r="H591" s="47" t="n">
        <v>43569</v>
      </c>
      <c r="I591" s="8" t="s">
        <v>84</v>
      </c>
    </row>
    <row r="592" customFormat="false" ht="12.8" hidden="false" customHeight="false" outlineLevel="0" collapsed="false">
      <c r="A592" s="8" t="s">
        <v>228</v>
      </c>
      <c r="B592" s="43" t="n">
        <v>14.98</v>
      </c>
      <c r="C592" s="8" t="n">
        <v>0</v>
      </c>
      <c r="D592" s="8" t="n">
        <v>1</v>
      </c>
      <c r="E592" s="8" t="n">
        <v>0</v>
      </c>
      <c r="F592" s="28" t="n">
        <v>0</v>
      </c>
      <c r="G592" s="47" t="n">
        <v>43647</v>
      </c>
      <c r="H592" s="47" t="n">
        <v>43659</v>
      </c>
      <c r="I592" s="8" t="s">
        <v>72</v>
      </c>
    </row>
    <row r="593" customFormat="false" ht="12.8" hidden="false" customHeight="false" outlineLevel="0" collapsed="false">
      <c r="A593" s="8" t="s">
        <v>79</v>
      </c>
      <c r="B593" s="43" t="n">
        <v>4.59</v>
      </c>
      <c r="C593" s="8" t="n">
        <v>0</v>
      </c>
      <c r="D593" s="8" t="n">
        <v>1</v>
      </c>
      <c r="E593" s="8" t="n">
        <v>0</v>
      </c>
      <c r="F593" s="28" t="n">
        <v>0</v>
      </c>
      <c r="G593" s="47" t="n">
        <v>43647</v>
      </c>
      <c r="H593" s="47" t="n">
        <v>43659</v>
      </c>
      <c r="I593" s="8" t="s">
        <v>138</v>
      </c>
    </row>
    <row r="594" customFormat="false" ht="12.8" hidden="false" customHeight="false" outlineLevel="0" collapsed="false">
      <c r="A594" s="8" t="s">
        <v>281</v>
      </c>
      <c r="B594" s="43" t="n">
        <v>53</v>
      </c>
      <c r="C594" s="8" t="n">
        <v>0</v>
      </c>
      <c r="D594" s="8" t="n">
        <v>1</v>
      </c>
      <c r="E594" s="8" t="n">
        <v>0</v>
      </c>
      <c r="F594" s="28" t="n">
        <v>0</v>
      </c>
      <c r="G594" s="47" t="n">
        <v>43647</v>
      </c>
      <c r="H594" s="47" t="n">
        <v>43659</v>
      </c>
      <c r="I594" s="8" t="s">
        <v>138</v>
      </c>
    </row>
    <row r="595" customFormat="false" ht="12.8" hidden="false" customHeight="false" outlineLevel="0" collapsed="false">
      <c r="A595" s="8" t="s">
        <v>282</v>
      </c>
      <c r="B595" s="43" t="n">
        <v>58.7</v>
      </c>
      <c r="C595" s="8" t="n">
        <v>0</v>
      </c>
      <c r="D595" s="8" t="n">
        <v>1</v>
      </c>
      <c r="E595" s="8" t="n">
        <v>0</v>
      </c>
      <c r="F595" s="28" t="n">
        <v>0</v>
      </c>
      <c r="G595" s="47" t="n">
        <v>43647</v>
      </c>
      <c r="H595" s="47" t="n">
        <v>43659</v>
      </c>
      <c r="I595" s="8" t="s">
        <v>138</v>
      </c>
    </row>
    <row r="596" customFormat="false" ht="12.8" hidden="false" customHeight="false" outlineLevel="0" collapsed="false">
      <c r="A596" s="8" t="s">
        <v>283</v>
      </c>
      <c r="B596" s="43" t="n">
        <v>37.9</v>
      </c>
      <c r="C596" s="8" t="n">
        <v>0</v>
      </c>
      <c r="D596" s="8" t="n">
        <v>1</v>
      </c>
      <c r="E596" s="8" t="n">
        <v>0</v>
      </c>
      <c r="F596" s="28" t="n">
        <v>0</v>
      </c>
      <c r="G596" s="47" t="n">
        <v>43647</v>
      </c>
      <c r="H596" s="47" t="n">
        <v>43661</v>
      </c>
      <c r="I596" s="8" t="s">
        <v>72</v>
      </c>
    </row>
    <row r="597" customFormat="false" ht="12.8" hidden="false" customHeight="false" outlineLevel="0" collapsed="false">
      <c r="A597" s="8" t="s">
        <v>260</v>
      </c>
      <c r="B597" s="43" t="n">
        <v>25.9</v>
      </c>
      <c r="C597" s="8" t="n">
        <v>0</v>
      </c>
      <c r="D597" s="8" t="n">
        <v>1</v>
      </c>
      <c r="E597" s="8" t="n">
        <v>0</v>
      </c>
      <c r="F597" s="28" t="n">
        <v>0</v>
      </c>
      <c r="G597" s="47" t="n">
        <v>43647</v>
      </c>
      <c r="H597" s="47" t="n">
        <v>43661</v>
      </c>
      <c r="I597" s="8" t="s">
        <v>79</v>
      </c>
    </row>
    <row r="598" customFormat="false" ht="12.8" hidden="false" customHeight="false" outlineLevel="0" collapsed="false">
      <c r="A598" s="8" t="s">
        <v>112</v>
      </c>
      <c r="B598" s="43" t="n">
        <v>5.5</v>
      </c>
      <c r="C598" s="8" t="n">
        <v>0</v>
      </c>
      <c r="D598" s="8" t="n">
        <v>1</v>
      </c>
      <c r="E598" s="8" t="n">
        <v>0</v>
      </c>
      <c r="F598" s="28" t="n">
        <v>0</v>
      </c>
      <c r="G598" s="47" t="n">
        <v>43647</v>
      </c>
      <c r="H598" s="47" t="n">
        <v>43661</v>
      </c>
      <c r="I598" s="8" t="s">
        <v>72</v>
      </c>
    </row>
    <row r="599" customFormat="false" ht="12.8" hidden="false" customHeight="false" outlineLevel="0" collapsed="false">
      <c r="A599" s="8" t="s">
        <v>112</v>
      </c>
      <c r="B599" s="43" t="n">
        <v>4.5</v>
      </c>
      <c r="C599" s="8" t="n">
        <v>0</v>
      </c>
      <c r="D599" s="8" t="n">
        <v>1</v>
      </c>
      <c r="E599" s="8" t="n">
        <v>0</v>
      </c>
      <c r="F599" s="28" t="n">
        <v>0</v>
      </c>
      <c r="G599" s="47" t="n">
        <v>43647</v>
      </c>
      <c r="H599" s="47" t="n">
        <v>43661</v>
      </c>
      <c r="I599" s="8" t="s">
        <v>72</v>
      </c>
    </row>
    <row r="600" customFormat="false" ht="12.8" hidden="false" customHeight="false" outlineLevel="0" collapsed="false">
      <c r="A600" s="8" t="s">
        <v>79</v>
      </c>
      <c r="B600" s="43" t="n">
        <v>222.34</v>
      </c>
      <c r="C600" s="8" t="n">
        <v>0</v>
      </c>
      <c r="D600" s="8" t="n">
        <v>1</v>
      </c>
      <c r="E600" s="8" t="n">
        <v>0</v>
      </c>
      <c r="F600" s="28" t="n">
        <v>0</v>
      </c>
      <c r="G600" s="47" t="n">
        <v>43647</v>
      </c>
      <c r="H600" s="47" t="n">
        <v>43662</v>
      </c>
      <c r="I600" s="8" t="s">
        <v>79</v>
      </c>
    </row>
    <row r="601" customFormat="false" ht="12.8" hidden="false" customHeight="false" outlineLevel="0" collapsed="false">
      <c r="A601" s="8" t="s">
        <v>260</v>
      </c>
      <c r="B601" s="43" t="n">
        <v>4</v>
      </c>
      <c r="C601" s="8" t="n">
        <v>0</v>
      </c>
      <c r="D601" s="8" t="n">
        <v>1</v>
      </c>
      <c r="E601" s="8" t="n">
        <v>0</v>
      </c>
      <c r="F601" s="28" t="n">
        <v>0</v>
      </c>
      <c r="G601" s="47" t="n">
        <v>43647</v>
      </c>
      <c r="H601" s="47" t="n">
        <v>43663</v>
      </c>
      <c r="I601" s="8" t="s">
        <v>79</v>
      </c>
    </row>
    <row r="602" customFormat="false" ht="12.8" hidden="false" customHeight="false" outlineLevel="0" collapsed="false">
      <c r="A602" s="8" t="s">
        <v>284</v>
      </c>
      <c r="B602" s="43" t="n">
        <v>12</v>
      </c>
      <c r="C602" s="8" t="n">
        <v>0</v>
      </c>
      <c r="D602" s="8" t="n">
        <v>1</v>
      </c>
      <c r="E602" s="8" t="n">
        <v>0</v>
      </c>
      <c r="F602" s="28" t="n">
        <v>0</v>
      </c>
      <c r="G602" s="47" t="n">
        <v>43647</v>
      </c>
      <c r="H602" s="47" t="n">
        <v>43664</v>
      </c>
      <c r="I602" s="8" t="s">
        <v>72</v>
      </c>
    </row>
    <row r="603" customFormat="false" ht="12.8" hidden="false" customHeight="false" outlineLevel="0" collapsed="false">
      <c r="A603" s="8" t="s">
        <v>285</v>
      </c>
      <c r="B603" s="43" t="n">
        <v>7.5</v>
      </c>
      <c r="C603" s="8" t="n">
        <v>0</v>
      </c>
      <c r="D603" s="8" t="n">
        <v>1</v>
      </c>
      <c r="E603" s="8" t="n">
        <v>0</v>
      </c>
      <c r="F603" s="28" t="n">
        <v>0</v>
      </c>
      <c r="G603" s="47" t="n">
        <v>43647</v>
      </c>
      <c r="H603" s="47" t="n">
        <v>43664</v>
      </c>
      <c r="I603" s="8" t="s">
        <v>72</v>
      </c>
    </row>
    <row r="604" customFormat="false" ht="12.8" hidden="false" customHeight="false" outlineLevel="0" collapsed="false">
      <c r="A604" s="8" t="s">
        <v>286</v>
      </c>
      <c r="B604" s="43" t="n">
        <v>5</v>
      </c>
      <c r="C604" s="8" t="n">
        <v>0</v>
      </c>
      <c r="D604" s="8" t="n">
        <v>1</v>
      </c>
      <c r="E604" s="8" t="n">
        <v>0</v>
      </c>
      <c r="F604" s="28" t="n">
        <v>0</v>
      </c>
      <c r="G604" s="47" t="n">
        <v>43647</v>
      </c>
      <c r="H604" s="47" t="n">
        <v>43664</v>
      </c>
      <c r="I604" s="8" t="s">
        <v>72</v>
      </c>
    </row>
    <row r="605" customFormat="false" ht="12.8" hidden="false" customHeight="false" outlineLevel="0" collapsed="false">
      <c r="A605" s="8" t="s">
        <v>287</v>
      </c>
      <c r="B605" s="43" t="n">
        <v>6</v>
      </c>
      <c r="C605" s="8" t="n">
        <v>0</v>
      </c>
      <c r="D605" s="8" t="n">
        <v>1</v>
      </c>
      <c r="E605" s="8" t="n">
        <v>0</v>
      </c>
      <c r="F605" s="28" t="n">
        <v>0</v>
      </c>
      <c r="G605" s="47" t="n">
        <v>43647</v>
      </c>
      <c r="H605" s="47" t="n">
        <v>43664</v>
      </c>
      <c r="I605" s="8" t="s">
        <v>72</v>
      </c>
    </row>
    <row r="606" customFormat="false" ht="12.8" hidden="false" customHeight="false" outlineLevel="0" collapsed="false">
      <c r="A606" s="8" t="s">
        <v>288</v>
      </c>
      <c r="B606" s="43" t="n">
        <v>5</v>
      </c>
      <c r="C606" s="8" t="n">
        <v>0</v>
      </c>
      <c r="D606" s="8" t="n">
        <v>1</v>
      </c>
      <c r="E606" s="8" t="n">
        <v>0</v>
      </c>
      <c r="F606" s="28" t="n">
        <v>0</v>
      </c>
      <c r="G606" s="47" t="n">
        <v>43647</v>
      </c>
      <c r="H606" s="47" t="n">
        <v>43664</v>
      </c>
      <c r="I606" s="8" t="s">
        <v>72</v>
      </c>
    </row>
    <row r="607" customFormat="false" ht="12.8" hidden="false" customHeight="false" outlineLevel="0" collapsed="false">
      <c r="A607" s="8" t="s">
        <v>289</v>
      </c>
      <c r="B607" s="43" t="n">
        <v>21</v>
      </c>
      <c r="C607" s="8" t="n">
        <v>0</v>
      </c>
      <c r="D607" s="8" t="n">
        <v>1</v>
      </c>
      <c r="E607" s="8" t="n">
        <v>0</v>
      </c>
      <c r="F607" s="28" t="n">
        <v>0</v>
      </c>
      <c r="G607" s="47" t="n">
        <v>43647</v>
      </c>
      <c r="H607" s="47" t="n">
        <v>43664</v>
      </c>
      <c r="I607" s="8" t="s">
        <v>72</v>
      </c>
    </row>
    <row r="608" customFormat="false" ht="12.8" hidden="false" customHeight="false" outlineLevel="0" collapsed="false">
      <c r="A608" s="8" t="s">
        <v>73</v>
      </c>
      <c r="B608" s="43" t="n">
        <v>32</v>
      </c>
      <c r="C608" s="8" t="n">
        <v>0</v>
      </c>
      <c r="D608" s="8" t="n">
        <v>1</v>
      </c>
      <c r="E608" s="8" t="n">
        <v>0</v>
      </c>
      <c r="F608" s="28" t="n">
        <v>0</v>
      </c>
      <c r="G608" s="47" t="n">
        <v>43647</v>
      </c>
      <c r="H608" s="47" t="n">
        <v>43665</v>
      </c>
      <c r="I608" s="8" t="s">
        <v>73</v>
      </c>
    </row>
    <row r="609" customFormat="false" ht="12.8" hidden="false" customHeight="false" outlineLevel="0" collapsed="false">
      <c r="A609" s="8" t="s">
        <v>118</v>
      </c>
      <c r="B609" s="43" t="n">
        <v>10.82</v>
      </c>
      <c r="C609" s="8" t="n">
        <v>0</v>
      </c>
      <c r="D609" s="8" t="n">
        <v>1</v>
      </c>
      <c r="E609" s="8" t="n">
        <v>0</v>
      </c>
      <c r="F609" s="28" t="n">
        <v>0</v>
      </c>
      <c r="G609" s="47" t="n">
        <v>43647</v>
      </c>
      <c r="H609" s="47" t="n">
        <v>43665</v>
      </c>
      <c r="I609" s="8" t="s">
        <v>72</v>
      </c>
    </row>
    <row r="610" customFormat="false" ht="12.8" hidden="false" customHeight="false" outlineLevel="0" collapsed="false">
      <c r="A610" s="8" t="s">
        <v>82</v>
      </c>
      <c r="B610" s="43" t="n">
        <v>15</v>
      </c>
      <c r="C610" s="8" t="n">
        <v>0</v>
      </c>
      <c r="D610" s="8" t="n">
        <v>1</v>
      </c>
      <c r="E610" s="8" t="n">
        <v>0</v>
      </c>
      <c r="F610" s="28" t="n">
        <v>0</v>
      </c>
      <c r="G610" s="47" t="n">
        <v>43647</v>
      </c>
      <c r="H610" s="47" t="n">
        <v>43665</v>
      </c>
      <c r="I610" s="8" t="s">
        <v>72</v>
      </c>
    </row>
    <row r="611" customFormat="false" ht="12.8" hidden="false" customHeight="false" outlineLevel="0" collapsed="false">
      <c r="A611" s="8" t="s">
        <v>112</v>
      </c>
      <c r="B611" s="43" t="n">
        <v>4.5</v>
      </c>
      <c r="C611" s="8" t="n">
        <v>0</v>
      </c>
      <c r="D611" s="8" t="n">
        <v>1</v>
      </c>
      <c r="E611" s="8" t="n">
        <v>0</v>
      </c>
      <c r="F611" s="28" t="n">
        <v>0</v>
      </c>
      <c r="G611" s="47" t="n">
        <v>43647</v>
      </c>
      <c r="H611" s="47" t="n">
        <v>43665</v>
      </c>
      <c r="I611" s="8" t="s">
        <v>72</v>
      </c>
    </row>
    <row r="612" customFormat="false" ht="12.8" hidden="false" customHeight="false" outlineLevel="0" collapsed="false">
      <c r="A612" s="8" t="s">
        <v>82</v>
      </c>
      <c r="B612" s="43" t="n">
        <v>2</v>
      </c>
      <c r="C612" s="8" t="n">
        <v>0</v>
      </c>
      <c r="D612" s="8" t="n">
        <v>1</v>
      </c>
      <c r="E612" s="8" t="n">
        <v>0</v>
      </c>
      <c r="F612" s="28" t="n">
        <v>0</v>
      </c>
      <c r="G612" s="47" t="n">
        <v>43647</v>
      </c>
      <c r="H612" s="47" t="n">
        <v>43668</v>
      </c>
      <c r="I612" s="8" t="s">
        <v>72</v>
      </c>
    </row>
    <row r="613" customFormat="false" ht="12.8" hidden="false" customHeight="false" outlineLevel="0" collapsed="false">
      <c r="A613" s="8" t="s">
        <v>102</v>
      </c>
      <c r="B613" s="43" t="n">
        <v>17</v>
      </c>
      <c r="C613" s="8" t="n">
        <v>0</v>
      </c>
      <c r="D613" s="8" t="n">
        <v>1</v>
      </c>
      <c r="E613" s="8" t="n">
        <v>0</v>
      </c>
      <c r="F613" s="28" t="n">
        <v>0</v>
      </c>
      <c r="G613" s="47" t="n">
        <v>43647</v>
      </c>
      <c r="H613" s="47" t="n">
        <v>43668</v>
      </c>
      <c r="I613" s="8" t="s">
        <v>106</v>
      </c>
    </row>
    <row r="614" customFormat="false" ht="12.8" hidden="false" customHeight="false" outlineLevel="0" collapsed="false">
      <c r="A614" s="8" t="s">
        <v>73</v>
      </c>
      <c r="B614" s="43" t="n">
        <v>140.25</v>
      </c>
      <c r="C614" s="8" t="n">
        <v>0</v>
      </c>
      <c r="D614" s="8" t="n">
        <v>1</v>
      </c>
      <c r="E614" s="8" t="n">
        <v>0</v>
      </c>
      <c r="F614" s="28" t="n">
        <v>0</v>
      </c>
      <c r="G614" s="47" t="n">
        <v>43647</v>
      </c>
      <c r="H614" s="47" t="n">
        <v>43668</v>
      </c>
      <c r="I614" s="8" t="s">
        <v>73</v>
      </c>
    </row>
    <row r="615" customFormat="false" ht="12.8" hidden="false" customHeight="false" outlineLevel="0" collapsed="false">
      <c r="A615" s="8" t="s">
        <v>290</v>
      </c>
      <c r="B615" s="43" t="n">
        <v>17.9</v>
      </c>
      <c r="C615" s="8" t="n">
        <v>0</v>
      </c>
      <c r="D615" s="8" t="n">
        <v>1</v>
      </c>
      <c r="E615" s="8" t="n">
        <v>0</v>
      </c>
      <c r="F615" s="28" t="n">
        <v>0</v>
      </c>
      <c r="G615" s="47" t="n">
        <v>43647</v>
      </c>
      <c r="H615" s="47" t="n">
        <v>43668</v>
      </c>
      <c r="I615" s="8" t="s">
        <v>72</v>
      </c>
    </row>
    <row r="616" customFormat="false" ht="12.8" hidden="false" customHeight="false" outlineLevel="0" collapsed="false">
      <c r="A616" s="8" t="s">
        <v>112</v>
      </c>
      <c r="B616" s="43" t="n">
        <v>4.5</v>
      </c>
      <c r="C616" s="8" t="n">
        <v>0</v>
      </c>
      <c r="D616" s="8" t="n">
        <v>1</v>
      </c>
      <c r="E616" s="8" t="n">
        <v>0</v>
      </c>
      <c r="F616" s="28" t="n">
        <v>0</v>
      </c>
      <c r="G616" s="47" t="n">
        <v>43647</v>
      </c>
      <c r="H616" s="47" t="n">
        <v>43668</v>
      </c>
      <c r="I616" s="8" t="s">
        <v>72</v>
      </c>
    </row>
    <row r="617" customFormat="false" ht="12.8" hidden="false" customHeight="false" outlineLevel="0" collapsed="false">
      <c r="A617" s="8" t="s">
        <v>291</v>
      </c>
      <c r="B617" s="43" t="n">
        <v>8.98</v>
      </c>
      <c r="C617" s="8" t="n">
        <v>0</v>
      </c>
      <c r="D617" s="8" t="n">
        <v>1</v>
      </c>
      <c r="E617" s="8" t="n">
        <v>0</v>
      </c>
      <c r="F617" s="28" t="n">
        <v>0</v>
      </c>
      <c r="G617" s="47" t="n">
        <v>43647</v>
      </c>
      <c r="H617" s="47" t="n">
        <v>43668</v>
      </c>
      <c r="I617" s="8" t="s">
        <v>72</v>
      </c>
    </row>
    <row r="618" customFormat="false" ht="12.8" hidden="false" customHeight="false" outlineLevel="0" collapsed="false">
      <c r="A618" s="8" t="s">
        <v>73</v>
      </c>
      <c r="B618" s="43" t="n">
        <v>18</v>
      </c>
      <c r="C618" s="8" t="n">
        <v>0</v>
      </c>
      <c r="D618" s="8" t="n">
        <v>1</v>
      </c>
      <c r="E618" s="8" t="n">
        <v>0</v>
      </c>
      <c r="F618" s="28" t="n">
        <v>0</v>
      </c>
      <c r="G618" s="47" t="n">
        <v>43647</v>
      </c>
      <c r="H618" s="47" t="n">
        <v>43668</v>
      </c>
      <c r="I618" s="8" t="s">
        <v>73</v>
      </c>
    </row>
    <row r="619" customFormat="false" ht="12.8" hidden="false" customHeight="false" outlineLevel="0" collapsed="false">
      <c r="A619" s="8" t="s">
        <v>82</v>
      </c>
      <c r="B619" s="43" t="n">
        <v>2.5</v>
      </c>
      <c r="C619" s="8" t="n">
        <v>0</v>
      </c>
      <c r="D619" s="8" t="n">
        <v>1</v>
      </c>
      <c r="E619" s="8" t="n">
        <v>0</v>
      </c>
      <c r="F619" s="28" t="n">
        <v>0</v>
      </c>
      <c r="G619" s="47" t="n">
        <v>43647</v>
      </c>
      <c r="H619" s="47" t="n">
        <v>43668</v>
      </c>
      <c r="I619" s="8" t="s">
        <v>72</v>
      </c>
    </row>
    <row r="620" customFormat="false" ht="12.8" hidden="false" customHeight="false" outlineLevel="0" collapsed="false">
      <c r="A620" s="8" t="s">
        <v>292</v>
      </c>
      <c r="B620" s="43" t="n">
        <v>45</v>
      </c>
      <c r="C620" s="8" t="n">
        <v>0</v>
      </c>
      <c r="D620" s="8" t="n">
        <v>1</v>
      </c>
      <c r="E620" s="8" t="n">
        <v>0</v>
      </c>
      <c r="F620" s="28" t="n">
        <v>0</v>
      </c>
      <c r="G620" s="47" t="n">
        <v>43647</v>
      </c>
      <c r="H620" s="47" t="n">
        <v>43668</v>
      </c>
      <c r="I620" s="8" t="s">
        <v>72</v>
      </c>
    </row>
    <row r="621" customFormat="false" ht="12.8" hidden="false" customHeight="false" outlineLevel="0" collapsed="false">
      <c r="A621" s="8" t="s">
        <v>116</v>
      </c>
      <c r="B621" s="43" t="n">
        <v>36.62</v>
      </c>
      <c r="C621" s="8" t="n">
        <v>0</v>
      </c>
      <c r="D621" s="8" t="n">
        <v>1</v>
      </c>
      <c r="E621" s="8" t="n">
        <v>0</v>
      </c>
      <c r="F621" s="28" t="n">
        <v>0</v>
      </c>
      <c r="G621" s="47" t="n">
        <v>43647</v>
      </c>
      <c r="H621" s="47" t="n">
        <v>43668</v>
      </c>
      <c r="I621" s="8" t="s">
        <v>116</v>
      </c>
    </row>
    <row r="622" customFormat="false" ht="12.8" hidden="false" customHeight="false" outlineLevel="0" collapsed="false">
      <c r="A622" s="8" t="s">
        <v>293</v>
      </c>
      <c r="B622" s="43" t="n">
        <v>20</v>
      </c>
      <c r="C622" s="8" t="n">
        <v>0</v>
      </c>
      <c r="D622" s="8" t="n">
        <v>1</v>
      </c>
      <c r="E622" s="8" t="n">
        <v>0</v>
      </c>
      <c r="F622" s="28" t="n">
        <v>0</v>
      </c>
      <c r="G622" s="47" t="n">
        <v>43647</v>
      </c>
      <c r="H622" s="47" t="n">
        <v>43668</v>
      </c>
      <c r="I622" s="8" t="s">
        <v>72</v>
      </c>
    </row>
    <row r="623" customFormat="false" ht="12.8" hidden="false" customHeight="false" outlineLevel="0" collapsed="false">
      <c r="A623" s="8" t="s">
        <v>294</v>
      </c>
      <c r="B623" s="43" t="n">
        <v>5</v>
      </c>
      <c r="C623" s="8" t="n">
        <v>0</v>
      </c>
      <c r="D623" s="8" t="n">
        <v>1</v>
      </c>
      <c r="E623" s="8" t="n">
        <v>0</v>
      </c>
      <c r="F623" s="28" t="n">
        <v>0</v>
      </c>
      <c r="G623" s="47" t="n">
        <v>43647</v>
      </c>
      <c r="H623" s="47" t="n">
        <v>43669</v>
      </c>
      <c r="I623" s="8" t="s">
        <v>72</v>
      </c>
    </row>
    <row r="624" customFormat="false" ht="12.8" hidden="false" customHeight="false" outlineLevel="0" collapsed="false">
      <c r="A624" s="8" t="s">
        <v>105</v>
      </c>
      <c r="B624" s="43" t="n">
        <v>77.98</v>
      </c>
      <c r="C624" s="8" t="n">
        <v>0</v>
      </c>
      <c r="D624" s="8" t="n">
        <v>1</v>
      </c>
      <c r="E624" s="8" t="n">
        <v>0</v>
      </c>
      <c r="F624" s="28" t="n">
        <v>0</v>
      </c>
      <c r="G624" s="47" t="n">
        <v>43647</v>
      </c>
      <c r="H624" s="47" t="n">
        <v>43669</v>
      </c>
      <c r="I624" s="8" t="s">
        <v>106</v>
      </c>
    </row>
    <row r="625" customFormat="false" ht="12.8" hidden="false" customHeight="false" outlineLevel="0" collapsed="false">
      <c r="A625" s="8" t="s">
        <v>260</v>
      </c>
      <c r="B625" s="43" t="n">
        <v>10.9</v>
      </c>
      <c r="C625" s="8" t="n">
        <v>0</v>
      </c>
      <c r="D625" s="8" t="n">
        <v>1</v>
      </c>
      <c r="E625" s="8" t="n">
        <v>0</v>
      </c>
      <c r="F625" s="28" t="n">
        <v>0</v>
      </c>
      <c r="G625" s="47" t="n">
        <v>43647</v>
      </c>
      <c r="H625" s="47" t="n">
        <v>43670</v>
      </c>
      <c r="I625" s="8" t="s">
        <v>79</v>
      </c>
    </row>
    <row r="626" customFormat="false" ht="12.8" hidden="false" customHeight="false" outlineLevel="0" collapsed="false">
      <c r="A626" s="8" t="s">
        <v>79</v>
      </c>
      <c r="B626" s="43" t="n">
        <v>184.64</v>
      </c>
      <c r="C626" s="8" t="n">
        <v>0</v>
      </c>
      <c r="D626" s="8" t="n">
        <v>1</v>
      </c>
      <c r="E626" s="8" t="n">
        <v>0</v>
      </c>
      <c r="F626" s="28" t="n">
        <v>0</v>
      </c>
      <c r="G626" s="47" t="n">
        <v>43647</v>
      </c>
      <c r="H626" s="47" t="n">
        <v>43670</v>
      </c>
      <c r="I626" s="8" t="s">
        <v>79</v>
      </c>
    </row>
    <row r="627" customFormat="false" ht="12.8" hidden="false" customHeight="false" outlineLevel="0" collapsed="false">
      <c r="A627" s="8" t="s">
        <v>295</v>
      </c>
      <c r="B627" s="43" t="n">
        <v>4.99</v>
      </c>
      <c r="C627" s="8" t="n">
        <v>0</v>
      </c>
      <c r="D627" s="8" t="n">
        <v>1</v>
      </c>
      <c r="E627" s="8" t="n">
        <v>0</v>
      </c>
      <c r="F627" s="28" t="n">
        <v>0</v>
      </c>
      <c r="G627" s="47" t="n">
        <v>43647</v>
      </c>
      <c r="H627" s="47" t="n">
        <v>43671</v>
      </c>
      <c r="I627" s="8" t="s">
        <v>72</v>
      </c>
    </row>
    <row r="628" customFormat="false" ht="12.8" hidden="false" customHeight="false" outlineLevel="0" collapsed="false">
      <c r="A628" s="8" t="s">
        <v>136</v>
      </c>
      <c r="B628" s="43" t="n">
        <v>100</v>
      </c>
      <c r="C628" s="8" t="n">
        <v>0</v>
      </c>
      <c r="D628" s="8" t="n">
        <v>1</v>
      </c>
      <c r="E628" s="8" t="n">
        <v>0</v>
      </c>
      <c r="F628" s="28" t="n">
        <v>0</v>
      </c>
      <c r="G628" s="47" t="n">
        <v>43647</v>
      </c>
      <c r="H628" s="47" t="n">
        <v>43672</v>
      </c>
      <c r="I628" s="8" t="s">
        <v>136</v>
      </c>
    </row>
    <row r="629" customFormat="false" ht="12.8" hidden="false" customHeight="false" outlineLevel="0" collapsed="false">
      <c r="A629" s="8" t="s">
        <v>296</v>
      </c>
      <c r="B629" s="43" t="n">
        <v>15</v>
      </c>
      <c r="C629" s="8" t="n">
        <v>0</v>
      </c>
      <c r="D629" s="8" t="n">
        <v>1</v>
      </c>
      <c r="E629" s="8" t="n">
        <v>0</v>
      </c>
      <c r="F629" s="28" t="n">
        <v>0</v>
      </c>
      <c r="G629" s="47" t="n">
        <v>43647</v>
      </c>
      <c r="H629" s="47" t="n">
        <v>43672</v>
      </c>
      <c r="I629" s="8" t="s">
        <v>72</v>
      </c>
    </row>
    <row r="630" customFormat="false" ht="12.8" hidden="false" customHeight="false" outlineLevel="0" collapsed="false">
      <c r="A630" s="8" t="s">
        <v>153</v>
      </c>
      <c r="B630" s="43" t="n">
        <v>61.19</v>
      </c>
      <c r="C630" s="8" t="n">
        <v>0</v>
      </c>
      <c r="D630" s="8" t="n">
        <v>1</v>
      </c>
      <c r="E630" s="8" t="n">
        <v>0</v>
      </c>
      <c r="F630" s="28" t="n">
        <v>0</v>
      </c>
      <c r="G630" s="47" t="n">
        <v>43647</v>
      </c>
      <c r="H630" s="47" t="n">
        <v>43672</v>
      </c>
      <c r="I630" s="8" t="s">
        <v>72</v>
      </c>
    </row>
    <row r="631" customFormat="false" ht="12.8" hidden="false" customHeight="false" outlineLevel="0" collapsed="false">
      <c r="A631" s="8" t="s">
        <v>297</v>
      </c>
      <c r="B631" s="43" t="n">
        <v>3</v>
      </c>
      <c r="C631" s="8" t="n">
        <v>0</v>
      </c>
      <c r="D631" s="8" t="n">
        <v>1</v>
      </c>
      <c r="E631" s="8" t="n">
        <v>0</v>
      </c>
      <c r="F631" s="28" t="n">
        <v>0</v>
      </c>
      <c r="G631" s="47" t="n">
        <v>43647</v>
      </c>
      <c r="H631" s="47" t="n">
        <v>43672</v>
      </c>
      <c r="I631" s="8" t="s">
        <v>72</v>
      </c>
    </row>
    <row r="632" customFormat="false" ht="12.8" hidden="false" customHeight="false" outlineLevel="0" collapsed="false">
      <c r="A632" s="8" t="s">
        <v>94</v>
      </c>
      <c r="B632" s="43" t="n">
        <v>20.3</v>
      </c>
      <c r="C632" s="8" t="n">
        <v>0</v>
      </c>
      <c r="D632" s="8" t="n">
        <v>1</v>
      </c>
      <c r="E632" s="8" t="n">
        <v>0</v>
      </c>
      <c r="F632" s="28" t="n">
        <v>0</v>
      </c>
      <c r="G632" s="47" t="n">
        <v>43647</v>
      </c>
      <c r="H632" s="47" t="n">
        <v>43672</v>
      </c>
      <c r="I632" s="8" t="s">
        <v>84</v>
      </c>
    </row>
    <row r="633" customFormat="false" ht="12.8" hidden="false" customHeight="false" outlineLevel="0" collapsed="false">
      <c r="A633" s="8" t="s">
        <v>298</v>
      </c>
      <c r="B633" s="43" t="n">
        <v>22.4</v>
      </c>
      <c r="C633" s="8" t="n">
        <v>0</v>
      </c>
      <c r="D633" s="8" t="n">
        <v>1</v>
      </c>
      <c r="E633" s="8" t="n">
        <v>0</v>
      </c>
      <c r="F633" s="28" t="n">
        <v>0</v>
      </c>
      <c r="G633" s="47" t="n">
        <v>43647</v>
      </c>
      <c r="H633" s="47" t="n">
        <v>43675</v>
      </c>
      <c r="I633" s="8" t="s">
        <v>72</v>
      </c>
    </row>
    <row r="634" customFormat="false" ht="12.8" hidden="false" customHeight="false" outlineLevel="0" collapsed="false">
      <c r="A634" s="8" t="s">
        <v>299</v>
      </c>
      <c r="B634" s="43" t="n">
        <v>21.86</v>
      </c>
      <c r="C634" s="8" t="n">
        <v>0</v>
      </c>
      <c r="D634" s="8" t="n">
        <v>1</v>
      </c>
      <c r="E634" s="8" t="n">
        <v>0</v>
      </c>
      <c r="F634" s="28" t="n">
        <v>0</v>
      </c>
      <c r="G634" s="47" t="n">
        <v>43647</v>
      </c>
      <c r="H634" s="47" t="n">
        <v>43675</v>
      </c>
      <c r="I634" s="8" t="s">
        <v>81</v>
      </c>
    </row>
    <row r="635" customFormat="false" ht="12.8" hidden="false" customHeight="false" outlineLevel="0" collapsed="false">
      <c r="A635" s="8" t="s">
        <v>158</v>
      </c>
      <c r="B635" s="43" t="n">
        <v>11.25</v>
      </c>
      <c r="C635" s="8" t="n">
        <v>0</v>
      </c>
      <c r="D635" s="8" t="n">
        <v>1</v>
      </c>
      <c r="E635" s="8" t="n">
        <v>0</v>
      </c>
      <c r="F635" s="28" t="n">
        <v>0</v>
      </c>
      <c r="G635" s="47" t="n">
        <v>43647</v>
      </c>
      <c r="H635" s="47" t="n">
        <v>43675</v>
      </c>
      <c r="I635" s="8" t="s">
        <v>72</v>
      </c>
    </row>
    <row r="636" customFormat="false" ht="12.8" hidden="false" customHeight="false" outlineLevel="0" collapsed="false">
      <c r="A636" s="8" t="s">
        <v>84</v>
      </c>
      <c r="B636" s="43" t="n">
        <v>26.38</v>
      </c>
      <c r="C636" s="8" t="n">
        <v>0</v>
      </c>
      <c r="D636" s="8" t="n">
        <v>1</v>
      </c>
      <c r="E636" s="8" t="n">
        <v>0</v>
      </c>
      <c r="F636" s="28" t="n">
        <v>0</v>
      </c>
      <c r="G636" s="47" t="n">
        <v>43647</v>
      </c>
      <c r="H636" s="47" t="n">
        <v>43675</v>
      </c>
      <c r="I636" s="8" t="s">
        <v>84</v>
      </c>
    </row>
    <row r="637" customFormat="false" ht="12.8" hidden="false" customHeight="false" outlineLevel="0" collapsed="false">
      <c r="A637" s="8" t="s">
        <v>260</v>
      </c>
      <c r="B637" s="43" t="n">
        <v>37</v>
      </c>
      <c r="C637" s="8" t="n">
        <v>0</v>
      </c>
      <c r="D637" s="8" t="n">
        <v>1</v>
      </c>
      <c r="E637" s="8" t="n">
        <v>0</v>
      </c>
      <c r="F637" s="28" t="n">
        <v>0</v>
      </c>
      <c r="G637" s="47" t="n">
        <v>43647</v>
      </c>
      <c r="H637" s="47" t="n">
        <v>43675</v>
      </c>
      <c r="I637" s="8" t="s">
        <v>79</v>
      </c>
    </row>
    <row r="638" customFormat="false" ht="12.8" hidden="false" customHeight="false" outlineLevel="0" collapsed="false">
      <c r="A638" s="8" t="s">
        <v>300</v>
      </c>
      <c r="B638" s="43" t="n">
        <v>34</v>
      </c>
      <c r="C638" s="8" t="n">
        <v>0</v>
      </c>
      <c r="D638" s="8" t="n">
        <v>1</v>
      </c>
      <c r="E638" s="8" t="n">
        <v>0</v>
      </c>
      <c r="F638" s="28" t="n">
        <v>0</v>
      </c>
      <c r="G638" s="47" t="n">
        <v>43647</v>
      </c>
      <c r="H638" s="47" t="n">
        <v>43675</v>
      </c>
      <c r="I638" s="8" t="s">
        <v>81</v>
      </c>
    </row>
    <row r="639" customFormat="false" ht="12.8" hidden="false" customHeight="false" outlineLevel="0" collapsed="false">
      <c r="A639" s="8" t="s">
        <v>105</v>
      </c>
      <c r="B639" s="43" t="n">
        <v>204.5</v>
      </c>
      <c r="C639" s="8" t="n">
        <v>0</v>
      </c>
      <c r="D639" s="8" t="n">
        <v>1</v>
      </c>
      <c r="E639" s="8" t="n">
        <v>0</v>
      </c>
      <c r="F639" s="28" t="n">
        <v>0</v>
      </c>
      <c r="G639" s="47" t="n">
        <v>43647</v>
      </c>
      <c r="H639" s="47" t="n">
        <v>43675</v>
      </c>
      <c r="I639" s="8" t="s">
        <v>106</v>
      </c>
    </row>
    <row r="640" customFormat="false" ht="12.8" hidden="false" customHeight="false" outlineLevel="0" collapsed="false">
      <c r="A640" s="8" t="s">
        <v>199</v>
      </c>
      <c r="B640" s="43" t="n">
        <v>58.22</v>
      </c>
      <c r="C640" s="8" t="n">
        <v>0</v>
      </c>
      <c r="D640" s="8" t="n">
        <v>1</v>
      </c>
      <c r="E640" s="8" t="n">
        <v>0</v>
      </c>
      <c r="F640" s="28" t="n">
        <v>0</v>
      </c>
      <c r="G640" s="47" t="n">
        <v>43647</v>
      </c>
      <c r="H640" s="47" t="n">
        <v>43675</v>
      </c>
      <c r="I640" s="8" t="s">
        <v>116</v>
      </c>
    </row>
    <row r="641" customFormat="false" ht="12.8" hidden="false" customHeight="false" outlineLevel="0" collapsed="false">
      <c r="A641" s="8" t="s">
        <v>301</v>
      </c>
      <c r="B641" s="43" t="n">
        <v>52.44</v>
      </c>
      <c r="C641" s="8" t="n">
        <v>0</v>
      </c>
      <c r="D641" s="8" t="n">
        <v>1</v>
      </c>
      <c r="E641" s="8" t="n">
        <v>0</v>
      </c>
      <c r="F641" s="28" t="n">
        <v>0</v>
      </c>
      <c r="G641" s="47" t="n">
        <v>43647</v>
      </c>
      <c r="H641" s="47" t="n">
        <v>43675</v>
      </c>
      <c r="I641" s="8" t="s">
        <v>73</v>
      </c>
    </row>
    <row r="642" customFormat="false" ht="12.8" hidden="false" customHeight="false" outlineLevel="0" collapsed="false">
      <c r="A642" s="8" t="s">
        <v>301</v>
      </c>
      <c r="B642" s="43" t="n">
        <v>59.06</v>
      </c>
      <c r="C642" s="8" t="n">
        <v>0</v>
      </c>
      <c r="D642" s="8" t="n">
        <v>1</v>
      </c>
      <c r="E642" s="8" t="n">
        <v>0</v>
      </c>
      <c r="F642" s="28" t="n">
        <v>0</v>
      </c>
      <c r="G642" s="47" t="n">
        <v>43647</v>
      </c>
      <c r="H642" s="47" t="n">
        <v>43675</v>
      </c>
      <c r="I642" s="8" t="s">
        <v>73</v>
      </c>
    </row>
    <row r="643" customFormat="false" ht="12.8" hidden="false" customHeight="false" outlineLevel="0" collapsed="false">
      <c r="A643" s="8" t="s">
        <v>79</v>
      </c>
      <c r="B643" s="43" t="n">
        <v>3.47</v>
      </c>
      <c r="C643" s="8" t="n">
        <v>0</v>
      </c>
      <c r="D643" s="8" t="n">
        <v>1</v>
      </c>
      <c r="E643" s="8" t="n">
        <v>0</v>
      </c>
      <c r="F643" s="28" t="n">
        <v>0</v>
      </c>
      <c r="G643" s="47" t="n">
        <v>43647</v>
      </c>
      <c r="H643" s="47" t="n">
        <v>43676</v>
      </c>
      <c r="I643" s="8" t="s">
        <v>79</v>
      </c>
    </row>
    <row r="644" customFormat="false" ht="12.8" hidden="false" customHeight="false" outlineLevel="0" collapsed="false">
      <c r="A644" s="8" t="s">
        <v>302</v>
      </c>
      <c r="B644" s="43" t="n">
        <v>3000</v>
      </c>
      <c r="C644" s="8" t="n">
        <v>0</v>
      </c>
      <c r="D644" s="8" t="n">
        <v>0</v>
      </c>
      <c r="E644" s="8" t="n">
        <v>0</v>
      </c>
      <c r="F644" s="8" t="n">
        <v>1</v>
      </c>
      <c r="G644" s="47" t="n">
        <v>43647</v>
      </c>
      <c r="H644" s="47" t="n">
        <v>43677</v>
      </c>
      <c r="I644" s="8" t="s">
        <v>302</v>
      </c>
    </row>
    <row r="645" customFormat="false" ht="12.8" hidden="false" customHeight="false" outlineLevel="0" collapsed="false">
      <c r="A645" s="25" t="s">
        <v>57</v>
      </c>
      <c r="B645" s="26" t="n">
        <v>76.9</v>
      </c>
      <c r="C645" s="25" t="n">
        <v>1</v>
      </c>
      <c r="D645" s="25" t="n">
        <v>0</v>
      </c>
      <c r="E645" s="25" t="n">
        <v>0</v>
      </c>
      <c r="F645" s="28" t="n">
        <v>0</v>
      </c>
      <c r="G645" s="27" t="n">
        <v>43678</v>
      </c>
      <c r="H645" s="27" t="n">
        <v>43679</v>
      </c>
      <c r="I645" s="25" t="s">
        <v>58</v>
      </c>
    </row>
    <row r="646" customFormat="false" ht="12.8" hidden="false" customHeight="false" outlineLevel="0" collapsed="false">
      <c r="A646" s="25" t="s">
        <v>135</v>
      </c>
      <c r="B646" s="26" t="n">
        <f aca="false">SUMIFS(credito!$B$1:$B$190,credito!$F$1:$F$190,debito!G646,credito!$G$1:$G$190,0)</f>
        <v>1278.06</v>
      </c>
      <c r="C646" s="25" t="n">
        <v>0</v>
      </c>
      <c r="D646" s="25" t="n">
        <v>1</v>
      </c>
      <c r="E646" s="25" t="n">
        <v>0</v>
      </c>
      <c r="F646" s="28" t="n">
        <v>0</v>
      </c>
      <c r="G646" s="27" t="n">
        <v>43678</v>
      </c>
      <c r="H646" s="27" t="n">
        <v>43693</v>
      </c>
      <c r="I646" s="25" t="s">
        <v>131</v>
      </c>
    </row>
    <row r="647" customFormat="false" ht="12.8" hidden="false" customHeight="false" outlineLevel="0" collapsed="false">
      <c r="A647" s="25" t="s">
        <v>132</v>
      </c>
      <c r="B647" s="26" t="n">
        <v>229.79</v>
      </c>
      <c r="C647" s="25" t="n">
        <v>1</v>
      </c>
      <c r="D647" s="25" t="n">
        <v>0</v>
      </c>
      <c r="E647" s="25" t="n">
        <v>0</v>
      </c>
      <c r="F647" s="28" t="n">
        <v>0</v>
      </c>
      <c r="G647" s="27" t="n">
        <v>43678</v>
      </c>
      <c r="H647" s="27" t="n">
        <v>43693</v>
      </c>
      <c r="I647" s="25" t="s">
        <v>131</v>
      </c>
    </row>
    <row r="648" customFormat="false" ht="12.8" hidden="false" customHeight="false" outlineLevel="0" collapsed="false">
      <c r="A648" s="25" t="s">
        <v>69</v>
      </c>
      <c r="B648" s="26" t="n">
        <v>330</v>
      </c>
      <c r="C648" s="25" t="n">
        <v>1</v>
      </c>
      <c r="D648" s="25" t="n">
        <v>0</v>
      </c>
      <c r="E648" s="25" t="n">
        <v>0</v>
      </c>
      <c r="F648" s="28" t="n">
        <v>0</v>
      </c>
      <c r="G648" s="27" t="n">
        <v>43678</v>
      </c>
      <c r="H648" s="27" t="n">
        <v>43696</v>
      </c>
      <c r="I648" s="25" t="s">
        <v>70</v>
      </c>
    </row>
    <row r="649" customFormat="false" ht="12.8" hidden="false" customHeight="false" outlineLevel="0" collapsed="false">
      <c r="A649" s="25" t="s">
        <v>62</v>
      </c>
      <c r="B649" s="26" t="n">
        <v>6.41</v>
      </c>
      <c r="C649" s="25" t="n">
        <v>1</v>
      </c>
      <c r="D649" s="25" t="n">
        <v>0</v>
      </c>
      <c r="E649" s="25" t="n">
        <v>0</v>
      </c>
      <c r="F649" s="28" t="n">
        <v>0</v>
      </c>
      <c r="G649" s="27" t="n">
        <v>43678</v>
      </c>
      <c r="H649" s="27" t="n">
        <v>43689</v>
      </c>
      <c r="I649" s="25" t="s">
        <v>58</v>
      </c>
    </row>
    <row r="650" customFormat="false" ht="12.8" hidden="false" customHeight="false" outlineLevel="0" collapsed="false">
      <c r="A650" s="25" t="s">
        <v>63</v>
      </c>
      <c r="B650" s="26" t="n">
        <v>75</v>
      </c>
      <c r="C650" s="25" t="n">
        <v>1</v>
      </c>
      <c r="D650" s="25" t="n">
        <v>0</v>
      </c>
      <c r="E650" s="25" t="n">
        <v>0</v>
      </c>
      <c r="F650" s="28" t="n">
        <v>0</v>
      </c>
      <c r="G650" s="27" t="n">
        <v>43678</v>
      </c>
      <c r="H650" s="27" t="n">
        <v>43689</v>
      </c>
      <c r="I650" s="25" t="s">
        <v>64</v>
      </c>
    </row>
    <row r="651" customFormat="false" ht="12.8" hidden="false" customHeight="false" outlineLevel="0" collapsed="false">
      <c r="A651" s="25" t="s">
        <v>75</v>
      </c>
      <c r="B651" s="26" t="n">
        <v>250.59</v>
      </c>
      <c r="C651" s="25" t="n">
        <v>1</v>
      </c>
      <c r="D651" s="25" t="n">
        <v>0</v>
      </c>
      <c r="E651" s="25" t="n">
        <v>0</v>
      </c>
      <c r="F651" s="28" t="n">
        <v>0</v>
      </c>
      <c r="G651" s="27" t="n">
        <v>43678</v>
      </c>
      <c r="H651" s="27" t="n">
        <v>43693</v>
      </c>
      <c r="I651" s="25" t="s">
        <v>76</v>
      </c>
    </row>
    <row r="652" customFormat="false" ht="12.8" hidden="false" customHeight="false" outlineLevel="0" collapsed="false">
      <c r="A652" s="44" t="s">
        <v>65</v>
      </c>
      <c r="B652" s="45" t="n">
        <v>2700</v>
      </c>
      <c r="C652" s="44" t="n">
        <v>1</v>
      </c>
      <c r="D652" s="44" t="n">
        <v>0</v>
      </c>
      <c r="E652" s="44" t="n">
        <v>1</v>
      </c>
      <c r="F652" s="28" t="n">
        <v>0</v>
      </c>
      <c r="G652" s="46" t="n">
        <v>43678</v>
      </c>
      <c r="H652" s="46" t="n">
        <v>43616</v>
      </c>
      <c r="I652" s="44" t="s">
        <v>66</v>
      </c>
    </row>
    <row r="653" customFormat="false" ht="12.8" hidden="false" customHeight="false" outlineLevel="0" collapsed="false">
      <c r="A653" s="25" t="s">
        <v>177</v>
      </c>
      <c r="B653" s="26" t="n">
        <v>187.87</v>
      </c>
      <c r="C653" s="25" t="n">
        <v>1</v>
      </c>
      <c r="D653" s="25" t="n">
        <v>0</v>
      </c>
      <c r="E653" s="25" t="n">
        <v>0</v>
      </c>
      <c r="F653" s="28" t="n">
        <v>0</v>
      </c>
      <c r="G653" s="27" t="n">
        <v>43678</v>
      </c>
      <c r="H653" s="27" t="n">
        <v>43693</v>
      </c>
      <c r="I653" s="25" t="s">
        <v>106</v>
      </c>
    </row>
    <row r="654" customFormat="false" ht="12.8" hidden="false" customHeight="false" outlineLevel="0" collapsed="false">
      <c r="A654" s="25" t="s">
        <v>183</v>
      </c>
      <c r="B654" s="26" t="n">
        <v>383.22</v>
      </c>
      <c r="C654" s="25" t="n">
        <v>0</v>
      </c>
      <c r="D654" s="25" t="n">
        <v>1</v>
      </c>
      <c r="E654" s="25" t="n">
        <v>0</v>
      </c>
      <c r="F654" s="28" t="n">
        <v>0</v>
      </c>
      <c r="G654" s="27" t="n">
        <v>43678</v>
      </c>
      <c r="H654" s="27" t="n">
        <v>43693</v>
      </c>
      <c r="I654" s="25" t="s">
        <v>184</v>
      </c>
    </row>
    <row r="655" customFormat="false" ht="12.8" hidden="false" customHeight="false" outlineLevel="0" collapsed="false">
      <c r="A655" s="25" t="s">
        <v>199</v>
      </c>
      <c r="B655" s="26" t="n">
        <v>31.45</v>
      </c>
      <c r="C655" s="25" t="n">
        <v>0</v>
      </c>
      <c r="D655" s="25" t="n">
        <v>1</v>
      </c>
      <c r="E655" s="25" t="n">
        <v>0</v>
      </c>
      <c r="F655" s="28" t="n">
        <v>0</v>
      </c>
      <c r="G655" s="27" t="n">
        <v>43678</v>
      </c>
      <c r="H655" s="27" t="n">
        <v>43678</v>
      </c>
      <c r="I655" s="25" t="s">
        <v>116</v>
      </c>
    </row>
    <row r="656" customFormat="false" ht="12.8" hidden="false" customHeight="false" outlineLevel="0" collapsed="false">
      <c r="A656" s="25" t="s">
        <v>289</v>
      </c>
      <c r="B656" s="26" t="n">
        <v>3.5</v>
      </c>
      <c r="C656" s="25" t="n">
        <v>0</v>
      </c>
      <c r="D656" s="25" t="n">
        <v>1</v>
      </c>
      <c r="E656" s="25" t="n">
        <v>0</v>
      </c>
      <c r="F656" s="28" t="n">
        <v>0</v>
      </c>
      <c r="G656" s="27" t="n">
        <v>43678</v>
      </c>
      <c r="H656" s="27" t="n">
        <v>43678</v>
      </c>
      <c r="I656" s="25" t="s">
        <v>72</v>
      </c>
    </row>
    <row r="657" customFormat="false" ht="12.8" hidden="false" customHeight="false" outlineLevel="0" collapsed="false">
      <c r="A657" s="25" t="s">
        <v>303</v>
      </c>
      <c r="B657" s="26" t="n">
        <v>6</v>
      </c>
      <c r="C657" s="25" t="n">
        <v>0</v>
      </c>
      <c r="D657" s="25" t="n">
        <v>1</v>
      </c>
      <c r="E657" s="25" t="n">
        <v>0</v>
      </c>
      <c r="F657" s="28" t="n">
        <v>0</v>
      </c>
      <c r="G657" s="27" t="n">
        <v>43678</v>
      </c>
      <c r="H657" s="27" t="n">
        <v>43679</v>
      </c>
      <c r="I657" s="25" t="s">
        <v>72</v>
      </c>
    </row>
    <row r="658" customFormat="false" ht="12.8" hidden="false" customHeight="false" outlineLevel="0" collapsed="false">
      <c r="A658" s="25" t="s">
        <v>304</v>
      </c>
      <c r="B658" s="26" t="n">
        <v>15</v>
      </c>
      <c r="C658" s="25" t="n">
        <v>0</v>
      </c>
      <c r="D658" s="25" t="n">
        <v>1</v>
      </c>
      <c r="E658" s="25" t="n">
        <v>0</v>
      </c>
      <c r="F658" s="28" t="n">
        <v>0</v>
      </c>
      <c r="G658" s="27" t="n">
        <v>43678</v>
      </c>
      <c r="H658" s="27" t="n">
        <v>43679</v>
      </c>
      <c r="I658" s="25" t="s">
        <v>72</v>
      </c>
    </row>
    <row r="659" customFormat="false" ht="12.8" hidden="false" customHeight="false" outlineLevel="0" collapsed="false">
      <c r="A659" s="25" t="s">
        <v>159</v>
      </c>
      <c r="B659" s="26" t="n">
        <v>8</v>
      </c>
      <c r="C659" s="25" t="n">
        <v>0</v>
      </c>
      <c r="D659" s="25" t="n">
        <v>1</v>
      </c>
      <c r="E659" s="25" t="n">
        <v>0</v>
      </c>
      <c r="F659" s="28" t="n">
        <v>0</v>
      </c>
      <c r="G659" s="27" t="n">
        <v>43678</v>
      </c>
      <c r="H659" s="27" t="n">
        <v>43679</v>
      </c>
      <c r="I659" s="25" t="s">
        <v>72</v>
      </c>
    </row>
    <row r="660" customFormat="false" ht="12.8" hidden="false" customHeight="false" outlineLevel="0" collapsed="false">
      <c r="A660" s="25" t="s">
        <v>305</v>
      </c>
      <c r="B660" s="26" t="n">
        <v>8.5</v>
      </c>
      <c r="C660" s="25" t="n">
        <v>0</v>
      </c>
      <c r="D660" s="25" t="n">
        <v>1</v>
      </c>
      <c r="E660" s="25" t="n">
        <v>0</v>
      </c>
      <c r="F660" s="28" t="n">
        <v>0</v>
      </c>
      <c r="G660" s="27" t="n">
        <v>43678</v>
      </c>
      <c r="H660" s="27" t="n">
        <v>43679</v>
      </c>
      <c r="I660" s="25" t="s">
        <v>81</v>
      </c>
    </row>
    <row r="661" customFormat="false" ht="12.8" hidden="false" customHeight="false" outlineLevel="0" collapsed="false">
      <c r="A661" s="25" t="s">
        <v>78</v>
      </c>
      <c r="B661" s="26" t="n">
        <v>29.32</v>
      </c>
      <c r="C661" s="25" t="n">
        <v>0</v>
      </c>
      <c r="D661" s="25" t="n">
        <v>1</v>
      </c>
      <c r="E661" s="25" t="n">
        <v>0</v>
      </c>
      <c r="F661" s="28" t="n">
        <v>0</v>
      </c>
      <c r="G661" s="27" t="n">
        <v>43678</v>
      </c>
      <c r="H661" s="27" t="n">
        <v>43680</v>
      </c>
      <c r="I661" s="25" t="s">
        <v>79</v>
      </c>
    </row>
    <row r="662" customFormat="false" ht="12.8" hidden="false" customHeight="false" outlineLevel="0" collapsed="false">
      <c r="A662" s="25" t="s">
        <v>192</v>
      </c>
      <c r="B662" s="26" t="n">
        <v>35.99</v>
      </c>
      <c r="C662" s="25" t="n">
        <v>0</v>
      </c>
      <c r="D662" s="25" t="n">
        <v>1</v>
      </c>
      <c r="E662" s="25" t="n">
        <v>0</v>
      </c>
      <c r="F662" s="28" t="n">
        <v>0</v>
      </c>
      <c r="G662" s="27" t="n">
        <v>43678</v>
      </c>
      <c r="H662" s="27" t="n">
        <v>43680</v>
      </c>
      <c r="I662" s="25" t="s">
        <v>116</v>
      </c>
    </row>
    <row r="663" customFormat="false" ht="12.8" hidden="false" customHeight="false" outlineLevel="0" collapsed="false">
      <c r="A663" s="25" t="s">
        <v>229</v>
      </c>
      <c r="B663" s="26" t="n">
        <v>8.28</v>
      </c>
      <c r="C663" s="25" t="n">
        <v>0</v>
      </c>
      <c r="D663" s="25" t="n">
        <v>1</v>
      </c>
      <c r="E663" s="25" t="n">
        <v>0</v>
      </c>
      <c r="F663" s="28" t="n">
        <v>0</v>
      </c>
      <c r="G663" s="27" t="n">
        <v>43678</v>
      </c>
      <c r="H663" s="27" t="n">
        <v>43681</v>
      </c>
      <c r="I663" s="25" t="s">
        <v>81</v>
      </c>
    </row>
    <row r="664" customFormat="false" ht="12.8" hidden="false" customHeight="false" outlineLevel="0" collapsed="false">
      <c r="A664" s="25" t="s">
        <v>84</v>
      </c>
      <c r="B664" s="26" t="n">
        <v>4.31</v>
      </c>
      <c r="C664" s="25" t="n">
        <v>0</v>
      </c>
      <c r="D664" s="25" t="n">
        <v>1</v>
      </c>
      <c r="E664" s="25" t="n">
        <v>0</v>
      </c>
      <c r="F664" s="28" t="n">
        <v>0</v>
      </c>
      <c r="G664" s="27" t="n">
        <v>43678</v>
      </c>
      <c r="H664" s="27" t="n">
        <v>43681</v>
      </c>
      <c r="I664" s="25" t="s">
        <v>84</v>
      </c>
    </row>
    <row r="665" customFormat="false" ht="12.8" hidden="false" customHeight="false" outlineLevel="0" collapsed="false">
      <c r="A665" s="25" t="s">
        <v>112</v>
      </c>
      <c r="B665" s="26" t="n">
        <v>5.5</v>
      </c>
      <c r="C665" s="25" t="n">
        <v>0</v>
      </c>
      <c r="D665" s="25" t="n">
        <v>1</v>
      </c>
      <c r="E665" s="25" t="n">
        <v>0</v>
      </c>
      <c r="F665" s="28" t="n">
        <v>0</v>
      </c>
      <c r="G665" s="27" t="n">
        <v>43678</v>
      </c>
      <c r="H665" s="27" t="n">
        <v>43682</v>
      </c>
      <c r="I665" s="25" t="s">
        <v>72</v>
      </c>
    </row>
    <row r="666" customFormat="false" ht="12.8" hidden="false" customHeight="false" outlineLevel="0" collapsed="false">
      <c r="A666" s="25" t="s">
        <v>118</v>
      </c>
      <c r="B666" s="26" t="n">
        <v>3.18</v>
      </c>
      <c r="C666" s="25" t="n">
        <v>0</v>
      </c>
      <c r="D666" s="25" t="n">
        <v>1</v>
      </c>
      <c r="E666" s="25" t="n">
        <v>0</v>
      </c>
      <c r="F666" s="28" t="n">
        <v>0</v>
      </c>
      <c r="G666" s="27" t="n">
        <v>43678</v>
      </c>
      <c r="H666" s="27" t="n">
        <v>43682</v>
      </c>
      <c r="I666" s="25" t="s">
        <v>72</v>
      </c>
    </row>
    <row r="667" customFormat="false" ht="12.8" hidden="false" customHeight="false" outlineLevel="0" collapsed="false">
      <c r="A667" s="25" t="s">
        <v>306</v>
      </c>
      <c r="B667" s="26" t="n">
        <v>30.5</v>
      </c>
      <c r="C667" s="25" t="n">
        <v>0</v>
      </c>
      <c r="D667" s="25" t="n">
        <v>1</v>
      </c>
      <c r="E667" s="25" t="n">
        <v>0</v>
      </c>
      <c r="F667" s="28" t="n">
        <v>0</v>
      </c>
      <c r="G667" s="27" t="n">
        <v>43678</v>
      </c>
      <c r="H667" s="27" t="n">
        <v>43682</v>
      </c>
      <c r="I667" s="25" t="s">
        <v>72</v>
      </c>
    </row>
    <row r="668" customFormat="false" ht="12.8" hidden="false" customHeight="false" outlineLevel="0" collapsed="false">
      <c r="A668" s="25" t="s">
        <v>264</v>
      </c>
      <c r="B668" s="26" t="n">
        <v>55.99</v>
      </c>
      <c r="C668" s="25" t="n">
        <v>0</v>
      </c>
      <c r="D668" s="25" t="n">
        <v>1</v>
      </c>
      <c r="E668" s="25" t="n">
        <v>0</v>
      </c>
      <c r="F668" s="28" t="n">
        <v>0</v>
      </c>
      <c r="G668" s="27" t="n">
        <v>43678</v>
      </c>
      <c r="H668" s="27" t="n">
        <v>43683</v>
      </c>
      <c r="I668" s="25" t="s">
        <v>81</v>
      </c>
    </row>
    <row r="669" customFormat="false" ht="12.8" hidden="false" customHeight="false" outlineLevel="0" collapsed="false">
      <c r="A669" s="25" t="s">
        <v>264</v>
      </c>
      <c r="B669" s="26" t="n">
        <v>65.99</v>
      </c>
      <c r="C669" s="25" t="n">
        <v>0</v>
      </c>
      <c r="D669" s="25" t="n">
        <v>1</v>
      </c>
      <c r="E669" s="25" t="n">
        <v>0</v>
      </c>
      <c r="F669" s="28" t="n">
        <v>0</v>
      </c>
      <c r="G669" s="27" t="n">
        <v>43678</v>
      </c>
      <c r="H669" s="27" t="n">
        <v>43683</v>
      </c>
      <c r="I669" s="25" t="s">
        <v>81</v>
      </c>
    </row>
    <row r="670" customFormat="false" ht="12.8" hidden="false" customHeight="false" outlineLevel="0" collapsed="false">
      <c r="A670" s="25" t="s">
        <v>82</v>
      </c>
      <c r="B670" s="26" t="n">
        <v>16</v>
      </c>
      <c r="C670" s="25" t="n">
        <v>0</v>
      </c>
      <c r="D670" s="25" t="n">
        <v>1</v>
      </c>
      <c r="E670" s="25" t="n">
        <v>0</v>
      </c>
      <c r="F670" s="28" t="n">
        <v>0</v>
      </c>
      <c r="G670" s="27" t="n">
        <v>43678</v>
      </c>
      <c r="H670" s="27" t="n">
        <v>43683</v>
      </c>
      <c r="I670" s="25" t="s">
        <v>72</v>
      </c>
    </row>
    <row r="671" customFormat="false" ht="12.8" hidden="false" customHeight="false" outlineLevel="0" collapsed="false">
      <c r="A671" s="25" t="s">
        <v>105</v>
      </c>
      <c r="B671" s="26" t="n">
        <v>87.98</v>
      </c>
      <c r="C671" s="25" t="n">
        <v>0</v>
      </c>
      <c r="D671" s="25" t="n">
        <v>1</v>
      </c>
      <c r="E671" s="25" t="n">
        <v>0</v>
      </c>
      <c r="F671" s="28" t="n">
        <v>0</v>
      </c>
      <c r="G671" s="27" t="n">
        <v>43678</v>
      </c>
      <c r="H671" s="27" t="n">
        <v>43685</v>
      </c>
      <c r="I671" s="25" t="s">
        <v>106</v>
      </c>
    </row>
    <row r="672" customFormat="false" ht="12.8" hidden="false" customHeight="false" outlineLevel="0" collapsed="false">
      <c r="A672" s="25" t="s">
        <v>103</v>
      </c>
      <c r="B672" s="26" t="n">
        <v>43.23</v>
      </c>
      <c r="C672" s="25" t="n">
        <v>0</v>
      </c>
      <c r="D672" s="25" t="n">
        <v>1</v>
      </c>
      <c r="E672" s="25" t="n">
        <v>0</v>
      </c>
      <c r="F672" s="28" t="n">
        <v>0</v>
      </c>
      <c r="G672" s="27" t="n">
        <v>43678</v>
      </c>
      <c r="H672" s="27" t="n">
        <v>43685</v>
      </c>
      <c r="I672" s="25" t="s">
        <v>138</v>
      </c>
    </row>
    <row r="673" customFormat="false" ht="12.8" hidden="false" customHeight="false" outlineLevel="0" collapsed="false">
      <c r="A673" s="25" t="s">
        <v>307</v>
      </c>
      <c r="B673" s="26" t="n">
        <v>500</v>
      </c>
      <c r="C673" s="25" t="n">
        <v>0</v>
      </c>
      <c r="D673" s="25" t="n">
        <v>1</v>
      </c>
      <c r="E673" s="25" t="n">
        <v>0</v>
      </c>
      <c r="F673" s="28" t="n">
        <v>0</v>
      </c>
      <c r="G673" s="27" t="n">
        <v>43678</v>
      </c>
      <c r="H673" s="27" t="n">
        <v>43685</v>
      </c>
      <c r="I673" s="25" t="s">
        <v>72</v>
      </c>
    </row>
    <row r="674" customFormat="false" ht="12.8" hidden="false" customHeight="false" outlineLevel="0" collapsed="false">
      <c r="A674" s="25" t="s">
        <v>260</v>
      </c>
      <c r="B674" s="26" t="n">
        <v>4</v>
      </c>
      <c r="C674" s="25" t="n">
        <v>0</v>
      </c>
      <c r="D674" s="25" t="n">
        <v>1</v>
      </c>
      <c r="E674" s="25" t="n">
        <v>0</v>
      </c>
      <c r="F674" s="28" t="n">
        <v>0</v>
      </c>
      <c r="G674" s="27" t="n">
        <v>43678</v>
      </c>
      <c r="H674" s="27" t="n">
        <v>43689</v>
      </c>
      <c r="I674" s="25" t="s">
        <v>79</v>
      </c>
    </row>
    <row r="675" customFormat="false" ht="12.8" hidden="false" customHeight="false" outlineLevel="0" collapsed="false">
      <c r="A675" s="25" t="s">
        <v>82</v>
      </c>
      <c r="B675" s="26" t="n">
        <v>2.75</v>
      </c>
      <c r="C675" s="25" t="n">
        <v>0</v>
      </c>
      <c r="D675" s="25" t="n">
        <v>1</v>
      </c>
      <c r="E675" s="25" t="n">
        <v>0</v>
      </c>
      <c r="F675" s="28" t="n">
        <v>0</v>
      </c>
      <c r="G675" s="27" t="n">
        <v>43678</v>
      </c>
      <c r="H675" s="27" t="n">
        <v>43689</v>
      </c>
      <c r="I675" s="25" t="s">
        <v>72</v>
      </c>
    </row>
    <row r="676" customFormat="false" ht="12.8" hidden="false" customHeight="false" outlineLevel="0" collapsed="false">
      <c r="A676" s="25" t="s">
        <v>260</v>
      </c>
      <c r="B676" s="26" t="n">
        <v>12</v>
      </c>
      <c r="C676" s="25" t="n">
        <v>0</v>
      </c>
      <c r="D676" s="25" t="n">
        <v>1</v>
      </c>
      <c r="E676" s="25" t="n">
        <v>0</v>
      </c>
      <c r="F676" s="28" t="n">
        <v>0</v>
      </c>
      <c r="G676" s="27" t="n">
        <v>43678</v>
      </c>
      <c r="H676" s="27" t="n">
        <v>43689</v>
      </c>
      <c r="I676" s="25" t="s">
        <v>79</v>
      </c>
    </row>
    <row r="677" customFormat="false" ht="12.8" hidden="false" customHeight="false" outlineLevel="0" collapsed="false">
      <c r="A677" s="25" t="s">
        <v>82</v>
      </c>
      <c r="B677" s="26" t="n">
        <v>10</v>
      </c>
      <c r="C677" s="25" t="n">
        <v>0</v>
      </c>
      <c r="D677" s="25" t="n">
        <v>1</v>
      </c>
      <c r="E677" s="25" t="n">
        <v>0</v>
      </c>
      <c r="F677" s="28" t="n">
        <v>0</v>
      </c>
      <c r="G677" s="27" t="n">
        <v>43678</v>
      </c>
      <c r="H677" s="27" t="n">
        <v>43689</v>
      </c>
      <c r="I677" s="25" t="s">
        <v>72</v>
      </c>
    </row>
    <row r="678" customFormat="false" ht="12.8" hidden="false" customHeight="false" outlineLevel="0" collapsed="false">
      <c r="A678" s="25" t="s">
        <v>260</v>
      </c>
      <c r="B678" s="26" t="n">
        <v>5.95</v>
      </c>
      <c r="C678" s="25" t="n">
        <v>0</v>
      </c>
      <c r="D678" s="25" t="n">
        <v>1</v>
      </c>
      <c r="E678" s="25" t="n">
        <v>0</v>
      </c>
      <c r="F678" s="28" t="n">
        <v>0</v>
      </c>
      <c r="G678" s="27" t="n">
        <v>43678</v>
      </c>
      <c r="H678" s="27" t="n">
        <v>43689</v>
      </c>
      <c r="I678" s="25" t="s">
        <v>79</v>
      </c>
    </row>
    <row r="679" customFormat="false" ht="12.8" hidden="false" customHeight="false" outlineLevel="0" collapsed="false">
      <c r="A679" s="25" t="s">
        <v>308</v>
      </c>
      <c r="B679" s="26" t="n">
        <v>10</v>
      </c>
      <c r="C679" s="25" t="n">
        <v>0</v>
      </c>
      <c r="D679" s="25" t="n">
        <v>1</v>
      </c>
      <c r="E679" s="25" t="n">
        <v>0</v>
      </c>
      <c r="F679" s="28" t="n">
        <v>0</v>
      </c>
      <c r="G679" s="27" t="n">
        <v>43678</v>
      </c>
      <c r="H679" s="27" t="n">
        <v>43689</v>
      </c>
      <c r="I679" s="25" t="s">
        <v>72</v>
      </c>
    </row>
    <row r="680" customFormat="false" ht="12.8" hidden="false" customHeight="false" outlineLevel="0" collapsed="false">
      <c r="A680" s="25" t="s">
        <v>100</v>
      </c>
      <c r="B680" s="26" t="n">
        <v>2.5</v>
      </c>
      <c r="C680" s="25" t="n">
        <v>0</v>
      </c>
      <c r="D680" s="25" t="n">
        <v>1</v>
      </c>
      <c r="E680" s="25" t="n">
        <v>0</v>
      </c>
      <c r="F680" s="28" t="n">
        <v>0</v>
      </c>
      <c r="G680" s="27" t="n">
        <v>43678</v>
      </c>
      <c r="H680" s="27" t="n">
        <v>43689</v>
      </c>
      <c r="I680" s="25" t="s">
        <v>72</v>
      </c>
    </row>
    <row r="681" customFormat="false" ht="12.8" hidden="false" customHeight="false" outlineLevel="0" collapsed="false">
      <c r="A681" s="25" t="s">
        <v>309</v>
      </c>
      <c r="B681" s="26" t="n">
        <v>4</v>
      </c>
      <c r="C681" s="25" t="n">
        <v>0</v>
      </c>
      <c r="D681" s="25" t="n">
        <v>1</v>
      </c>
      <c r="E681" s="25" t="n">
        <v>0</v>
      </c>
      <c r="F681" s="28" t="n">
        <v>0</v>
      </c>
      <c r="G681" s="27" t="n">
        <v>43678</v>
      </c>
      <c r="H681" s="27" t="n">
        <v>43689</v>
      </c>
      <c r="I681" s="25" t="s">
        <v>81</v>
      </c>
    </row>
    <row r="682" customFormat="false" ht="12.8" hidden="false" customHeight="false" outlineLevel="0" collapsed="false">
      <c r="A682" s="25" t="s">
        <v>310</v>
      </c>
      <c r="B682" s="26" t="n">
        <v>7</v>
      </c>
      <c r="C682" s="25" t="n">
        <v>0</v>
      </c>
      <c r="D682" s="25" t="n">
        <v>1</v>
      </c>
      <c r="E682" s="25" t="n">
        <v>0</v>
      </c>
      <c r="F682" s="28" t="n">
        <v>0</v>
      </c>
      <c r="G682" s="27" t="n">
        <v>43678</v>
      </c>
      <c r="H682" s="27" t="n">
        <v>43689</v>
      </c>
      <c r="I682" s="25" t="s">
        <v>81</v>
      </c>
    </row>
    <row r="683" customFormat="false" ht="12.8" hidden="false" customHeight="false" outlineLevel="0" collapsed="false">
      <c r="A683" s="25" t="s">
        <v>311</v>
      </c>
      <c r="B683" s="26" t="n">
        <v>7.1</v>
      </c>
      <c r="C683" s="25" t="n">
        <v>0</v>
      </c>
      <c r="D683" s="25" t="n">
        <v>1</v>
      </c>
      <c r="E683" s="25" t="n">
        <v>0</v>
      </c>
      <c r="F683" s="28" t="n">
        <v>0</v>
      </c>
      <c r="G683" s="27" t="n">
        <v>43678</v>
      </c>
      <c r="H683" s="27" t="n">
        <v>43689</v>
      </c>
      <c r="I683" s="25" t="s">
        <v>81</v>
      </c>
    </row>
    <row r="684" customFormat="false" ht="12.8" hidden="false" customHeight="false" outlineLevel="0" collapsed="false">
      <c r="A684" s="49" t="s">
        <v>302</v>
      </c>
      <c r="B684" s="50" t="n">
        <v>0</v>
      </c>
      <c r="C684" s="49" t="n">
        <v>0</v>
      </c>
      <c r="D684" s="49" t="n">
        <v>0</v>
      </c>
      <c r="E684" s="49" t="n">
        <v>0</v>
      </c>
      <c r="F684" s="49" t="n">
        <v>1</v>
      </c>
      <c r="G684" s="51" t="n">
        <v>43678</v>
      </c>
      <c r="H684" s="51" t="n">
        <v>43708</v>
      </c>
      <c r="I684" s="49" t="s">
        <v>302</v>
      </c>
    </row>
    <row r="685" customFormat="false" ht="12.8" hidden="false" customHeight="false" outlineLevel="0" collapsed="false">
      <c r="A685" s="25" t="s">
        <v>312</v>
      </c>
      <c r="B685" s="26" t="n">
        <v>14.9</v>
      </c>
      <c r="C685" s="25" t="n">
        <v>0</v>
      </c>
      <c r="D685" s="25" t="n">
        <v>1</v>
      </c>
      <c r="E685" s="25" t="n">
        <v>0</v>
      </c>
      <c r="F685" s="28" t="n">
        <v>0</v>
      </c>
      <c r="G685" s="27" t="n">
        <v>43678</v>
      </c>
      <c r="H685" s="27" t="n">
        <v>43691</v>
      </c>
      <c r="I685" s="25" t="s">
        <v>81</v>
      </c>
    </row>
    <row r="686" customFormat="false" ht="12.8" hidden="false" customHeight="false" outlineLevel="0" collapsed="false">
      <c r="A686" s="25" t="s">
        <v>82</v>
      </c>
      <c r="B686" s="26" t="n">
        <v>7.1</v>
      </c>
      <c r="C686" s="25" t="n">
        <v>0</v>
      </c>
      <c r="D686" s="25" t="n">
        <v>1</v>
      </c>
      <c r="E686" s="25" t="n">
        <v>0</v>
      </c>
      <c r="F686" s="28" t="n">
        <v>0</v>
      </c>
      <c r="G686" s="27" t="n">
        <v>43678</v>
      </c>
      <c r="H686" s="27" t="n">
        <v>43691</v>
      </c>
      <c r="I686" s="25" t="s">
        <v>81</v>
      </c>
    </row>
    <row r="687" customFormat="false" ht="12.8" hidden="false" customHeight="false" outlineLevel="0" collapsed="false">
      <c r="A687" s="25" t="s">
        <v>209</v>
      </c>
      <c r="B687" s="26" t="n">
        <v>16</v>
      </c>
      <c r="C687" s="25" t="n">
        <v>0</v>
      </c>
      <c r="D687" s="25" t="n">
        <v>1</v>
      </c>
      <c r="E687" s="25" t="n">
        <v>0</v>
      </c>
      <c r="F687" s="28" t="n">
        <v>0</v>
      </c>
      <c r="G687" s="27" t="n">
        <v>43678</v>
      </c>
      <c r="H687" s="27" t="n">
        <v>43691</v>
      </c>
      <c r="I687" s="25" t="s">
        <v>81</v>
      </c>
    </row>
    <row r="688" customFormat="false" ht="12.8" hidden="false" customHeight="false" outlineLevel="0" collapsed="false">
      <c r="A688" s="25" t="s">
        <v>82</v>
      </c>
      <c r="B688" s="26" t="n">
        <v>13</v>
      </c>
      <c r="C688" s="25" t="n">
        <v>0</v>
      </c>
      <c r="D688" s="25" t="n">
        <v>1</v>
      </c>
      <c r="E688" s="25" t="n">
        <v>0</v>
      </c>
      <c r="F688" s="28" t="n">
        <v>0</v>
      </c>
      <c r="G688" s="27" t="n">
        <v>43678</v>
      </c>
      <c r="H688" s="27" t="n">
        <v>43692</v>
      </c>
      <c r="I688" s="25" t="s">
        <v>81</v>
      </c>
    </row>
    <row r="689" customFormat="false" ht="12.8" hidden="false" customHeight="false" outlineLevel="0" collapsed="false">
      <c r="A689" s="25" t="s">
        <v>199</v>
      </c>
      <c r="B689" s="26" t="n">
        <v>95.78</v>
      </c>
      <c r="C689" s="25" t="n">
        <v>0</v>
      </c>
      <c r="D689" s="25" t="n">
        <v>1</v>
      </c>
      <c r="E689" s="25" t="n">
        <v>0</v>
      </c>
      <c r="F689" s="28" t="n">
        <v>0</v>
      </c>
      <c r="G689" s="27" t="n">
        <v>43678</v>
      </c>
      <c r="H689" s="27" t="n">
        <v>43692</v>
      </c>
      <c r="I689" s="25" t="s">
        <v>116</v>
      </c>
    </row>
    <row r="690" customFormat="false" ht="12.8" hidden="false" customHeight="false" outlineLevel="0" collapsed="false">
      <c r="A690" s="25" t="s">
        <v>260</v>
      </c>
      <c r="B690" s="26" t="n">
        <v>4.7</v>
      </c>
      <c r="C690" s="25" t="n">
        <v>0</v>
      </c>
      <c r="D690" s="25" t="n">
        <v>1</v>
      </c>
      <c r="E690" s="25" t="n">
        <v>0</v>
      </c>
      <c r="F690" s="28" t="n">
        <v>0</v>
      </c>
      <c r="G690" s="27" t="n">
        <v>43678</v>
      </c>
      <c r="H690" s="27" t="n">
        <v>43692</v>
      </c>
      <c r="I690" s="25" t="s">
        <v>79</v>
      </c>
    </row>
    <row r="691" customFormat="false" ht="12.8" hidden="false" customHeight="false" outlineLevel="0" collapsed="false">
      <c r="A691" s="25" t="s">
        <v>36</v>
      </c>
      <c r="B691" s="26" t="n">
        <v>300</v>
      </c>
      <c r="C691" s="25" t="n">
        <v>0</v>
      </c>
      <c r="D691" s="25" t="n">
        <v>1</v>
      </c>
      <c r="E691" s="25" t="n">
        <v>0</v>
      </c>
      <c r="F691" s="28" t="n">
        <v>0</v>
      </c>
      <c r="G691" s="27" t="n">
        <v>43678</v>
      </c>
      <c r="H691" s="27" t="n">
        <v>43696</v>
      </c>
      <c r="I691" s="25" t="s">
        <v>36</v>
      </c>
    </row>
    <row r="692" customFormat="false" ht="12.8" hidden="false" customHeight="false" outlineLevel="0" collapsed="false">
      <c r="A692" s="25" t="s">
        <v>84</v>
      </c>
      <c r="B692" s="26" t="n">
        <v>10.9</v>
      </c>
      <c r="C692" s="25" t="n">
        <v>0</v>
      </c>
      <c r="D692" s="25" t="n">
        <v>1</v>
      </c>
      <c r="E692" s="25" t="n">
        <v>0</v>
      </c>
      <c r="F692" s="28" t="n">
        <v>0</v>
      </c>
      <c r="G692" s="27" t="n">
        <v>43678</v>
      </c>
      <c r="H692" s="27" t="n">
        <v>43696</v>
      </c>
      <c r="I692" s="25" t="s">
        <v>84</v>
      </c>
    </row>
    <row r="693" customFormat="false" ht="12.8" hidden="false" customHeight="false" outlineLevel="0" collapsed="false">
      <c r="A693" s="25" t="s">
        <v>313</v>
      </c>
      <c r="B693" s="26" t="n">
        <v>29.74</v>
      </c>
      <c r="C693" s="25" t="n">
        <v>0</v>
      </c>
      <c r="D693" s="25" t="n">
        <v>1</v>
      </c>
      <c r="E693" s="25" t="n">
        <v>0</v>
      </c>
      <c r="F693" s="28" t="n">
        <v>0</v>
      </c>
      <c r="G693" s="27" t="n">
        <v>43678</v>
      </c>
      <c r="H693" s="27" t="n">
        <v>43696</v>
      </c>
      <c r="I693" s="25" t="s">
        <v>72</v>
      </c>
    </row>
    <row r="694" customFormat="false" ht="12.8" hidden="false" customHeight="false" outlineLevel="0" collapsed="false">
      <c r="A694" s="25" t="s">
        <v>245</v>
      </c>
      <c r="B694" s="26" t="n">
        <v>6</v>
      </c>
      <c r="C694" s="25" t="n">
        <v>0</v>
      </c>
      <c r="D694" s="25" t="n">
        <v>1</v>
      </c>
      <c r="E694" s="25" t="n">
        <v>0</v>
      </c>
      <c r="F694" s="28" t="n">
        <v>0</v>
      </c>
      <c r="G694" s="27" t="n">
        <v>43678</v>
      </c>
      <c r="H694" s="27" t="n">
        <v>43696</v>
      </c>
      <c r="I694" s="25" t="s">
        <v>72</v>
      </c>
    </row>
    <row r="695" customFormat="false" ht="12.8" hidden="false" customHeight="false" outlineLevel="0" collapsed="false">
      <c r="A695" s="25" t="s">
        <v>153</v>
      </c>
      <c r="B695" s="26" t="n">
        <v>12</v>
      </c>
      <c r="C695" s="25" t="n">
        <v>0</v>
      </c>
      <c r="D695" s="25" t="n">
        <v>1</v>
      </c>
      <c r="E695" s="25" t="n">
        <v>0</v>
      </c>
      <c r="F695" s="28" t="n">
        <v>0</v>
      </c>
      <c r="G695" s="27" t="n">
        <v>43678</v>
      </c>
      <c r="H695" s="27" t="n">
        <v>43696</v>
      </c>
      <c r="I695" s="25" t="s">
        <v>72</v>
      </c>
    </row>
    <row r="696" customFormat="false" ht="12.8" hidden="false" customHeight="false" outlineLevel="0" collapsed="false">
      <c r="A696" s="25" t="s">
        <v>199</v>
      </c>
      <c r="B696" s="26" t="n">
        <v>19.79</v>
      </c>
      <c r="C696" s="25" t="n">
        <v>0</v>
      </c>
      <c r="D696" s="25" t="n">
        <v>1</v>
      </c>
      <c r="E696" s="25" t="n">
        <v>0</v>
      </c>
      <c r="F696" s="28" t="n">
        <v>0</v>
      </c>
      <c r="G696" s="27" t="n">
        <v>43678</v>
      </c>
      <c r="H696" s="27" t="n">
        <v>43696</v>
      </c>
      <c r="I696" s="25" t="s">
        <v>116</v>
      </c>
    </row>
    <row r="697" customFormat="false" ht="12.8" hidden="false" customHeight="false" outlineLevel="0" collapsed="false">
      <c r="A697" s="25" t="s">
        <v>199</v>
      </c>
      <c r="B697" s="26" t="n">
        <v>31.67</v>
      </c>
      <c r="C697" s="25" t="n">
        <v>0</v>
      </c>
      <c r="D697" s="25" t="n">
        <v>1</v>
      </c>
      <c r="E697" s="25" t="n">
        <v>0</v>
      </c>
      <c r="F697" s="28" t="n">
        <v>0</v>
      </c>
      <c r="G697" s="27" t="n">
        <v>43678</v>
      </c>
      <c r="H697" s="27" t="n">
        <v>43696</v>
      </c>
      <c r="I697" s="25" t="s">
        <v>116</v>
      </c>
    </row>
    <row r="698" customFormat="false" ht="12.8" hidden="false" customHeight="false" outlineLevel="0" collapsed="false">
      <c r="A698" s="25" t="s">
        <v>112</v>
      </c>
      <c r="B698" s="26" t="n">
        <v>5</v>
      </c>
      <c r="C698" s="25" t="n">
        <v>0</v>
      </c>
      <c r="D698" s="25" t="n">
        <v>1</v>
      </c>
      <c r="E698" s="25" t="n">
        <v>0</v>
      </c>
      <c r="F698" s="28" t="n">
        <v>0</v>
      </c>
      <c r="G698" s="27" t="n">
        <v>43678</v>
      </c>
      <c r="H698" s="27" t="n">
        <v>43696</v>
      </c>
      <c r="I698" s="25" t="s">
        <v>72</v>
      </c>
    </row>
    <row r="699" customFormat="false" ht="12.8" hidden="false" customHeight="false" outlineLevel="0" collapsed="false">
      <c r="A699" s="25" t="s">
        <v>78</v>
      </c>
      <c r="B699" s="26" t="n">
        <v>144.89</v>
      </c>
      <c r="C699" s="25" t="n">
        <v>0</v>
      </c>
      <c r="D699" s="25" t="n">
        <v>1</v>
      </c>
      <c r="E699" s="25" t="n">
        <v>0</v>
      </c>
      <c r="F699" s="28" t="n">
        <v>0</v>
      </c>
      <c r="G699" s="27" t="n">
        <v>43678</v>
      </c>
      <c r="H699" s="27" t="n">
        <v>43697</v>
      </c>
      <c r="I699" s="25" t="s">
        <v>79</v>
      </c>
    </row>
    <row r="700" customFormat="false" ht="12.8" hidden="false" customHeight="false" outlineLevel="0" collapsed="false">
      <c r="A700" s="25" t="s">
        <v>78</v>
      </c>
      <c r="B700" s="26" t="n">
        <v>0.79</v>
      </c>
      <c r="C700" s="25" t="n">
        <v>0</v>
      </c>
      <c r="D700" s="25" t="n">
        <v>1</v>
      </c>
      <c r="E700" s="25" t="n">
        <v>0</v>
      </c>
      <c r="F700" s="28" t="n">
        <v>0</v>
      </c>
      <c r="G700" s="27" t="n">
        <v>43678</v>
      </c>
      <c r="H700" s="27" t="n">
        <v>43697</v>
      </c>
      <c r="I700" s="25" t="s">
        <v>79</v>
      </c>
    </row>
    <row r="701" customFormat="false" ht="12.8" hidden="false" customHeight="false" outlineLevel="0" collapsed="false">
      <c r="A701" s="25" t="s">
        <v>199</v>
      </c>
      <c r="B701" s="26" t="n">
        <v>22.72</v>
      </c>
      <c r="C701" s="25" t="n">
        <v>0</v>
      </c>
      <c r="D701" s="25" t="n">
        <v>1</v>
      </c>
      <c r="E701" s="25" t="n">
        <v>0</v>
      </c>
      <c r="F701" s="28" t="n">
        <v>0</v>
      </c>
      <c r="G701" s="27" t="n">
        <v>43678</v>
      </c>
      <c r="H701" s="27" t="n">
        <v>43697</v>
      </c>
      <c r="I701" s="25" t="s">
        <v>72</v>
      </c>
    </row>
    <row r="702" customFormat="false" ht="12.8" hidden="false" customHeight="false" outlineLevel="0" collapsed="false">
      <c r="A702" s="25" t="s">
        <v>85</v>
      </c>
      <c r="B702" s="26" t="n">
        <v>24.85</v>
      </c>
      <c r="C702" s="25" t="n">
        <v>0</v>
      </c>
      <c r="D702" s="25" t="n">
        <v>1</v>
      </c>
      <c r="E702" s="25" t="n">
        <v>0</v>
      </c>
      <c r="F702" s="28" t="n">
        <v>0</v>
      </c>
      <c r="G702" s="27" t="n">
        <v>43678</v>
      </c>
      <c r="H702" s="27" t="n">
        <v>43699</v>
      </c>
      <c r="I702" s="25" t="s">
        <v>85</v>
      </c>
    </row>
    <row r="703" customFormat="false" ht="12.8" hidden="false" customHeight="false" outlineLevel="0" collapsed="false">
      <c r="A703" s="25" t="s">
        <v>199</v>
      </c>
      <c r="B703" s="26" t="n">
        <v>29.9</v>
      </c>
      <c r="C703" s="25" t="n">
        <v>0</v>
      </c>
      <c r="D703" s="25" t="n">
        <v>1</v>
      </c>
      <c r="E703" s="25" t="n">
        <v>0</v>
      </c>
      <c r="F703" s="28" t="n">
        <v>0</v>
      </c>
      <c r="G703" s="27" t="n">
        <v>43678</v>
      </c>
      <c r="H703" s="27" t="n">
        <v>43699</v>
      </c>
      <c r="I703" s="25" t="s">
        <v>116</v>
      </c>
    </row>
    <row r="704" customFormat="false" ht="12.8" hidden="false" customHeight="false" outlineLevel="0" collapsed="false">
      <c r="A704" s="25" t="s">
        <v>136</v>
      </c>
      <c r="B704" s="26" t="n">
        <v>100</v>
      </c>
      <c r="C704" s="25" t="n">
        <v>0</v>
      </c>
      <c r="D704" s="25" t="n">
        <v>1</v>
      </c>
      <c r="E704" s="25" t="n">
        <v>0</v>
      </c>
      <c r="F704" s="28" t="n">
        <v>0</v>
      </c>
      <c r="G704" s="27" t="n">
        <v>43678</v>
      </c>
      <c r="H704" s="27" t="n">
        <v>43703</v>
      </c>
      <c r="I704" s="25" t="s">
        <v>68</v>
      </c>
    </row>
    <row r="705" customFormat="false" ht="12.8" hidden="false" customHeight="false" outlineLevel="0" collapsed="false">
      <c r="A705" s="25" t="s">
        <v>236</v>
      </c>
      <c r="B705" s="26" t="n">
        <v>15.65</v>
      </c>
      <c r="C705" s="25" t="n">
        <v>0</v>
      </c>
      <c r="D705" s="25" t="n">
        <v>1</v>
      </c>
      <c r="E705" s="25" t="n">
        <v>0</v>
      </c>
      <c r="F705" s="28" t="n">
        <v>0</v>
      </c>
      <c r="G705" s="27" t="n">
        <v>43678</v>
      </c>
      <c r="H705" s="27" t="n">
        <v>43703</v>
      </c>
      <c r="I705" s="25" t="s">
        <v>84</v>
      </c>
    </row>
    <row r="706" customFormat="false" ht="12.8" hidden="false" customHeight="false" outlineLevel="0" collapsed="false">
      <c r="A706" s="25" t="s">
        <v>314</v>
      </c>
      <c r="B706" s="26" t="n">
        <v>48</v>
      </c>
      <c r="C706" s="25" t="n">
        <v>0</v>
      </c>
      <c r="D706" s="25" t="n">
        <v>1</v>
      </c>
      <c r="E706" s="25" t="n">
        <v>0</v>
      </c>
      <c r="F706" s="28" t="n">
        <v>0</v>
      </c>
      <c r="G706" s="27" t="n">
        <v>43678</v>
      </c>
      <c r="H706" s="27" t="n">
        <v>43703</v>
      </c>
      <c r="I706" s="25" t="s">
        <v>73</v>
      </c>
    </row>
    <row r="707" customFormat="false" ht="12.8" hidden="false" customHeight="false" outlineLevel="0" collapsed="false">
      <c r="A707" s="25" t="s">
        <v>291</v>
      </c>
      <c r="B707" s="26" t="n">
        <v>40.96</v>
      </c>
      <c r="C707" s="25" t="n">
        <v>0</v>
      </c>
      <c r="D707" s="25" t="n">
        <v>1</v>
      </c>
      <c r="E707" s="25" t="n">
        <v>0</v>
      </c>
      <c r="F707" s="28" t="n">
        <v>0</v>
      </c>
      <c r="G707" s="27" t="n">
        <v>43678</v>
      </c>
      <c r="H707" s="27" t="n">
        <v>43703</v>
      </c>
      <c r="I707" s="25" t="s">
        <v>79</v>
      </c>
    </row>
    <row r="708" customFormat="false" ht="12.8" hidden="false" customHeight="false" outlineLevel="0" collapsed="false">
      <c r="A708" s="25" t="s">
        <v>85</v>
      </c>
      <c r="B708" s="26" t="n">
        <v>9.5</v>
      </c>
      <c r="C708" s="25" t="n">
        <v>0</v>
      </c>
      <c r="D708" s="25" t="n">
        <v>1</v>
      </c>
      <c r="E708" s="25" t="n">
        <v>0</v>
      </c>
      <c r="F708" s="28" t="n">
        <v>0</v>
      </c>
      <c r="G708" s="27" t="n">
        <v>43678</v>
      </c>
      <c r="H708" s="27" t="n">
        <v>43703</v>
      </c>
      <c r="I708" s="25" t="s">
        <v>85</v>
      </c>
    </row>
    <row r="709" customFormat="false" ht="12.8" hidden="false" customHeight="false" outlineLevel="0" collapsed="false">
      <c r="A709" s="25" t="s">
        <v>315</v>
      </c>
      <c r="B709" s="26" t="n">
        <v>30</v>
      </c>
      <c r="C709" s="25" t="n">
        <v>0</v>
      </c>
      <c r="D709" s="25" t="n">
        <v>1</v>
      </c>
      <c r="E709" s="25" t="n">
        <v>0</v>
      </c>
      <c r="F709" s="28" t="n">
        <v>0</v>
      </c>
      <c r="G709" s="27" t="n">
        <v>43678</v>
      </c>
      <c r="H709" s="27" t="n">
        <v>43703</v>
      </c>
      <c r="I709" s="25" t="s">
        <v>73</v>
      </c>
    </row>
    <row r="710" customFormat="false" ht="12.8" hidden="false" customHeight="false" outlineLevel="0" collapsed="false">
      <c r="A710" s="25" t="s">
        <v>85</v>
      </c>
      <c r="B710" s="26" t="n">
        <v>25</v>
      </c>
      <c r="C710" s="25" t="n">
        <v>0</v>
      </c>
      <c r="D710" s="25" t="n">
        <v>1</v>
      </c>
      <c r="E710" s="25" t="n">
        <v>0</v>
      </c>
      <c r="F710" s="28" t="n">
        <v>0</v>
      </c>
      <c r="G710" s="27" t="n">
        <v>43678</v>
      </c>
      <c r="H710" s="27" t="n">
        <v>43703</v>
      </c>
      <c r="I710" s="25" t="s">
        <v>85</v>
      </c>
    </row>
    <row r="711" customFormat="false" ht="12.8" hidden="false" customHeight="false" outlineLevel="0" collapsed="false">
      <c r="A711" s="25" t="s">
        <v>153</v>
      </c>
      <c r="B711" s="26" t="n">
        <v>36.9</v>
      </c>
      <c r="C711" s="25" t="n">
        <v>0</v>
      </c>
      <c r="D711" s="25" t="n">
        <v>1</v>
      </c>
      <c r="E711" s="25" t="n">
        <v>0</v>
      </c>
      <c r="F711" s="28" t="n">
        <v>0</v>
      </c>
      <c r="G711" s="27" t="n">
        <v>43678</v>
      </c>
      <c r="H711" s="27" t="n">
        <v>43703</v>
      </c>
      <c r="I711" s="25" t="s">
        <v>316</v>
      </c>
    </row>
    <row r="712" customFormat="false" ht="12.8" hidden="false" customHeight="false" outlineLevel="0" collapsed="false">
      <c r="A712" s="25" t="s">
        <v>317</v>
      </c>
      <c r="B712" s="26" t="n">
        <v>21</v>
      </c>
      <c r="C712" s="25" t="n">
        <v>0</v>
      </c>
      <c r="D712" s="25" t="n">
        <v>1</v>
      </c>
      <c r="E712" s="25" t="n">
        <v>0</v>
      </c>
      <c r="F712" s="28" t="n">
        <v>0</v>
      </c>
      <c r="G712" s="27" t="n">
        <v>43678</v>
      </c>
      <c r="H712" s="27" t="n">
        <v>43703</v>
      </c>
      <c r="I712" s="25" t="s">
        <v>81</v>
      </c>
    </row>
    <row r="713" customFormat="false" ht="12.8" hidden="false" customHeight="false" outlineLevel="0" collapsed="false">
      <c r="A713" s="25" t="s">
        <v>161</v>
      </c>
      <c r="B713" s="26" t="n">
        <v>21</v>
      </c>
      <c r="C713" s="25" t="n">
        <v>0</v>
      </c>
      <c r="D713" s="25" t="n">
        <v>1</v>
      </c>
      <c r="E713" s="25" t="n">
        <v>0</v>
      </c>
      <c r="F713" s="28" t="n">
        <v>0</v>
      </c>
      <c r="G713" s="27" t="n">
        <v>43678</v>
      </c>
      <c r="H713" s="27" t="n">
        <v>43703</v>
      </c>
      <c r="I713" s="25" t="s">
        <v>318</v>
      </c>
    </row>
    <row r="714" customFormat="false" ht="12.8" hidden="false" customHeight="false" outlineLevel="0" collapsed="false">
      <c r="A714" s="25" t="s">
        <v>74</v>
      </c>
      <c r="B714" s="26" t="n">
        <v>5.5</v>
      </c>
      <c r="C714" s="25" t="n">
        <v>0</v>
      </c>
      <c r="D714" s="25" t="n">
        <v>1</v>
      </c>
      <c r="E714" s="25" t="n">
        <v>0</v>
      </c>
      <c r="F714" s="28" t="n">
        <v>0</v>
      </c>
      <c r="G714" s="27" t="n">
        <v>43678</v>
      </c>
      <c r="H714" s="27" t="n">
        <v>43703</v>
      </c>
      <c r="I714" s="25" t="s">
        <v>72</v>
      </c>
    </row>
    <row r="715" customFormat="false" ht="12.8" hidden="false" customHeight="false" outlineLevel="0" collapsed="false">
      <c r="A715" s="25" t="s">
        <v>79</v>
      </c>
      <c r="B715" s="26" t="n">
        <v>50.32</v>
      </c>
      <c r="C715" s="25" t="n">
        <v>0</v>
      </c>
      <c r="D715" s="25" t="n">
        <v>1</v>
      </c>
      <c r="E715" s="25" t="n">
        <v>0</v>
      </c>
      <c r="F715" s="28" t="n">
        <v>0</v>
      </c>
      <c r="G715" s="27" t="n">
        <v>43678</v>
      </c>
      <c r="H715" s="27" t="n">
        <v>43703</v>
      </c>
      <c r="I715" s="25" t="s">
        <v>79</v>
      </c>
    </row>
    <row r="716" customFormat="false" ht="12.8" hidden="false" customHeight="false" outlineLevel="0" collapsed="false">
      <c r="A716" s="25" t="s">
        <v>319</v>
      </c>
      <c r="B716" s="26" t="n">
        <v>45.94</v>
      </c>
      <c r="C716" s="25" t="n">
        <v>0</v>
      </c>
      <c r="D716" s="25" t="n">
        <v>1</v>
      </c>
      <c r="E716" s="25" t="n">
        <v>0</v>
      </c>
      <c r="F716" s="28" t="n">
        <v>0</v>
      </c>
      <c r="G716" s="27" t="n">
        <v>43678</v>
      </c>
      <c r="H716" s="27" t="n">
        <v>43703</v>
      </c>
      <c r="I716" s="25" t="s">
        <v>79</v>
      </c>
    </row>
    <row r="717" customFormat="false" ht="12.8" hidden="false" customHeight="false" outlineLevel="0" collapsed="false">
      <c r="A717" s="25" t="s">
        <v>82</v>
      </c>
      <c r="B717" s="26" t="n">
        <v>7</v>
      </c>
      <c r="C717" s="25" t="n">
        <v>0</v>
      </c>
      <c r="D717" s="25" t="n">
        <v>1</v>
      </c>
      <c r="E717" s="25" t="n">
        <v>0</v>
      </c>
      <c r="F717" s="28" t="n">
        <v>0</v>
      </c>
      <c r="G717" s="27" t="n">
        <v>43678</v>
      </c>
      <c r="H717" s="27" t="n">
        <v>43704</v>
      </c>
      <c r="I717" s="25" t="s">
        <v>72</v>
      </c>
    </row>
    <row r="718" customFormat="false" ht="12.8" hidden="false" customHeight="false" outlineLevel="0" collapsed="false">
      <c r="A718" s="25" t="s">
        <v>320</v>
      </c>
      <c r="B718" s="26" t="n">
        <v>85</v>
      </c>
      <c r="C718" s="25" t="n">
        <v>0</v>
      </c>
      <c r="D718" s="25" t="n">
        <v>1</v>
      </c>
      <c r="E718" s="25" t="n">
        <v>0</v>
      </c>
      <c r="F718" s="28" t="n">
        <v>0</v>
      </c>
      <c r="G718" s="27" t="n">
        <v>43678</v>
      </c>
      <c r="H718" s="27" t="n">
        <v>43704</v>
      </c>
      <c r="I718" s="25" t="s">
        <v>81</v>
      </c>
    </row>
    <row r="719" customFormat="false" ht="12.8" hidden="false" customHeight="false" outlineLevel="0" collapsed="false">
      <c r="A719" s="25" t="s">
        <v>312</v>
      </c>
      <c r="B719" s="26" t="n">
        <v>14.9</v>
      </c>
      <c r="C719" s="25" t="n">
        <v>0</v>
      </c>
      <c r="D719" s="25" t="n">
        <v>1</v>
      </c>
      <c r="E719" s="25" t="n">
        <v>0</v>
      </c>
      <c r="F719" s="28" t="n">
        <v>0</v>
      </c>
      <c r="G719" s="27" t="n">
        <v>43678</v>
      </c>
      <c r="H719" s="27" t="n">
        <v>43704</v>
      </c>
      <c r="I719" s="25" t="s">
        <v>72</v>
      </c>
    </row>
    <row r="720" customFormat="false" ht="12.8" hidden="false" customHeight="false" outlineLevel="0" collapsed="false">
      <c r="A720" s="49" t="s">
        <v>35</v>
      </c>
      <c r="B720" s="50" t="n">
        <v>0</v>
      </c>
      <c r="C720" s="49" t="n">
        <v>0</v>
      </c>
      <c r="D720" s="49" t="n">
        <v>1</v>
      </c>
      <c r="E720" s="49" t="n">
        <v>1</v>
      </c>
      <c r="F720" s="49" t="n">
        <v>0</v>
      </c>
      <c r="G720" s="51" t="n">
        <v>43678</v>
      </c>
      <c r="H720" s="51" t="n">
        <v>43707</v>
      </c>
      <c r="I720" s="49" t="s">
        <v>35</v>
      </c>
    </row>
    <row r="721" customFormat="false" ht="12.8" hidden="false" customHeight="false" outlineLevel="0" collapsed="false">
      <c r="A721" s="25" t="s">
        <v>187</v>
      </c>
      <c r="B721" s="26" t="n">
        <v>1000</v>
      </c>
      <c r="C721" s="25" t="n">
        <v>0</v>
      </c>
      <c r="D721" s="25" t="n">
        <v>1</v>
      </c>
      <c r="E721" s="25" t="n">
        <v>0</v>
      </c>
      <c r="F721" s="28" t="n">
        <v>0</v>
      </c>
      <c r="G721" s="27" t="n">
        <v>43678</v>
      </c>
      <c r="H721" s="27" t="n">
        <v>43707</v>
      </c>
      <c r="I721" s="25" t="s">
        <v>68</v>
      </c>
    </row>
    <row r="722" customFormat="false" ht="12.8" hidden="false" customHeight="false" outlineLevel="0" collapsed="false">
      <c r="A722" s="25" t="s">
        <v>112</v>
      </c>
      <c r="B722" s="26" t="n">
        <v>5.5</v>
      </c>
      <c r="C722" s="25" t="n">
        <v>0</v>
      </c>
      <c r="D722" s="25" t="n">
        <v>1</v>
      </c>
      <c r="E722" s="25" t="n">
        <v>0</v>
      </c>
      <c r="F722" s="28" t="n">
        <v>0</v>
      </c>
      <c r="G722" s="27" t="n">
        <v>43678</v>
      </c>
      <c r="H722" s="27" t="n">
        <v>43705</v>
      </c>
      <c r="I722" s="25" t="s">
        <v>72</v>
      </c>
    </row>
    <row r="723" customFormat="false" ht="12.8" hidden="false" customHeight="false" outlineLevel="0" collapsed="false">
      <c r="A723" s="25" t="s">
        <v>260</v>
      </c>
      <c r="B723" s="26" t="n">
        <v>7.9</v>
      </c>
      <c r="C723" s="25" t="n">
        <v>0</v>
      </c>
      <c r="D723" s="25" t="n">
        <v>1</v>
      </c>
      <c r="E723" s="25" t="n">
        <v>0</v>
      </c>
      <c r="F723" s="28" t="n">
        <v>0</v>
      </c>
      <c r="G723" s="27" t="n">
        <v>43678</v>
      </c>
      <c r="H723" s="27" t="n">
        <v>43706</v>
      </c>
      <c r="I723" s="25" t="s">
        <v>79</v>
      </c>
    </row>
    <row r="724" customFormat="false" ht="12.8" hidden="false" customHeight="false" outlineLevel="0" collapsed="false">
      <c r="A724" s="25" t="s">
        <v>247</v>
      </c>
      <c r="B724" s="26" t="n">
        <v>10.6</v>
      </c>
      <c r="C724" s="25" t="n">
        <v>0</v>
      </c>
      <c r="D724" s="25" t="n">
        <v>1</v>
      </c>
      <c r="E724" s="25" t="n">
        <v>0</v>
      </c>
      <c r="F724" s="28" t="n">
        <v>0</v>
      </c>
      <c r="G724" s="27" t="n">
        <v>43678</v>
      </c>
      <c r="H724" s="27" t="n">
        <v>43707</v>
      </c>
      <c r="I724" s="25" t="s">
        <v>72</v>
      </c>
    </row>
    <row r="725" customFormat="false" ht="12.8" hidden="false" customHeight="false" outlineLevel="0" collapsed="false">
      <c r="A725" s="25" t="s">
        <v>321</v>
      </c>
      <c r="B725" s="26" t="n">
        <v>11</v>
      </c>
      <c r="C725" s="25" t="n">
        <v>0</v>
      </c>
      <c r="D725" s="25" t="n">
        <v>1</v>
      </c>
      <c r="E725" s="25" t="n">
        <v>0</v>
      </c>
      <c r="F725" s="28" t="n">
        <v>0</v>
      </c>
      <c r="G725" s="27" t="n">
        <v>43678</v>
      </c>
      <c r="H725" s="27" t="n">
        <v>43707</v>
      </c>
      <c r="I725" s="25" t="s">
        <v>72</v>
      </c>
    </row>
    <row r="726" customFormat="false" ht="12.8" hidden="false" customHeight="false" outlineLevel="0" collapsed="false">
      <c r="A726" s="25" t="s">
        <v>112</v>
      </c>
      <c r="B726" s="26" t="n">
        <v>4.5</v>
      </c>
      <c r="C726" s="25" t="n">
        <v>0</v>
      </c>
      <c r="D726" s="25" t="n">
        <v>1</v>
      </c>
      <c r="E726" s="25" t="n">
        <v>0</v>
      </c>
      <c r="F726" s="28" t="n">
        <v>0</v>
      </c>
      <c r="G726" s="27" t="n">
        <v>43678</v>
      </c>
      <c r="H726" s="27" t="n">
        <v>43707</v>
      </c>
      <c r="I726" s="25" t="s">
        <v>72</v>
      </c>
    </row>
    <row r="727" customFormat="false" ht="12.8" hidden="false" customHeight="false" outlineLevel="0" collapsed="false">
      <c r="A727" s="25" t="s">
        <v>188</v>
      </c>
      <c r="B727" s="26" t="n">
        <v>3.77</v>
      </c>
      <c r="C727" s="25" t="n">
        <v>0</v>
      </c>
      <c r="D727" s="25" t="n">
        <v>1</v>
      </c>
      <c r="E727" s="25" t="n">
        <v>0</v>
      </c>
      <c r="F727" s="28" t="n">
        <v>0</v>
      </c>
      <c r="G727" s="27" t="n">
        <v>43678</v>
      </c>
      <c r="H727" s="27" t="n">
        <v>43707</v>
      </c>
      <c r="I727" s="25" t="s">
        <v>192</v>
      </c>
    </row>
    <row r="728" customFormat="false" ht="12.8" hidden="false" customHeight="false" outlineLevel="0" collapsed="false">
      <c r="A728" s="25" t="s">
        <v>82</v>
      </c>
      <c r="B728" s="26" t="n">
        <v>1.49</v>
      </c>
      <c r="C728" s="25" t="n">
        <v>0</v>
      </c>
      <c r="D728" s="25" t="n">
        <v>1</v>
      </c>
      <c r="E728" s="25" t="n">
        <v>0</v>
      </c>
      <c r="F728" s="28" t="n">
        <v>0</v>
      </c>
      <c r="G728" s="27" t="n">
        <v>43678</v>
      </c>
      <c r="H728" s="27" t="n">
        <v>43707</v>
      </c>
      <c r="I728" s="25" t="s">
        <v>79</v>
      </c>
    </row>
    <row r="729" customFormat="false" ht="12.8" hidden="false" customHeight="false" outlineLevel="0" collapsed="false">
      <c r="A729" s="25" t="s">
        <v>79</v>
      </c>
      <c r="B729" s="26" t="n">
        <v>30</v>
      </c>
      <c r="C729" s="25" t="n">
        <v>0</v>
      </c>
      <c r="D729" s="25" t="n">
        <v>1</v>
      </c>
      <c r="E729" s="25" t="n">
        <v>0</v>
      </c>
      <c r="F729" s="28" t="n">
        <v>0</v>
      </c>
      <c r="G729" s="27" t="n">
        <v>43678</v>
      </c>
      <c r="H729" s="27" t="n">
        <v>43707</v>
      </c>
      <c r="I729" s="25" t="s">
        <v>72</v>
      </c>
    </row>
    <row r="730" customFormat="false" ht="12.8" hidden="false" customHeight="false" outlineLevel="0" collapsed="false">
      <c r="A730" s="25" t="s">
        <v>291</v>
      </c>
      <c r="B730" s="26" t="n">
        <v>18.98</v>
      </c>
      <c r="C730" s="25" t="n">
        <v>0</v>
      </c>
      <c r="D730" s="25" t="n">
        <v>1</v>
      </c>
      <c r="E730" s="25" t="n">
        <v>0</v>
      </c>
      <c r="F730" s="28" t="n">
        <v>0</v>
      </c>
      <c r="G730" s="27" t="n">
        <v>43678</v>
      </c>
      <c r="H730" s="27" t="n">
        <v>43707</v>
      </c>
      <c r="I730" s="25" t="s">
        <v>72</v>
      </c>
    </row>
    <row r="731" customFormat="false" ht="12.8" hidden="false" customHeight="false" outlineLevel="0" collapsed="false">
      <c r="A731" s="8" t="s">
        <v>57</v>
      </c>
      <c r="B731" s="37" t="n">
        <v>76.9</v>
      </c>
      <c r="C731" s="8" t="n">
        <v>1</v>
      </c>
      <c r="D731" s="8" t="n">
        <v>0</v>
      </c>
      <c r="E731" s="8" t="n">
        <v>0</v>
      </c>
      <c r="F731" s="28" t="n">
        <v>0</v>
      </c>
      <c r="G731" s="9" t="n">
        <v>43709</v>
      </c>
      <c r="H731" s="9" t="n">
        <v>43711</v>
      </c>
      <c r="I731" s="8" t="s">
        <v>58</v>
      </c>
    </row>
    <row r="732" customFormat="false" ht="12.8" hidden="false" customHeight="false" outlineLevel="0" collapsed="false">
      <c r="A732" s="8" t="s">
        <v>135</v>
      </c>
      <c r="B732" s="43" t="n">
        <f aca="false">SUMIFS(credito!$B$1:$B$277,credito!$F$1:$F$277,G731,credito!$G$1:$G$277,0)</f>
        <v>1500</v>
      </c>
      <c r="C732" s="8" t="n">
        <v>0</v>
      </c>
      <c r="D732" s="8" t="n">
        <v>1</v>
      </c>
      <c r="E732" s="8" t="n">
        <v>0</v>
      </c>
      <c r="F732" s="28" t="n">
        <v>0</v>
      </c>
      <c r="G732" s="9" t="n">
        <v>43709</v>
      </c>
      <c r="H732" s="9" t="n">
        <v>43723</v>
      </c>
      <c r="I732" s="8" t="s">
        <v>131</v>
      </c>
      <c r="J732" s="25" t="n">
        <f aca="false">SUMIFS(credito!$B$1:$B$277,credito!$F$1:$F$277,G731,credito!$G$1:$G$277,0)</f>
        <v>1500</v>
      </c>
    </row>
    <row r="733" customFormat="false" ht="12.8" hidden="false" customHeight="false" outlineLevel="0" collapsed="false">
      <c r="A733" s="8" t="s">
        <v>132</v>
      </c>
      <c r="B733" s="37" t="n">
        <v>424.79</v>
      </c>
      <c r="C733" s="8" t="n">
        <v>1</v>
      </c>
      <c r="D733" s="8" t="n">
        <v>0</v>
      </c>
      <c r="E733" s="8" t="n">
        <v>0</v>
      </c>
      <c r="F733" s="28" t="n">
        <v>0</v>
      </c>
      <c r="G733" s="9" t="n">
        <v>43709</v>
      </c>
      <c r="H733" s="9" t="n">
        <v>43738</v>
      </c>
      <c r="I733" s="8" t="s">
        <v>131</v>
      </c>
    </row>
    <row r="734" customFormat="false" ht="12.8" hidden="false" customHeight="false" outlineLevel="0" collapsed="false">
      <c r="A734" s="8" t="s">
        <v>69</v>
      </c>
      <c r="B734" s="37" t="n">
        <v>330</v>
      </c>
      <c r="C734" s="8" t="n">
        <v>1</v>
      </c>
      <c r="D734" s="8" t="n">
        <v>0</v>
      </c>
      <c r="E734" s="8" t="n">
        <v>0</v>
      </c>
      <c r="F734" s="28" t="n">
        <v>0</v>
      </c>
      <c r="G734" s="9" t="n">
        <v>43709</v>
      </c>
      <c r="H734" s="9" t="n">
        <v>43738</v>
      </c>
      <c r="I734" s="8" t="s">
        <v>70</v>
      </c>
    </row>
    <row r="735" customFormat="false" ht="12.8" hidden="false" customHeight="false" outlineLevel="0" collapsed="false">
      <c r="A735" s="8" t="s">
        <v>62</v>
      </c>
      <c r="B735" s="37" t="n">
        <v>6.41</v>
      </c>
      <c r="C735" s="8" t="n">
        <v>1</v>
      </c>
      <c r="D735" s="8" t="n">
        <v>0</v>
      </c>
      <c r="E735" s="8" t="n">
        <v>0</v>
      </c>
      <c r="F735" s="28" t="n">
        <v>0</v>
      </c>
      <c r="G735" s="9" t="n">
        <v>43709</v>
      </c>
      <c r="H735" s="9" t="n">
        <v>43718</v>
      </c>
      <c r="I735" s="8" t="s">
        <v>58</v>
      </c>
    </row>
    <row r="736" customFormat="false" ht="12.8" hidden="false" customHeight="false" outlineLevel="0" collapsed="false">
      <c r="A736" s="8" t="s">
        <v>63</v>
      </c>
      <c r="B736" s="37" t="n">
        <v>75</v>
      </c>
      <c r="C736" s="8" t="n">
        <v>1</v>
      </c>
      <c r="D736" s="8" t="n">
        <v>0</v>
      </c>
      <c r="E736" s="8" t="n">
        <v>0</v>
      </c>
      <c r="F736" s="28" t="n">
        <v>0</v>
      </c>
      <c r="G736" s="9" t="n">
        <v>43709</v>
      </c>
      <c r="H736" s="9" t="n">
        <v>43723</v>
      </c>
      <c r="I736" s="8" t="s">
        <v>64</v>
      </c>
    </row>
    <row r="737" customFormat="false" ht="12.8" hidden="false" customHeight="false" outlineLevel="0" collapsed="false">
      <c r="A737" s="8" t="s">
        <v>75</v>
      </c>
      <c r="B737" s="37" t="n">
        <v>0</v>
      </c>
      <c r="C737" s="8" t="n">
        <v>1</v>
      </c>
      <c r="D737" s="8" t="n">
        <v>0</v>
      </c>
      <c r="E737" s="8" t="n">
        <v>0</v>
      </c>
      <c r="F737" s="28" t="n">
        <v>0</v>
      </c>
      <c r="G737" s="9" t="n">
        <v>43709</v>
      </c>
      <c r="H737" s="9" t="n">
        <v>43738</v>
      </c>
      <c r="I737" s="8" t="s">
        <v>76</v>
      </c>
    </row>
    <row r="738" customFormat="false" ht="12.8" hidden="false" customHeight="false" outlineLevel="0" collapsed="false">
      <c r="A738" s="18" t="s">
        <v>65</v>
      </c>
      <c r="B738" s="42" t="n">
        <v>2700</v>
      </c>
      <c r="C738" s="18" t="n">
        <v>1</v>
      </c>
      <c r="D738" s="18" t="n">
        <v>0</v>
      </c>
      <c r="E738" s="18" t="n">
        <v>1</v>
      </c>
      <c r="F738" s="28" t="n">
        <v>0</v>
      </c>
      <c r="G738" s="16" t="n">
        <v>43709</v>
      </c>
      <c r="H738" s="16" t="n">
        <v>43616</v>
      </c>
      <c r="I738" s="18" t="s">
        <v>66</v>
      </c>
    </row>
    <row r="739" customFormat="false" ht="12.8" hidden="false" customHeight="false" outlineLevel="0" collapsed="false">
      <c r="A739" s="18" t="s">
        <v>302</v>
      </c>
      <c r="B739" s="42" t="n">
        <v>1000</v>
      </c>
      <c r="C739" s="18" t="n">
        <v>0</v>
      </c>
      <c r="D739" s="18" t="n">
        <v>0</v>
      </c>
      <c r="E739" s="18" t="n">
        <v>0</v>
      </c>
      <c r="F739" s="28" t="n">
        <v>1</v>
      </c>
      <c r="G739" s="16" t="n">
        <v>43709</v>
      </c>
      <c r="H739" s="16"/>
      <c r="I739" s="18"/>
    </row>
    <row r="740" customFormat="false" ht="12.8" hidden="false" customHeight="false" outlineLevel="0" collapsed="false">
      <c r="A740" s="38" t="s">
        <v>177</v>
      </c>
      <c r="B740" s="39" t="n">
        <v>187.87</v>
      </c>
      <c r="C740" s="38" t="n">
        <v>1</v>
      </c>
      <c r="D740" s="38" t="n">
        <v>0</v>
      </c>
      <c r="E740" s="38" t="n">
        <v>0</v>
      </c>
      <c r="F740" s="28" t="n">
        <v>0</v>
      </c>
      <c r="G740" s="40" t="n">
        <v>43709</v>
      </c>
      <c r="H740" s="40" t="n">
        <v>43723</v>
      </c>
      <c r="I740" s="38" t="s">
        <v>106</v>
      </c>
    </row>
    <row r="741" customFormat="false" ht="12.8" hidden="false" customHeight="false" outlineLevel="0" collapsed="false">
      <c r="A741" s="38" t="s">
        <v>183</v>
      </c>
      <c r="B741" s="39" t="n">
        <v>383.22</v>
      </c>
      <c r="C741" s="38" t="n">
        <v>0</v>
      </c>
      <c r="D741" s="38" t="n">
        <v>1</v>
      </c>
      <c r="E741" s="38" t="n">
        <v>0</v>
      </c>
      <c r="F741" s="28" t="n">
        <v>0</v>
      </c>
      <c r="G741" s="40" t="n">
        <v>43709</v>
      </c>
      <c r="H741" s="40" t="n">
        <v>43723</v>
      </c>
      <c r="I741" s="38" t="s">
        <v>184</v>
      </c>
    </row>
    <row r="742" customFormat="false" ht="12.8" hidden="false" customHeight="false" outlineLevel="0" collapsed="false">
      <c r="A742" s="38" t="s">
        <v>73</v>
      </c>
      <c r="B742" s="39" t="n">
        <v>41.55</v>
      </c>
      <c r="C742" s="38" t="n">
        <v>0</v>
      </c>
      <c r="D742" s="38" t="n">
        <v>1</v>
      </c>
      <c r="E742" s="38" t="n">
        <v>0</v>
      </c>
      <c r="F742" s="28" t="n">
        <v>0</v>
      </c>
      <c r="G742" s="40" t="n">
        <v>43709</v>
      </c>
      <c r="H742" s="40" t="n">
        <v>43710</v>
      </c>
      <c r="I742" s="38" t="s">
        <v>73</v>
      </c>
    </row>
    <row r="743" customFormat="false" ht="12.8" hidden="false" customHeight="false" outlineLevel="0" collapsed="false">
      <c r="A743" s="38" t="s">
        <v>199</v>
      </c>
      <c r="B743" s="39" t="n">
        <v>162.55</v>
      </c>
      <c r="C743" s="38" t="n">
        <v>0</v>
      </c>
      <c r="D743" s="38" t="n">
        <v>1</v>
      </c>
      <c r="E743" s="38" t="n">
        <v>0</v>
      </c>
      <c r="F743" s="28" t="n">
        <v>0</v>
      </c>
      <c r="G743" s="40" t="n">
        <v>43709</v>
      </c>
      <c r="H743" s="40" t="n">
        <v>43710</v>
      </c>
      <c r="I743" s="38" t="s">
        <v>116</v>
      </c>
    </row>
    <row r="744" customFormat="false" ht="12.8" hidden="false" customHeight="false" outlineLevel="0" collapsed="false">
      <c r="A744" s="38" t="s">
        <v>90</v>
      </c>
      <c r="B744" s="39" t="n">
        <v>83.74</v>
      </c>
      <c r="C744" s="38" t="n">
        <v>0</v>
      </c>
      <c r="D744" s="38" t="n">
        <v>1</v>
      </c>
      <c r="E744" s="38" t="n">
        <v>0</v>
      </c>
      <c r="F744" s="28" t="n">
        <v>0</v>
      </c>
      <c r="G744" s="40" t="n">
        <v>43709</v>
      </c>
      <c r="H744" s="40" t="n">
        <v>43710</v>
      </c>
      <c r="I744" s="38" t="s">
        <v>79</v>
      </c>
    </row>
    <row r="745" customFormat="false" ht="12.8" hidden="false" customHeight="false" outlineLevel="0" collapsed="false">
      <c r="A745" s="38" t="s">
        <v>322</v>
      </c>
      <c r="B745" s="39" t="n">
        <v>265.4</v>
      </c>
      <c r="C745" s="38" t="n">
        <v>0</v>
      </c>
      <c r="D745" s="38" t="n">
        <v>1</v>
      </c>
      <c r="E745" s="38" t="n">
        <v>0</v>
      </c>
      <c r="F745" s="28" t="n">
        <v>0</v>
      </c>
      <c r="G745" s="40" t="n">
        <v>43709</v>
      </c>
      <c r="H745" s="40" t="n">
        <v>43711</v>
      </c>
      <c r="I745" s="38" t="s">
        <v>81</v>
      </c>
    </row>
    <row r="746" customFormat="false" ht="12.8" hidden="false" customHeight="false" outlineLevel="0" collapsed="false">
      <c r="A746" s="38" t="s">
        <v>320</v>
      </c>
      <c r="B746" s="39" t="n">
        <v>85</v>
      </c>
      <c r="C746" s="38" t="n">
        <v>0</v>
      </c>
      <c r="D746" s="38" t="n">
        <v>1</v>
      </c>
      <c r="E746" s="38" t="n">
        <v>0</v>
      </c>
      <c r="F746" s="28" t="n">
        <v>0</v>
      </c>
      <c r="G746" s="40" t="n">
        <v>43709</v>
      </c>
      <c r="H746" s="40" t="n">
        <v>43711</v>
      </c>
      <c r="I746" s="38" t="s">
        <v>68</v>
      </c>
    </row>
    <row r="747" customFormat="false" ht="12.8" hidden="false" customHeight="false" outlineLevel="0" collapsed="false">
      <c r="A747" s="38" t="s">
        <v>323</v>
      </c>
      <c r="B747" s="39" t="n">
        <v>59</v>
      </c>
      <c r="C747" s="38" t="n">
        <v>0</v>
      </c>
      <c r="D747" s="38" t="n">
        <v>1</v>
      </c>
      <c r="E747" s="38" t="n">
        <v>0</v>
      </c>
      <c r="F747" s="28" t="n">
        <v>0</v>
      </c>
      <c r="G747" s="40" t="n">
        <v>43709</v>
      </c>
      <c r="H747" s="40" t="n">
        <v>43711</v>
      </c>
      <c r="I747" s="38" t="s">
        <v>81</v>
      </c>
    </row>
    <row r="748" customFormat="false" ht="12.8" hidden="false" customHeight="false" outlineLevel="0" collapsed="false">
      <c r="A748" s="38" t="s">
        <v>324</v>
      </c>
      <c r="B748" s="39" t="n">
        <v>10.5</v>
      </c>
      <c r="C748" s="38" t="n">
        <v>0</v>
      </c>
      <c r="D748" s="38" t="n">
        <v>1</v>
      </c>
      <c r="E748" s="38" t="n">
        <v>0</v>
      </c>
      <c r="F748" s="28" t="n">
        <v>0</v>
      </c>
      <c r="G748" s="40" t="n">
        <v>43709</v>
      </c>
      <c r="H748" s="40" t="n">
        <v>43711</v>
      </c>
      <c r="I748" s="38" t="s">
        <v>58</v>
      </c>
    </row>
    <row r="749" customFormat="false" ht="12.8" hidden="false" customHeight="false" outlineLevel="0" collapsed="false">
      <c r="A749" s="38" t="s">
        <v>264</v>
      </c>
      <c r="B749" s="39" t="n">
        <v>75.37</v>
      </c>
      <c r="C749" s="38" t="n">
        <v>0</v>
      </c>
      <c r="D749" s="38" t="n">
        <v>1</v>
      </c>
      <c r="E749" s="38" t="n">
        <v>0</v>
      </c>
      <c r="F749" s="28" t="n">
        <v>0</v>
      </c>
      <c r="G749" s="40" t="n">
        <v>43709</v>
      </c>
      <c r="H749" s="40" t="n">
        <v>43712</v>
      </c>
      <c r="I749" s="38" t="s">
        <v>325</v>
      </c>
    </row>
    <row r="750" customFormat="false" ht="12.8" hidden="false" customHeight="false" outlineLevel="0" collapsed="false">
      <c r="A750" s="38" t="s">
        <v>264</v>
      </c>
      <c r="B750" s="39" t="n">
        <v>56.14</v>
      </c>
      <c r="C750" s="38" t="n">
        <v>0</v>
      </c>
      <c r="D750" s="38" t="n">
        <v>1</v>
      </c>
      <c r="E750" s="38" t="n">
        <v>0</v>
      </c>
      <c r="F750" s="28" t="n">
        <v>0</v>
      </c>
      <c r="G750" s="40" t="n">
        <v>43709</v>
      </c>
      <c r="H750" s="40" t="n">
        <v>43712</v>
      </c>
      <c r="I750" s="38" t="s">
        <v>325</v>
      </c>
    </row>
    <row r="751" customFormat="false" ht="12.8" hidden="false" customHeight="false" outlineLevel="0" collapsed="false">
      <c r="A751" s="38" t="s">
        <v>229</v>
      </c>
      <c r="B751" s="39" t="n">
        <v>15.97</v>
      </c>
      <c r="C751" s="38" t="n">
        <v>0</v>
      </c>
      <c r="D751" s="38" t="n">
        <v>1</v>
      </c>
      <c r="E751" s="38" t="n">
        <v>0</v>
      </c>
      <c r="F751" s="28" t="n">
        <v>0</v>
      </c>
      <c r="G751" s="40" t="n">
        <v>43709</v>
      </c>
      <c r="H751" s="40" t="n">
        <v>43712</v>
      </c>
      <c r="I751" s="38" t="s">
        <v>81</v>
      </c>
    </row>
    <row r="752" customFormat="false" ht="12.8" hidden="false" customHeight="false" outlineLevel="0" collapsed="false">
      <c r="A752" s="38" t="s">
        <v>326</v>
      </c>
      <c r="B752" s="39" t="n">
        <v>15</v>
      </c>
      <c r="C752" s="38" t="n">
        <v>0</v>
      </c>
      <c r="D752" s="38" t="n">
        <v>1</v>
      </c>
      <c r="E752" s="38" t="n">
        <v>0</v>
      </c>
      <c r="F752" s="28" t="n">
        <v>0</v>
      </c>
      <c r="G752" s="40" t="n">
        <v>43709</v>
      </c>
      <c r="H752" s="40" t="n">
        <v>43712</v>
      </c>
      <c r="I752" s="38" t="s">
        <v>72</v>
      </c>
    </row>
    <row r="753" customFormat="false" ht="12.8" hidden="false" customHeight="false" outlineLevel="0" collapsed="false">
      <c r="A753" s="38" t="s">
        <v>35</v>
      </c>
      <c r="B753" s="39" t="n">
        <v>1000</v>
      </c>
      <c r="C753" s="38" t="n">
        <v>0</v>
      </c>
      <c r="D753" s="38" t="n">
        <v>1</v>
      </c>
      <c r="E753" s="38" t="n">
        <v>0</v>
      </c>
      <c r="F753" s="28" t="n">
        <v>0</v>
      </c>
      <c r="G753" s="40" t="n">
        <v>43709</v>
      </c>
      <c r="H753" s="40" t="n">
        <v>43713</v>
      </c>
      <c r="I753" s="38" t="s">
        <v>81</v>
      </c>
    </row>
    <row r="754" customFormat="false" ht="12.8" hidden="false" customHeight="false" outlineLevel="0" collapsed="false">
      <c r="A754" s="38" t="s">
        <v>105</v>
      </c>
      <c r="B754" s="39" t="n">
        <v>77.98</v>
      </c>
      <c r="C754" s="38" t="n">
        <v>0</v>
      </c>
      <c r="D754" s="38" t="n">
        <v>1</v>
      </c>
      <c r="E754" s="38" t="n">
        <v>0</v>
      </c>
      <c r="F754" s="28" t="n">
        <v>0</v>
      </c>
      <c r="G754" s="40" t="n">
        <v>43709</v>
      </c>
      <c r="H754" s="40" t="n">
        <v>43713</v>
      </c>
      <c r="I754" s="38" t="s">
        <v>106</v>
      </c>
    </row>
    <row r="755" customFormat="false" ht="12.8" hidden="false" customHeight="false" outlineLevel="0" collapsed="false">
      <c r="A755" s="38" t="s">
        <v>327</v>
      </c>
      <c r="B755" s="39" t="n">
        <v>6.99</v>
      </c>
      <c r="C755" s="38" t="n">
        <v>0</v>
      </c>
      <c r="D755" s="38" t="n">
        <v>1</v>
      </c>
      <c r="E755" s="38" t="n">
        <v>0</v>
      </c>
      <c r="F755" s="28" t="n">
        <v>0</v>
      </c>
      <c r="G755" s="40" t="n">
        <v>43709</v>
      </c>
      <c r="H755" s="40" t="n">
        <v>43713</v>
      </c>
      <c r="I755" s="38" t="s">
        <v>72</v>
      </c>
    </row>
    <row r="756" customFormat="false" ht="12.8" hidden="false" customHeight="false" outlineLevel="0" collapsed="false">
      <c r="A756" s="38" t="s">
        <v>328</v>
      </c>
      <c r="B756" s="39" t="n">
        <v>55.95</v>
      </c>
      <c r="C756" s="38" t="n">
        <v>0</v>
      </c>
      <c r="D756" s="38" t="n">
        <v>1</v>
      </c>
      <c r="E756" s="38" t="n">
        <v>0</v>
      </c>
      <c r="F756" s="28" t="n">
        <v>0</v>
      </c>
      <c r="G756" s="40" t="n">
        <v>43709</v>
      </c>
      <c r="H756" s="40" t="n">
        <v>43714</v>
      </c>
      <c r="I756" s="38" t="s">
        <v>84</v>
      </c>
    </row>
    <row r="757" customFormat="false" ht="12.8" hidden="false" customHeight="false" outlineLevel="0" collapsed="false">
      <c r="A757" s="38" t="s">
        <v>260</v>
      </c>
      <c r="B757" s="39" t="n">
        <v>10.4</v>
      </c>
      <c r="C757" s="38" t="n">
        <v>0</v>
      </c>
      <c r="D757" s="38" t="n">
        <v>1</v>
      </c>
      <c r="E757" s="38" t="n">
        <v>0</v>
      </c>
      <c r="F757" s="28" t="n">
        <v>0</v>
      </c>
      <c r="G757" s="40" t="n">
        <v>43709</v>
      </c>
      <c r="H757" s="40" t="n">
        <v>43715</v>
      </c>
      <c r="I757" s="38" t="s">
        <v>79</v>
      </c>
    </row>
    <row r="758" customFormat="false" ht="12.8" hidden="false" customHeight="false" outlineLevel="0" collapsed="false">
      <c r="A758" s="38" t="s">
        <v>329</v>
      </c>
      <c r="B758" s="39" t="n">
        <v>130.26</v>
      </c>
      <c r="C758" s="38" t="n">
        <v>0</v>
      </c>
      <c r="D758" s="38" t="n">
        <v>1</v>
      </c>
      <c r="E758" s="38" t="n">
        <v>0</v>
      </c>
      <c r="F758" s="28" t="n">
        <v>0</v>
      </c>
      <c r="G758" s="40" t="n">
        <v>43709</v>
      </c>
      <c r="H758" s="40" t="n">
        <v>43715</v>
      </c>
      <c r="I758" s="38" t="s">
        <v>73</v>
      </c>
    </row>
    <row r="759" customFormat="false" ht="12.8" hidden="false" customHeight="false" outlineLevel="0" collapsed="false">
      <c r="A759" s="38" t="s">
        <v>260</v>
      </c>
      <c r="B759" s="39" t="n">
        <v>4</v>
      </c>
      <c r="C759" s="38" t="n">
        <v>0</v>
      </c>
      <c r="D759" s="38" t="n">
        <v>1</v>
      </c>
      <c r="E759" s="38" t="n">
        <v>0</v>
      </c>
      <c r="F759" s="28" t="n">
        <v>0</v>
      </c>
      <c r="G759" s="40" t="n">
        <v>43709</v>
      </c>
      <c r="H759" s="40" t="n">
        <v>43715</v>
      </c>
      <c r="I759" s="38" t="s">
        <v>79</v>
      </c>
    </row>
    <row r="760" customFormat="false" ht="12.8" hidden="false" customHeight="false" outlineLevel="0" collapsed="false">
      <c r="A760" s="38" t="s">
        <v>105</v>
      </c>
      <c r="B760" s="39" t="n">
        <v>77.98</v>
      </c>
      <c r="C760" s="38" t="n">
        <v>0</v>
      </c>
      <c r="D760" s="38" t="n">
        <v>1</v>
      </c>
      <c r="E760" s="38" t="n">
        <v>0</v>
      </c>
      <c r="F760" s="28" t="n">
        <v>0</v>
      </c>
      <c r="G760" s="40" t="n">
        <v>43709</v>
      </c>
      <c r="H760" s="40" t="n">
        <v>43715</v>
      </c>
      <c r="I760" s="38" t="s">
        <v>106</v>
      </c>
    </row>
    <row r="761" customFormat="false" ht="12.8" hidden="false" customHeight="false" outlineLevel="0" collapsed="false">
      <c r="A761" s="38" t="s">
        <v>330</v>
      </c>
      <c r="B761" s="39" t="n">
        <v>25</v>
      </c>
      <c r="C761" s="38" t="n">
        <v>0</v>
      </c>
      <c r="D761" s="38" t="n">
        <v>1</v>
      </c>
      <c r="E761" s="38" t="n">
        <v>0</v>
      </c>
      <c r="F761" s="28" t="n">
        <v>0</v>
      </c>
      <c r="G761" s="40" t="n">
        <v>43709</v>
      </c>
      <c r="H761" s="40" t="n">
        <v>43715</v>
      </c>
      <c r="I761" s="38" t="s">
        <v>72</v>
      </c>
    </row>
    <row r="762" customFormat="false" ht="12.8" hidden="false" customHeight="false" outlineLevel="0" collapsed="false">
      <c r="A762" s="38" t="s">
        <v>97</v>
      </c>
      <c r="B762" s="39" t="n">
        <v>7.9</v>
      </c>
      <c r="C762" s="38" t="n">
        <v>0</v>
      </c>
      <c r="D762" s="38" t="n">
        <v>1</v>
      </c>
      <c r="E762" s="38" t="n">
        <v>0</v>
      </c>
      <c r="F762" s="28" t="n">
        <v>0</v>
      </c>
      <c r="G762" s="40" t="n">
        <v>43709</v>
      </c>
      <c r="H762" s="40" t="n">
        <v>43715</v>
      </c>
      <c r="I762" s="38" t="s">
        <v>72</v>
      </c>
    </row>
    <row r="763" customFormat="false" ht="12.8" hidden="false" customHeight="false" outlineLevel="0" collapsed="false">
      <c r="A763" s="38" t="s">
        <v>331</v>
      </c>
      <c r="B763" s="39" t="n">
        <v>3.82</v>
      </c>
      <c r="C763" s="38" t="n">
        <v>0</v>
      </c>
      <c r="D763" s="38" t="n">
        <v>1</v>
      </c>
      <c r="E763" s="38" t="n">
        <v>0</v>
      </c>
      <c r="F763" s="28" t="n">
        <v>0</v>
      </c>
      <c r="G763" s="40" t="n">
        <v>43709</v>
      </c>
      <c r="H763" s="40" t="n">
        <v>43716</v>
      </c>
      <c r="I763" s="38" t="s">
        <v>84</v>
      </c>
    </row>
    <row r="764" customFormat="false" ht="12.8" hidden="false" customHeight="false" outlineLevel="0" collapsed="false">
      <c r="A764" s="38" t="s">
        <v>332</v>
      </c>
      <c r="B764" s="39" t="n">
        <v>5</v>
      </c>
      <c r="C764" s="38" t="n">
        <v>0</v>
      </c>
      <c r="D764" s="38" t="n">
        <v>1</v>
      </c>
      <c r="E764" s="38" t="n">
        <v>0</v>
      </c>
      <c r="F764" s="28" t="n">
        <v>0</v>
      </c>
      <c r="G764" s="40" t="n">
        <v>43709</v>
      </c>
      <c r="H764" s="40" t="n">
        <v>43716</v>
      </c>
      <c r="I764" s="38" t="s">
        <v>72</v>
      </c>
    </row>
    <row r="765" customFormat="false" ht="12.8" hidden="false" customHeight="false" outlineLevel="0" collapsed="false">
      <c r="A765" s="38" t="s">
        <v>163</v>
      </c>
      <c r="B765" s="39" t="n">
        <v>9.84</v>
      </c>
      <c r="C765" s="38" t="n">
        <v>0</v>
      </c>
      <c r="D765" s="38" t="n">
        <v>1</v>
      </c>
      <c r="E765" s="38" t="n">
        <v>0</v>
      </c>
      <c r="F765" s="28" t="n">
        <v>0</v>
      </c>
      <c r="G765" s="40" t="n">
        <v>43709</v>
      </c>
      <c r="H765" s="40" t="n">
        <v>43716</v>
      </c>
      <c r="I765" s="38" t="s">
        <v>79</v>
      </c>
    </row>
    <row r="766" customFormat="false" ht="12.8" hidden="false" customHeight="false" outlineLevel="0" collapsed="false">
      <c r="A766" s="38" t="s">
        <v>192</v>
      </c>
      <c r="B766" s="39" t="n">
        <v>10.5</v>
      </c>
      <c r="C766" s="38" t="n">
        <v>0</v>
      </c>
      <c r="D766" s="38" t="n">
        <v>1</v>
      </c>
      <c r="E766" s="38" t="n">
        <v>0</v>
      </c>
      <c r="F766" s="28" t="n">
        <v>0</v>
      </c>
      <c r="G766" s="40" t="n">
        <v>43709</v>
      </c>
      <c r="H766" s="40" t="n">
        <v>43716</v>
      </c>
      <c r="I766" s="38" t="s">
        <v>116</v>
      </c>
    </row>
    <row r="767" customFormat="false" ht="12.8" hidden="false" customHeight="false" outlineLevel="0" collapsed="false">
      <c r="A767" s="38" t="s">
        <v>333</v>
      </c>
      <c r="B767" s="39" t="n">
        <v>20</v>
      </c>
      <c r="C767" s="38" t="n">
        <v>0</v>
      </c>
      <c r="D767" s="38" t="n">
        <v>1</v>
      </c>
      <c r="E767" s="38" t="n">
        <v>0</v>
      </c>
      <c r="F767" s="28" t="n">
        <v>0</v>
      </c>
      <c r="G767" s="40" t="n">
        <v>43709</v>
      </c>
      <c r="H767" s="40" t="n">
        <v>43717</v>
      </c>
      <c r="I767" s="38" t="s">
        <v>72</v>
      </c>
    </row>
    <row r="768" customFormat="false" ht="12.8" hidden="false" customHeight="false" outlineLevel="0" collapsed="false">
      <c r="A768" s="38" t="s">
        <v>334</v>
      </c>
      <c r="B768" s="39" t="n">
        <v>35</v>
      </c>
      <c r="C768" s="38" t="n">
        <v>0</v>
      </c>
      <c r="D768" s="38" t="n">
        <v>1</v>
      </c>
      <c r="E768" s="38" t="n">
        <v>0</v>
      </c>
      <c r="F768" s="28" t="n">
        <v>0</v>
      </c>
      <c r="G768" s="40" t="n">
        <v>43709</v>
      </c>
      <c r="H768" s="40" t="n">
        <v>43717</v>
      </c>
      <c r="I768" s="38" t="s">
        <v>72</v>
      </c>
    </row>
    <row r="769" customFormat="false" ht="12.8" hidden="false" customHeight="false" outlineLevel="0" collapsed="false">
      <c r="A769" s="38" t="s">
        <v>260</v>
      </c>
      <c r="B769" s="39" t="n">
        <v>9</v>
      </c>
      <c r="C769" s="38" t="n">
        <v>0</v>
      </c>
      <c r="D769" s="38" t="n">
        <v>1</v>
      </c>
      <c r="E769" s="38" t="n">
        <v>0</v>
      </c>
      <c r="F769" s="28" t="n">
        <v>0</v>
      </c>
      <c r="G769" s="40" t="n">
        <v>43709</v>
      </c>
      <c r="H769" s="40" t="n">
        <v>43717</v>
      </c>
      <c r="I769" s="38" t="s">
        <v>79</v>
      </c>
    </row>
    <row r="770" customFormat="false" ht="12.8" hidden="false" customHeight="false" outlineLevel="0" collapsed="false">
      <c r="A770" s="38" t="s">
        <v>94</v>
      </c>
      <c r="B770" s="39" t="n">
        <v>17.95</v>
      </c>
      <c r="C770" s="38" t="n">
        <v>0</v>
      </c>
      <c r="D770" s="38" t="n">
        <v>1</v>
      </c>
      <c r="E770" s="38" t="n">
        <v>0</v>
      </c>
      <c r="F770" s="28" t="n">
        <v>0</v>
      </c>
      <c r="G770" s="40" t="n">
        <v>43709</v>
      </c>
      <c r="H770" s="40" t="n">
        <v>43717</v>
      </c>
      <c r="I770" s="38" t="s">
        <v>84</v>
      </c>
    </row>
    <row r="771" customFormat="false" ht="12.8" hidden="false" customHeight="false" outlineLevel="0" collapsed="false">
      <c r="A771" s="38" t="s">
        <v>105</v>
      </c>
      <c r="B771" s="39" t="n">
        <v>156.09</v>
      </c>
      <c r="C771" s="38" t="n">
        <v>0</v>
      </c>
      <c r="D771" s="38" t="n">
        <v>1</v>
      </c>
      <c r="E771" s="38" t="n">
        <v>0</v>
      </c>
      <c r="F771" s="28" t="n">
        <v>0</v>
      </c>
      <c r="G771" s="40" t="n">
        <v>43709</v>
      </c>
      <c r="H771" s="40" t="n">
        <v>43718</v>
      </c>
      <c r="I771" s="38" t="s">
        <v>106</v>
      </c>
    </row>
    <row r="772" customFormat="false" ht="12.8" hidden="false" customHeight="false" outlineLevel="0" collapsed="false">
      <c r="A772" s="38" t="s">
        <v>73</v>
      </c>
      <c r="B772" s="39" t="n">
        <v>36.89</v>
      </c>
      <c r="C772" s="38" t="n">
        <v>0</v>
      </c>
      <c r="D772" s="38" t="n">
        <v>1</v>
      </c>
      <c r="E772" s="38" t="n">
        <v>0</v>
      </c>
      <c r="F772" s="28" t="n">
        <v>0</v>
      </c>
      <c r="G772" s="40" t="n">
        <v>43709</v>
      </c>
      <c r="H772" s="40" t="n">
        <v>43718</v>
      </c>
      <c r="I772" s="38" t="s">
        <v>73</v>
      </c>
    </row>
    <row r="773" customFormat="false" ht="12.8" hidden="false" customHeight="false" outlineLevel="0" collapsed="false">
      <c r="A773" s="38" t="s">
        <v>335</v>
      </c>
      <c r="B773" s="39" t="n">
        <v>27.99</v>
      </c>
      <c r="C773" s="38" t="n">
        <v>0</v>
      </c>
      <c r="D773" s="38" t="n">
        <v>1</v>
      </c>
      <c r="E773" s="38" t="n">
        <v>0</v>
      </c>
      <c r="F773" s="28" t="n">
        <v>0</v>
      </c>
      <c r="G773" s="40" t="n">
        <v>43709</v>
      </c>
      <c r="H773" s="40" t="n">
        <v>43720</v>
      </c>
      <c r="I773" s="38" t="s">
        <v>73</v>
      </c>
    </row>
    <row r="774" customFormat="false" ht="12.8" hidden="false" customHeight="false" outlineLevel="0" collapsed="false">
      <c r="A774" s="38" t="s">
        <v>192</v>
      </c>
      <c r="B774" s="39" t="n">
        <v>10</v>
      </c>
      <c r="C774" s="38" t="n">
        <v>0</v>
      </c>
      <c r="D774" s="38" t="n">
        <v>1</v>
      </c>
      <c r="E774" s="38" t="n">
        <v>0</v>
      </c>
      <c r="F774" s="28" t="n">
        <v>0</v>
      </c>
      <c r="G774" s="40" t="n">
        <v>43709</v>
      </c>
      <c r="H774" s="40" t="n">
        <v>43720</v>
      </c>
      <c r="I774" s="38" t="s">
        <v>116</v>
      </c>
    </row>
    <row r="775" customFormat="false" ht="12.8" hidden="false" customHeight="false" outlineLevel="0" collapsed="false">
      <c r="A775" s="38" t="s">
        <v>321</v>
      </c>
      <c r="B775" s="39" t="n">
        <v>20.57</v>
      </c>
      <c r="C775" s="38" t="n">
        <v>0</v>
      </c>
      <c r="D775" s="38" t="n">
        <v>1</v>
      </c>
      <c r="E775" s="38" t="n">
        <v>0</v>
      </c>
      <c r="F775" s="28" t="n">
        <v>0</v>
      </c>
      <c r="G775" s="40" t="n">
        <v>43709</v>
      </c>
      <c r="H775" s="40" t="n">
        <v>43720</v>
      </c>
      <c r="I775" s="38" t="s">
        <v>72</v>
      </c>
    </row>
    <row r="776" customFormat="false" ht="12.8" hidden="false" customHeight="false" outlineLevel="0" collapsed="false">
      <c r="A776" s="38" t="s">
        <v>321</v>
      </c>
      <c r="B776" s="39" t="n">
        <v>12.99</v>
      </c>
      <c r="C776" s="38" t="n">
        <v>0</v>
      </c>
      <c r="D776" s="38" t="n">
        <v>1</v>
      </c>
      <c r="E776" s="38" t="n">
        <v>0</v>
      </c>
      <c r="F776" s="28" t="n">
        <v>0</v>
      </c>
      <c r="G776" s="40" t="n">
        <v>43709</v>
      </c>
      <c r="H776" s="40" t="n">
        <v>43720</v>
      </c>
      <c r="I776" s="38" t="s">
        <v>72</v>
      </c>
    </row>
    <row r="777" customFormat="false" ht="12.8" hidden="false" customHeight="false" outlineLevel="0" collapsed="false">
      <c r="A777" s="38" t="s">
        <v>84</v>
      </c>
      <c r="B777" s="39" t="n">
        <v>14.98</v>
      </c>
      <c r="C777" s="38" t="n">
        <v>0</v>
      </c>
      <c r="D777" s="38" t="n">
        <v>1</v>
      </c>
      <c r="E777" s="38" t="n">
        <v>0</v>
      </c>
      <c r="F777" s="28" t="n">
        <v>0</v>
      </c>
      <c r="G777" s="40" t="n">
        <v>43709</v>
      </c>
      <c r="H777" s="40" t="n">
        <v>43720</v>
      </c>
      <c r="I777" s="38" t="s">
        <v>84</v>
      </c>
    </row>
    <row r="778" customFormat="false" ht="12.8" hidden="false" customHeight="false" outlineLevel="0" collapsed="false">
      <c r="A778" s="38" t="s">
        <v>336</v>
      </c>
      <c r="B778" s="39" t="n">
        <v>10.8</v>
      </c>
      <c r="C778" s="38" t="n">
        <v>0</v>
      </c>
      <c r="D778" s="38" t="n">
        <v>1</v>
      </c>
      <c r="E778" s="38" t="n">
        <v>0</v>
      </c>
      <c r="F778" s="28" t="n">
        <v>0</v>
      </c>
      <c r="G778" s="40" t="n">
        <v>43709</v>
      </c>
      <c r="H778" s="40" t="n">
        <v>43720</v>
      </c>
      <c r="I778" s="38" t="s">
        <v>72</v>
      </c>
    </row>
    <row r="779" customFormat="false" ht="12.8" hidden="false" customHeight="false" outlineLevel="0" collapsed="false">
      <c r="A779" s="38" t="s">
        <v>337</v>
      </c>
      <c r="B779" s="39" t="n">
        <v>167.3</v>
      </c>
      <c r="C779" s="38" t="n">
        <v>0</v>
      </c>
      <c r="D779" s="38" t="n">
        <v>1</v>
      </c>
      <c r="E779" s="38" t="n">
        <v>0</v>
      </c>
      <c r="F779" s="28" t="n">
        <v>0</v>
      </c>
      <c r="G779" s="40" t="n">
        <v>43709</v>
      </c>
      <c r="H779" s="40" t="n">
        <v>43720</v>
      </c>
      <c r="I779" s="38" t="s">
        <v>138</v>
      </c>
    </row>
    <row r="780" customFormat="false" ht="12.8" hidden="false" customHeight="false" outlineLevel="0" collapsed="false">
      <c r="A780" s="38" t="s">
        <v>199</v>
      </c>
      <c r="B780" s="39" t="n">
        <v>48.24</v>
      </c>
      <c r="C780" s="38" t="n">
        <v>0</v>
      </c>
      <c r="D780" s="38" t="n">
        <v>1</v>
      </c>
      <c r="E780" s="38" t="n">
        <v>0</v>
      </c>
      <c r="F780" s="28" t="n">
        <v>0</v>
      </c>
      <c r="G780" s="40" t="n">
        <v>43709</v>
      </c>
      <c r="H780" s="40" t="n">
        <v>43721</v>
      </c>
      <c r="I780" s="38" t="s">
        <v>116</v>
      </c>
    </row>
    <row r="781" customFormat="false" ht="12.8" hidden="false" customHeight="false" outlineLevel="0" collapsed="false">
      <c r="A781" s="38" t="s">
        <v>338</v>
      </c>
      <c r="B781" s="39" t="n">
        <v>132.21</v>
      </c>
      <c r="C781" s="38" t="n">
        <v>0</v>
      </c>
      <c r="D781" s="38" t="n">
        <v>1</v>
      </c>
      <c r="E781" s="38" t="n">
        <v>0</v>
      </c>
      <c r="F781" s="28" t="n">
        <v>0</v>
      </c>
      <c r="G781" s="40" t="n">
        <v>43709</v>
      </c>
      <c r="H781" s="40" t="n">
        <v>43721</v>
      </c>
      <c r="I781" s="38" t="s">
        <v>79</v>
      </c>
    </row>
    <row r="782" customFormat="false" ht="12.8" hidden="false" customHeight="false" outlineLevel="0" collapsed="false">
      <c r="A782" s="38" t="s">
        <v>233</v>
      </c>
      <c r="B782" s="39" t="n">
        <v>100</v>
      </c>
      <c r="C782" s="38" t="n">
        <v>0</v>
      </c>
      <c r="D782" s="38" t="n">
        <v>1</v>
      </c>
      <c r="E782" s="38" t="n">
        <v>0</v>
      </c>
      <c r="F782" s="28" t="n">
        <v>0</v>
      </c>
      <c r="G782" s="40" t="n">
        <v>43709</v>
      </c>
      <c r="H782" s="40" t="n">
        <v>43721</v>
      </c>
      <c r="I782" s="38" t="s">
        <v>81</v>
      </c>
    </row>
    <row r="783" customFormat="false" ht="12.8" hidden="false" customHeight="false" outlineLevel="0" collapsed="false">
      <c r="A783" s="38" t="s">
        <v>84</v>
      </c>
      <c r="B783" s="39" t="n">
        <v>9.48</v>
      </c>
      <c r="C783" s="38" t="n">
        <v>0</v>
      </c>
      <c r="D783" s="38" t="n">
        <v>1</v>
      </c>
      <c r="E783" s="38" t="n">
        <v>0</v>
      </c>
      <c r="F783" s="28" t="n">
        <v>0</v>
      </c>
      <c r="G783" s="40" t="n">
        <v>43709</v>
      </c>
      <c r="H783" s="40" t="n">
        <v>43724</v>
      </c>
      <c r="I783" s="38" t="s">
        <v>84</v>
      </c>
    </row>
    <row r="784" customFormat="false" ht="12.8" hidden="false" customHeight="false" outlineLevel="0" collapsed="false">
      <c r="A784" s="38" t="s">
        <v>105</v>
      </c>
      <c r="B784" s="39" t="n">
        <v>80</v>
      </c>
      <c r="C784" s="38" t="n">
        <v>0</v>
      </c>
      <c r="D784" s="38" t="n">
        <v>1</v>
      </c>
      <c r="E784" s="38" t="n">
        <v>0</v>
      </c>
      <c r="F784" s="28" t="n">
        <v>0</v>
      </c>
      <c r="G784" s="40" t="n">
        <v>43709</v>
      </c>
      <c r="H784" s="40" t="n">
        <v>43724</v>
      </c>
      <c r="I784" s="38" t="s">
        <v>106</v>
      </c>
    </row>
    <row r="785" customFormat="false" ht="12.8" hidden="false" customHeight="false" outlineLevel="0" collapsed="false">
      <c r="A785" s="38" t="s">
        <v>339</v>
      </c>
      <c r="B785" s="39" t="n">
        <v>49</v>
      </c>
      <c r="C785" s="38" t="n">
        <v>0</v>
      </c>
      <c r="D785" s="38" t="n">
        <v>1</v>
      </c>
      <c r="E785" s="38" t="n">
        <v>0</v>
      </c>
      <c r="F785" s="28" t="n">
        <v>0</v>
      </c>
      <c r="G785" s="40" t="n">
        <v>43709</v>
      </c>
      <c r="H785" s="40" t="n">
        <v>43724</v>
      </c>
      <c r="I785" s="38" t="s">
        <v>81</v>
      </c>
    </row>
    <row r="786" customFormat="false" ht="12.8" hidden="false" customHeight="false" outlineLevel="0" collapsed="false">
      <c r="A786" s="38" t="s">
        <v>79</v>
      </c>
      <c r="B786" s="39" t="n">
        <v>167.6</v>
      </c>
      <c r="C786" s="38" t="n">
        <v>0</v>
      </c>
      <c r="D786" s="38" t="n">
        <v>1</v>
      </c>
      <c r="E786" s="38" t="n">
        <v>0</v>
      </c>
      <c r="F786" s="28" t="n">
        <v>0</v>
      </c>
      <c r="G786" s="40" t="n">
        <v>43709</v>
      </c>
      <c r="H786" s="40" t="n">
        <v>43724</v>
      </c>
      <c r="I786" s="38" t="s">
        <v>79</v>
      </c>
    </row>
    <row r="787" customFormat="false" ht="12.8" hidden="false" customHeight="false" outlineLevel="0" collapsed="false">
      <c r="A787" s="38" t="s">
        <v>188</v>
      </c>
      <c r="B787" s="39" t="n">
        <v>5.34</v>
      </c>
      <c r="C787" s="38" t="n">
        <v>0</v>
      </c>
      <c r="D787" s="38" t="n">
        <v>1</v>
      </c>
      <c r="E787" s="38" t="n">
        <v>0</v>
      </c>
      <c r="F787" s="28" t="n">
        <v>0</v>
      </c>
      <c r="G787" s="40" t="n">
        <v>43709</v>
      </c>
      <c r="H787" s="40" t="n">
        <v>43724</v>
      </c>
      <c r="I787" s="38" t="s">
        <v>116</v>
      </c>
    </row>
    <row r="788" customFormat="false" ht="12.8" hidden="false" customHeight="false" outlineLevel="0" collapsed="false">
      <c r="A788" s="38" t="s">
        <v>340</v>
      </c>
      <c r="B788" s="39" t="n">
        <v>37</v>
      </c>
      <c r="C788" s="38" t="n">
        <v>0</v>
      </c>
      <c r="D788" s="38" t="n">
        <v>1</v>
      </c>
      <c r="E788" s="38" t="n">
        <v>0</v>
      </c>
      <c r="F788" s="28" t="n">
        <v>0</v>
      </c>
      <c r="G788" s="40" t="n">
        <v>43709</v>
      </c>
      <c r="H788" s="40" t="n">
        <v>43724</v>
      </c>
      <c r="I788" s="38" t="s">
        <v>81</v>
      </c>
    </row>
    <row r="789" customFormat="false" ht="12.8" hidden="false" customHeight="false" outlineLevel="0" collapsed="false">
      <c r="A789" s="38" t="s">
        <v>341</v>
      </c>
      <c r="B789" s="39" t="n">
        <v>3</v>
      </c>
      <c r="C789" s="38" t="n">
        <v>0</v>
      </c>
      <c r="D789" s="38" t="n">
        <v>1</v>
      </c>
      <c r="E789" s="38" t="n">
        <v>0</v>
      </c>
      <c r="F789" s="28" t="n">
        <v>0</v>
      </c>
      <c r="G789" s="40" t="n">
        <v>43709</v>
      </c>
      <c r="H789" s="40" t="n">
        <v>43724</v>
      </c>
      <c r="I789" s="38" t="s">
        <v>81</v>
      </c>
    </row>
    <row r="790" customFormat="false" ht="12.8" hidden="false" customHeight="false" outlineLevel="0" collapsed="false">
      <c r="A790" s="38" t="s">
        <v>342</v>
      </c>
      <c r="B790" s="39" t="n">
        <v>4</v>
      </c>
      <c r="C790" s="38" t="n">
        <v>0</v>
      </c>
      <c r="D790" s="38" t="n">
        <v>1</v>
      </c>
      <c r="E790" s="38" t="n">
        <v>0</v>
      </c>
      <c r="F790" s="28" t="n">
        <v>0</v>
      </c>
      <c r="G790" s="40" t="n">
        <v>43709</v>
      </c>
      <c r="H790" s="40" t="n">
        <v>43724</v>
      </c>
      <c r="I790" s="38" t="s">
        <v>81</v>
      </c>
    </row>
    <row r="791" customFormat="false" ht="12.8" hidden="false" customHeight="false" outlineLevel="0" collapsed="false">
      <c r="A791" s="38" t="s">
        <v>342</v>
      </c>
      <c r="B791" s="39" t="n">
        <v>51.5</v>
      </c>
      <c r="C791" s="38" t="n">
        <v>0</v>
      </c>
      <c r="D791" s="38" t="n">
        <v>1</v>
      </c>
      <c r="E791" s="38" t="n">
        <v>0</v>
      </c>
      <c r="F791" s="28" t="n">
        <v>0</v>
      </c>
      <c r="G791" s="40" t="n">
        <v>43709</v>
      </c>
      <c r="H791" s="40" t="n">
        <v>43724</v>
      </c>
      <c r="I791" s="38" t="s">
        <v>81</v>
      </c>
    </row>
    <row r="792" customFormat="false" ht="12.8" hidden="false" customHeight="false" outlineLevel="0" collapsed="false">
      <c r="A792" s="38" t="s">
        <v>343</v>
      </c>
      <c r="B792" s="39" t="n">
        <v>4.75</v>
      </c>
      <c r="C792" s="38" t="n">
        <v>0</v>
      </c>
      <c r="D792" s="38" t="n">
        <v>1</v>
      </c>
      <c r="E792" s="38" t="n">
        <v>0</v>
      </c>
      <c r="F792" s="28" t="n">
        <v>0</v>
      </c>
      <c r="G792" s="40" t="n">
        <v>43709</v>
      </c>
      <c r="H792" s="40" t="n">
        <v>43724</v>
      </c>
      <c r="I792" s="38" t="s">
        <v>79</v>
      </c>
    </row>
    <row r="793" customFormat="false" ht="12.8" hidden="false" customHeight="false" outlineLevel="0" collapsed="false">
      <c r="A793" s="38" t="s">
        <v>286</v>
      </c>
      <c r="B793" s="39" t="n">
        <v>8.9</v>
      </c>
      <c r="C793" s="38" t="n">
        <v>0</v>
      </c>
      <c r="D793" s="38" t="n">
        <v>1</v>
      </c>
      <c r="E793" s="38" t="n">
        <v>0</v>
      </c>
      <c r="F793" s="28" t="n">
        <v>0</v>
      </c>
      <c r="G793" s="40" t="n">
        <v>43709</v>
      </c>
      <c r="H793" s="40" t="n">
        <v>43724</v>
      </c>
      <c r="I793" s="38" t="s">
        <v>81</v>
      </c>
    </row>
    <row r="794" customFormat="false" ht="12.8" hidden="false" customHeight="false" outlineLevel="0" collapsed="false">
      <c r="A794" s="38" t="s">
        <v>344</v>
      </c>
      <c r="B794" s="39" t="n">
        <v>20</v>
      </c>
      <c r="C794" s="38" t="n">
        <v>0</v>
      </c>
      <c r="D794" s="38" t="n">
        <v>1</v>
      </c>
      <c r="E794" s="38" t="n">
        <v>0</v>
      </c>
      <c r="F794" s="28" t="n">
        <v>0</v>
      </c>
      <c r="G794" s="40" t="n">
        <v>43709</v>
      </c>
      <c r="H794" s="40" t="n">
        <v>43724</v>
      </c>
      <c r="I794" s="38" t="s">
        <v>81</v>
      </c>
    </row>
    <row r="795" customFormat="false" ht="12.8" hidden="false" customHeight="false" outlineLevel="0" collapsed="false">
      <c r="A795" s="38" t="s">
        <v>301</v>
      </c>
      <c r="B795" s="39" t="n">
        <v>57</v>
      </c>
      <c r="C795" s="38" t="n">
        <v>0</v>
      </c>
      <c r="D795" s="38" t="n">
        <v>1</v>
      </c>
      <c r="E795" s="38" t="n">
        <v>0</v>
      </c>
      <c r="F795" s="28" t="n">
        <v>0</v>
      </c>
      <c r="G795" s="40" t="n">
        <v>43709</v>
      </c>
      <c r="H795" s="40" t="n">
        <v>43724</v>
      </c>
      <c r="I795" s="38" t="s">
        <v>81</v>
      </c>
    </row>
    <row r="796" customFormat="false" ht="12.8" hidden="false" customHeight="false" outlineLevel="0" collapsed="false">
      <c r="A796" s="38" t="s">
        <v>345</v>
      </c>
      <c r="B796" s="39" t="n">
        <v>15</v>
      </c>
      <c r="C796" s="38" t="n">
        <v>0</v>
      </c>
      <c r="D796" s="38" t="n">
        <v>1</v>
      </c>
      <c r="E796" s="38" t="n">
        <v>0</v>
      </c>
      <c r="F796" s="28" t="n">
        <v>0</v>
      </c>
      <c r="G796" s="40" t="n">
        <v>43709</v>
      </c>
      <c r="H796" s="40" t="n">
        <v>43724</v>
      </c>
      <c r="I796" s="38" t="s">
        <v>81</v>
      </c>
    </row>
    <row r="797" customFormat="false" ht="12.8" hidden="false" customHeight="false" outlineLevel="0" collapsed="false">
      <c r="A797" s="38" t="s">
        <v>163</v>
      </c>
      <c r="B797" s="39" t="n">
        <v>10.98</v>
      </c>
      <c r="C797" s="38" t="n">
        <v>0</v>
      </c>
      <c r="D797" s="38" t="n">
        <v>1</v>
      </c>
      <c r="E797" s="38" t="n">
        <v>0</v>
      </c>
      <c r="F797" s="28" t="n">
        <v>0</v>
      </c>
      <c r="G797" s="40" t="n">
        <v>43709</v>
      </c>
      <c r="H797" s="40" t="n">
        <v>43724</v>
      </c>
      <c r="I797" s="38" t="s">
        <v>79</v>
      </c>
    </row>
    <row r="798" customFormat="false" ht="12.8" hidden="false" customHeight="false" outlineLevel="0" collapsed="false">
      <c r="A798" s="38" t="s">
        <v>346</v>
      </c>
      <c r="B798" s="39" t="n">
        <v>15</v>
      </c>
      <c r="C798" s="38" t="n">
        <v>0</v>
      </c>
      <c r="D798" s="38" t="n">
        <v>1</v>
      </c>
      <c r="E798" s="38" t="n">
        <v>0</v>
      </c>
      <c r="F798" s="28" t="n">
        <v>0</v>
      </c>
      <c r="G798" s="40" t="n">
        <v>43709</v>
      </c>
      <c r="H798" s="40" t="n">
        <v>43724</v>
      </c>
      <c r="I798" s="38" t="s">
        <v>81</v>
      </c>
    </row>
    <row r="799" customFormat="false" ht="12.8" hidden="false" customHeight="false" outlineLevel="0" collapsed="false">
      <c r="A799" s="38" t="s">
        <v>347</v>
      </c>
      <c r="B799" s="39" t="n">
        <v>12</v>
      </c>
      <c r="C799" s="38" t="n">
        <v>0</v>
      </c>
      <c r="D799" s="38" t="n">
        <v>1</v>
      </c>
      <c r="E799" s="38" t="n">
        <v>0</v>
      </c>
      <c r="F799" s="28" t="n">
        <v>0</v>
      </c>
      <c r="G799" s="40" t="n">
        <v>43709</v>
      </c>
      <c r="H799" s="40" t="n">
        <v>43724</v>
      </c>
      <c r="I799" s="38" t="s">
        <v>81</v>
      </c>
    </row>
    <row r="800" customFormat="false" ht="12.8" hidden="false" customHeight="false" outlineLevel="0" collapsed="false">
      <c r="A800" s="38" t="s">
        <v>100</v>
      </c>
      <c r="B800" s="39" t="n">
        <v>19.5</v>
      </c>
      <c r="C800" s="38" t="n">
        <v>0</v>
      </c>
      <c r="D800" s="38" t="n">
        <v>1</v>
      </c>
      <c r="E800" s="38" t="n">
        <v>0</v>
      </c>
      <c r="F800" s="28" t="n">
        <v>0</v>
      </c>
      <c r="G800" s="40" t="n">
        <v>43709</v>
      </c>
      <c r="H800" s="40" t="n">
        <v>43725</v>
      </c>
      <c r="I800" s="38" t="s">
        <v>72</v>
      </c>
    </row>
    <row r="801" customFormat="false" ht="12.8" hidden="false" customHeight="false" outlineLevel="0" collapsed="false">
      <c r="A801" s="38" t="s">
        <v>338</v>
      </c>
      <c r="B801" s="39" t="n">
        <v>118.94</v>
      </c>
      <c r="C801" s="38" t="n">
        <v>0</v>
      </c>
      <c r="D801" s="38" t="n">
        <v>1</v>
      </c>
      <c r="E801" s="38" t="n">
        <v>0</v>
      </c>
      <c r="F801" s="28" t="n">
        <v>0</v>
      </c>
      <c r="G801" s="40" t="n">
        <v>43709</v>
      </c>
      <c r="H801" s="40" t="n">
        <v>43726</v>
      </c>
      <c r="I801" s="38" t="s">
        <v>79</v>
      </c>
    </row>
    <row r="802" customFormat="false" ht="12.8" hidden="false" customHeight="false" outlineLevel="0" collapsed="false">
      <c r="A802" s="38" t="s">
        <v>348</v>
      </c>
      <c r="B802" s="39" t="n">
        <v>36.99</v>
      </c>
      <c r="C802" s="38" t="n">
        <v>0</v>
      </c>
      <c r="D802" s="38" t="n">
        <v>1</v>
      </c>
      <c r="E802" s="38" t="n">
        <v>0</v>
      </c>
      <c r="F802" s="28" t="n">
        <v>0</v>
      </c>
      <c r="G802" s="40" t="n">
        <v>43709</v>
      </c>
      <c r="H802" s="40" t="n">
        <v>43726</v>
      </c>
      <c r="I802" s="38" t="s">
        <v>72</v>
      </c>
    </row>
    <row r="803" customFormat="false" ht="12.8" hidden="false" customHeight="false" outlineLevel="0" collapsed="false">
      <c r="A803" s="38" t="s">
        <v>349</v>
      </c>
      <c r="B803" s="39" t="n">
        <v>2.72</v>
      </c>
      <c r="C803" s="38" t="n">
        <v>0</v>
      </c>
      <c r="D803" s="38" t="n">
        <v>1</v>
      </c>
      <c r="E803" s="38" t="n">
        <v>0</v>
      </c>
      <c r="F803" s="28" t="n">
        <v>0</v>
      </c>
      <c r="G803" s="40" t="n">
        <v>43709</v>
      </c>
      <c r="H803" s="40" t="n">
        <v>43726</v>
      </c>
      <c r="I803" s="38" t="s">
        <v>81</v>
      </c>
    </row>
    <row r="804" customFormat="false" ht="12.8" hidden="false" customHeight="false" outlineLevel="0" collapsed="false">
      <c r="A804" s="38" t="s">
        <v>105</v>
      </c>
      <c r="B804" s="39" t="n">
        <v>81.98</v>
      </c>
      <c r="C804" s="38" t="n">
        <v>0</v>
      </c>
      <c r="D804" s="38" t="n">
        <v>1</v>
      </c>
      <c r="E804" s="38" t="n">
        <v>0</v>
      </c>
      <c r="F804" s="28" t="n">
        <v>0</v>
      </c>
      <c r="G804" s="40" t="n">
        <v>43709</v>
      </c>
      <c r="H804" s="40" t="n">
        <v>43726</v>
      </c>
      <c r="I804" s="38" t="s">
        <v>106</v>
      </c>
    </row>
    <row r="805" customFormat="false" ht="12.8" hidden="false" customHeight="false" outlineLevel="0" collapsed="false">
      <c r="A805" s="38" t="s">
        <v>350</v>
      </c>
      <c r="B805" s="39" t="n">
        <v>25</v>
      </c>
      <c r="C805" s="38" t="n">
        <v>0</v>
      </c>
      <c r="D805" s="38" t="n">
        <v>1</v>
      </c>
      <c r="E805" s="38" t="n">
        <v>0</v>
      </c>
      <c r="F805" s="28" t="n">
        <v>0</v>
      </c>
      <c r="G805" s="40" t="n">
        <v>43709</v>
      </c>
      <c r="H805" s="40" t="n">
        <v>43727</v>
      </c>
      <c r="I805" s="38" t="s">
        <v>81</v>
      </c>
    </row>
    <row r="806" customFormat="false" ht="12.8" hidden="false" customHeight="false" outlineLevel="0" collapsed="false">
      <c r="A806" s="38" t="s">
        <v>94</v>
      </c>
      <c r="B806" s="39" t="n">
        <v>13.9</v>
      </c>
      <c r="C806" s="38" t="n">
        <v>0</v>
      </c>
      <c r="D806" s="38" t="n">
        <v>1</v>
      </c>
      <c r="E806" s="38" t="n">
        <v>0</v>
      </c>
      <c r="F806" s="28" t="n">
        <v>0</v>
      </c>
      <c r="G806" s="40" t="n">
        <v>43709</v>
      </c>
      <c r="H806" s="40" t="n">
        <v>43727</v>
      </c>
      <c r="I806" s="38" t="s">
        <v>84</v>
      </c>
    </row>
    <row r="807" customFormat="false" ht="12.8" hidden="false" customHeight="false" outlineLevel="0" collapsed="false">
      <c r="A807" s="38" t="s">
        <v>284</v>
      </c>
      <c r="B807" s="39" t="n">
        <v>11</v>
      </c>
      <c r="C807" s="38" t="n">
        <v>0</v>
      </c>
      <c r="D807" s="38" t="n">
        <v>1</v>
      </c>
      <c r="E807" s="38" t="n">
        <v>0</v>
      </c>
      <c r="F807" s="28" t="n">
        <v>0</v>
      </c>
      <c r="G807" s="40" t="n">
        <v>43709</v>
      </c>
      <c r="H807" s="40" t="n">
        <v>43727</v>
      </c>
      <c r="I807" s="38" t="s">
        <v>81</v>
      </c>
    </row>
    <row r="808" customFormat="false" ht="12.8" hidden="false" customHeight="false" outlineLevel="0" collapsed="false">
      <c r="A808" s="38" t="s">
        <v>188</v>
      </c>
      <c r="B808" s="39" t="n">
        <v>4.72</v>
      </c>
      <c r="C808" s="38" t="n">
        <v>0</v>
      </c>
      <c r="D808" s="38" t="n">
        <v>1</v>
      </c>
      <c r="E808" s="38" t="n">
        <v>0</v>
      </c>
      <c r="F808" s="28" t="n">
        <v>0</v>
      </c>
      <c r="G808" s="40" t="n">
        <v>43709</v>
      </c>
      <c r="H808" s="40" t="n">
        <v>43727</v>
      </c>
      <c r="I808" s="38" t="s">
        <v>116</v>
      </c>
    </row>
    <row r="809" customFormat="false" ht="12.8" hidden="false" customHeight="false" outlineLevel="0" collapsed="false">
      <c r="A809" s="38" t="s">
        <v>351</v>
      </c>
      <c r="B809" s="39" t="n">
        <v>41.7</v>
      </c>
      <c r="C809" s="38" t="n">
        <v>0</v>
      </c>
      <c r="D809" s="38" t="n">
        <v>1</v>
      </c>
      <c r="E809" s="38" t="n">
        <v>0</v>
      </c>
      <c r="F809" s="28" t="n">
        <v>0</v>
      </c>
      <c r="G809" s="40" t="n">
        <v>43709</v>
      </c>
      <c r="H809" s="40" t="n">
        <v>43727</v>
      </c>
      <c r="I809" s="38" t="s">
        <v>184</v>
      </c>
    </row>
    <row r="810" customFormat="false" ht="12.8" hidden="false" customHeight="false" outlineLevel="0" collapsed="false">
      <c r="A810" s="38" t="s">
        <v>163</v>
      </c>
      <c r="B810" s="39" t="n">
        <v>2.99</v>
      </c>
      <c r="C810" s="38" t="n">
        <v>0</v>
      </c>
      <c r="D810" s="38" t="n">
        <v>1</v>
      </c>
      <c r="E810" s="38" t="n">
        <v>0</v>
      </c>
      <c r="F810" s="28" t="n">
        <v>0</v>
      </c>
      <c r="G810" s="40" t="n">
        <v>43709</v>
      </c>
      <c r="H810" s="40" t="n">
        <v>43727</v>
      </c>
      <c r="I810" s="38" t="s">
        <v>79</v>
      </c>
    </row>
    <row r="811" customFormat="false" ht="12.8" hidden="false" customHeight="false" outlineLevel="0" collapsed="false">
      <c r="A811" s="38" t="s">
        <v>84</v>
      </c>
      <c r="B811" s="39" t="n">
        <v>8.3</v>
      </c>
      <c r="C811" s="38" t="n">
        <v>0</v>
      </c>
      <c r="D811" s="38" t="n">
        <v>1</v>
      </c>
      <c r="E811" s="38" t="n">
        <v>0</v>
      </c>
      <c r="F811" s="28" t="n">
        <v>0</v>
      </c>
      <c r="G811" s="40" t="n">
        <v>43709</v>
      </c>
      <c r="H811" s="40" t="n">
        <v>43728</v>
      </c>
      <c r="I811" s="38" t="s">
        <v>84</v>
      </c>
    </row>
    <row r="812" customFormat="false" ht="12.8" hidden="false" customHeight="false" outlineLevel="0" collapsed="false">
      <c r="A812" s="38" t="s">
        <v>294</v>
      </c>
      <c r="B812" s="39" t="n">
        <v>42</v>
      </c>
      <c r="C812" s="38" t="n">
        <v>0</v>
      </c>
      <c r="D812" s="38" t="n">
        <v>1</v>
      </c>
      <c r="E812" s="38" t="n">
        <v>0</v>
      </c>
      <c r="F812" s="28" t="n">
        <v>0</v>
      </c>
      <c r="G812" s="40" t="n">
        <v>43709</v>
      </c>
      <c r="H812" s="40" t="n">
        <v>43728</v>
      </c>
      <c r="I812" s="38" t="s">
        <v>72</v>
      </c>
    </row>
    <row r="813" customFormat="false" ht="12.8" hidden="false" customHeight="false" outlineLevel="0" collapsed="false">
      <c r="A813" s="38" t="s">
        <v>163</v>
      </c>
      <c r="B813" s="39" t="n">
        <v>4.99</v>
      </c>
      <c r="C813" s="38" t="n">
        <v>0</v>
      </c>
      <c r="D813" s="38" t="n">
        <v>1</v>
      </c>
      <c r="E813" s="38" t="n">
        <v>0</v>
      </c>
      <c r="F813" s="28" t="n">
        <v>0</v>
      </c>
      <c r="G813" s="40" t="n">
        <v>43709</v>
      </c>
      <c r="H813" s="40" t="n">
        <v>43728</v>
      </c>
      <c r="I813" s="38" t="s">
        <v>79</v>
      </c>
    </row>
    <row r="814" customFormat="false" ht="12.8" hidden="false" customHeight="false" outlineLevel="0" collapsed="false">
      <c r="A814" s="38" t="s">
        <v>136</v>
      </c>
      <c r="B814" s="39" t="n">
        <v>50</v>
      </c>
      <c r="C814" s="38" t="n">
        <v>0</v>
      </c>
      <c r="D814" s="38" t="n">
        <v>1</v>
      </c>
      <c r="E814" s="38" t="n">
        <v>0</v>
      </c>
      <c r="F814" s="28" t="n">
        <v>0</v>
      </c>
      <c r="G814" s="40" t="n">
        <v>43709</v>
      </c>
      <c r="H814" s="40" t="n">
        <v>43731</v>
      </c>
      <c r="I814" s="38" t="s">
        <v>136</v>
      </c>
    </row>
    <row r="815" customFormat="false" ht="12.8" hidden="false" customHeight="false" outlineLevel="0" collapsed="false">
      <c r="A815" s="38" t="s">
        <v>85</v>
      </c>
      <c r="B815" s="39" t="n">
        <v>50</v>
      </c>
      <c r="C815" s="38" t="n">
        <v>0</v>
      </c>
      <c r="D815" s="38" t="n">
        <v>1</v>
      </c>
      <c r="E815" s="38" t="n">
        <v>0</v>
      </c>
      <c r="F815" s="28" t="n">
        <v>0</v>
      </c>
      <c r="G815" s="40" t="n">
        <v>43709</v>
      </c>
      <c r="H815" s="40" t="n">
        <v>43731</v>
      </c>
      <c r="I815" s="38" t="s">
        <v>85</v>
      </c>
    </row>
    <row r="816" customFormat="false" ht="12.8" hidden="false" customHeight="false" outlineLevel="0" collapsed="false">
      <c r="A816" s="38" t="s">
        <v>79</v>
      </c>
      <c r="B816" s="39" t="n">
        <v>41.49</v>
      </c>
      <c r="C816" s="38" t="n">
        <v>0</v>
      </c>
      <c r="D816" s="38" t="n">
        <v>1</v>
      </c>
      <c r="E816" s="38" t="n">
        <v>0</v>
      </c>
      <c r="F816" s="28" t="n">
        <v>0</v>
      </c>
      <c r="G816" s="40" t="n">
        <v>43709</v>
      </c>
      <c r="H816" s="40" t="n">
        <v>43731</v>
      </c>
      <c r="I816" s="38" t="s">
        <v>79</v>
      </c>
    </row>
    <row r="817" customFormat="false" ht="12.8" hidden="false" customHeight="false" outlineLevel="0" collapsed="false">
      <c r="A817" s="38" t="s">
        <v>352</v>
      </c>
      <c r="B817" s="39" t="n">
        <v>9</v>
      </c>
      <c r="C817" s="38" t="n">
        <v>0</v>
      </c>
      <c r="D817" s="38" t="n">
        <v>1</v>
      </c>
      <c r="E817" s="38" t="n">
        <v>0</v>
      </c>
      <c r="F817" s="28" t="n">
        <v>0</v>
      </c>
      <c r="G817" s="40" t="n">
        <v>43709</v>
      </c>
      <c r="H817" s="40" t="n">
        <v>43731</v>
      </c>
      <c r="I817" s="38" t="s">
        <v>81</v>
      </c>
    </row>
    <row r="818" customFormat="false" ht="12.8" hidden="false" customHeight="false" outlineLevel="0" collapsed="false">
      <c r="A818" s="38" t="s">
        <v>69</v>
      </c>
      <c r="B818" s="39" t="n">
        <v>50</v>
      </c>
      <c r="C818" s="38" t="n">
        <v>0</v>
      </c>
      <c r="D818" s="38" t="n">
        <v>1</v>
      </c>
      <c r="E818" s="38" t="n">
        <v>0</v>
      </c>
      <c r="F818" s="28" t="n">
        <v>0</v>
      </c>
      <c r="G818" s="40" t="n">
        <v>43709</v>
      </c>
      <c r="H818" s="40" t="n">
        <v>43731</v>
      </c>
      <c r="I818" s="38" t="s">
        <v>70</v>
      </c>
    </row>
    <row r="819" customFormat="false" ht="12.8" hidden="false" customHeight="false" outlineLevel="0" collapsed="false">
      <c r="A819" s="38" t="s">
        <v>153</v>
      </c>
      <c r="B819" s="39" t="n">
        <v>13</v>
      </c>
      <c r="C819" s="38" t="n">
        <v>0</v>
      </c>
      <c r="D819" s="38" t="n">
        <v>1</v>
      </c>
      <c r="E819" s="38" t="n">
        <v>0</v>
      </c>
      <c r="F819" s="28" t="n">
        <v>0</v>
      </c>
      <c r="G819" s="40" t="n">
        <v>43709</v>
      </c>
      <c r="H819" s="40" t="n">
        <v>43731</v>
      </c>
      <c r="I819" s="38" t="s">
        <v>72</v>
      </c>
    </row>
    <row r="820" customFormat="false" ht="12.8" hidden="false" customHeight="false" outlineLevel="0" collapsed="false">
      <c r="A820" s="38" t="s">
        <v>105</v>
      </c>
      <c r="B820" s="39" t="n">
        <v>77.98</v>
      </c>
      <c r="C820" s="38" t="n">
        <v>0</v>
      </c>
      <c r="D820" s="38" t="n">
        <v>1</v>
      </c>
      <c r="E820" s="38" t="n">
        <v>0</v>
      </c>
      <c r="F820" s="28" t="n">
        <v>0</v>
      </c>
      <c r="G820" s="40" t="n">
        <v>43709</v>
      </c>
      <c r="H820" s="40" t="n">
        <v>43731</v>
      </c>
      <c r="I820" s="38" t="s">
        <v>106</v>
      </c>
    </row>
    <row r="821" customFormat="false" ht="12.8" hidden="false" customHeight="false" outlineLevel="0" collapsed="false">
      <c r="A821" s="38" t="s">
        <v>333</v>
      </c>
      <c r="B821" s="39" t="n">
        <v>9</v>
      </c>
      <c r="C821" s="38" t="n">
        <v>0</v>
      </c>
      <c r="D821" s="38" t="n">
        <v>1</v>
      </c>
      <c r="E821" s="38" t="n">
        <v>0</v>
      </c>
      <c r="F821" s="28" t="n">
        <v>0</v>
      </c>
      <c r="G821" s="40" t="n">
        <v>43709</v>
      </c>
      <c r="H821" s="40" t="n">
        <v>43731</v>
      </c>
      <c r="I821" s="38" t="s">
        <v>81</v>
      </c>
    </row>
    <row r="822" customFormat="false" ht="12.8" hidden="false" customHeight="false" outlineLevel="0" collapsed="false">
      <c r="A822" s="38" t="s">
        <v>338</v>
      </c>
      <c r="B822" s="39" t="n">
        <v>58.5</v>
      </c>
      <c r="C822" s="38" t="n">
        <v>0</v>
      </c>
      <c r="D822" s="38" t="n">
        <v>1</v>
      </c>
      <c r="E822" s="38" t="n">
        <v>0</v>
      </c>
      <c r="F822" s="28" t="n">
        <v>0</v>
      </c>
      <c r="G822" s="40" t="n">
        <v>43709</v>
      </c>
      <c r="H822" s="40" t="n">
        <v>43732</v>
      </c>
      <c r="I822" s="38" t="s">
        <v>79</v>
      </c>
    </row>
    <row r="823" customFormat="false" ht="12.8" hidden="false" customHeight="false" outlineLevel="0" collapsed="false">
      <c r="A823" s="38" t="s">
        <v>353</v>
      </c>
      <c r="B823" s="39" t="n">
        <v>35</v>
      </c>
      <c r="C823" s="38" t="n">
        <v>0</v>
      </c>
      <c r="D823" s="38" t="n">
        <v>1</v>
      </c>
      <c r="E823" s="38" t="n">
        <v>0</v>
      </c>
      <c r="F823" s="28" t="n">
        <v>0</v>
      </c>
      <c r="G823" s="40" t="n">
        <v>43709</v>
      </c>
      <c r="H823" s="40" t="n">
        <v>43732</v>
      </c>
      <c r="I823" s="38" t="s">
        <v>72</v>
      </c>
    </row>
    <row r="824" customFormat="false" ht="12.8" hidden="false" customHeight="false" outlineLevel="0" collapsed="false">
      <c r="A824" s="38" t="s">
        <v>245</v>
      </c>
      <c r="B824" s="39" t="n">
        <v>10</v>
      </c>
      <c r="C824" s="38" t="n">
        <v>0</v>
      </c>
      <c r="D824" s="38" t="n">
        <v>1</v>
      </c>
      <c r="E824" s="38" t="n">
        <v>0</v>
      </c>
      <c r="F824" s="28" t="n">
        <v>0</v>
      </c>
      <c r="G824" s="40" t="n">
        <v>43709</v>
      </c>
      <c r="H824" s="40" t="n">
        <v>43733</v>
      </c>
      <c r="I824" s="38" t="s">
        <v>72</v>
      </c>
    </row>
    <row r="825" customFormat="false" ht="12.8" hidden="false" customHeight="false" outlineLevel="0" collapsed="false">
      <c r="A825" s="38" t="s">
        <v>69</v>
      </c>
      <c r="B825" s="39" t="n">
        <v>30</v>
      </c>
      <c r="C825" s="38" t="n">
        <v>0</v>
      </c>
      <c r="D825" s="38" t="n">
        <v>1</v>
      </c>
      <c r="E825" s="38" t="n">
        <v>0</v>
      </c>
      <c r="F825" s="28" t="n">
        <v>0</v>
      </c>
      <c r="G825" s="40" t="n">
        <v>43709</v>
      </c>
      <c r="H825" s="40" t="n">
        <v>43733</v>
      </c>
      <c r="I825" s="38" t="s">
        <v>70</v>
      </c>
    </row>
    <row r="826" customFormat="false" ht="12.8" hidden="false" customHeight="false" outlineLevel="0" collapsed="false">
      <c r="A826" s="38" t="s">
        <v>354</v>
      </c>
      <c r="B826" s="39" t="n">
        <v>130</v>
      </c>
      <c r="C826" s="38" t="n">
        <v>0</v>
      </c>
      <c r="D826" s="38" t="n">
        <v>1</v>
      </c>
      <c r="E826" s="38" t="n">
        <v>0</v>
      </c>
      <c r="F826" s="28" t="n">
        <v>0</v>
      </c>
      <c r="G826" s="40" t="n">
        <v>43709</v>
      </c>
      <c r="H826" s="40" t="n">
        <v>43734</v>
      </c>
      <c r="I826" s="38" t="s">
        <v>68</v>
      </c>
    </row>
    <row r="827" customFormat="false" ht="12.8" hidden="false" customHeight="false" outlineLevel="0" collapsed="false">
      <c r="A827" s="38" t="s">
        <v>73</v>
      </c>
      <c r="B827" s="39" t="n">
        <v>30.6</v>
      </c>
      <c r="C827" s="38" t="n">
        <v>0</v>
      </c>
      <c r="D827" s="38" t="n">
        <v>1</v>
      </c>
      <c r="E827" s="38" t="n">
        <v>0</v>
      </c>
      <c r="F827" s="28" t="n">
        <v>0</v>
      </c>
      <c r="G827" s="40" t="n">
        <v>43709</v>
      </c>
      <c r="H827" s="40" t="n">
        <v>43734</v>
      </c>
      <c r="I827" s="38" t="s">
        <v>73</v>
      </c>
    </row>
    <row r="828" customFormat="false" ht="12.8" hidden="false" customHeight="false" outlineLevel="0" collapsed="false">
      <c r="A828" s="38" t="s">
        <v>245</v>
      </c>
      <c r="B828" s="39" t="n">
        <v>11.5</v>
      </c>
      <c r="C828" s="38" t="n">
        <v>0</v>
      </c>
      <c r="D828" s="38" t="n">
        <v>1</v>
      </c>
      <c r="E828" s="38" t="n">
        <v>0</v>
      </c>
      <c r="F828" s="28" t="n">
        <v>0</v>
      </c>
      <c r="G828" s="40" t="n">
        <v>43709</v>
      </c>
      <c r="H828" s="40" t="n">
        <v>43734</v>
      </c>
      <c r="I828" s="38" t="s">
        <v>72</v>
      </c>
    </row>
    <row r="829" customFormat="false" ht="12.8" hidden="false" customHeight="false" outlineLevel="0" collapsed="false">
      <c r="A829" s="38" t="s">
        <v>338</v>
      </c>
      <c r="B829" s="39" t="n">
        <v>48.4</v>
      </c>
      <c r="C829" s="38" t="n">
        <v>0</v>
      </c>
      <c r="D829" s="38" t="n">
        <v>1</v>
      </c>
      <c r="E829" s="38" t="n">
        <v>0</v>
      </c>
      <c r="F829" s="28" t="n">
        <v>0</v>
      </c>
      <c r="G829" s="40" t="n">
        <v>43709</v>
      </c>
      <c r="H829" s="40" t="n">
        <v>43735</v>
      </c>
      <c r="I829" s="38" t="s">
        <v>79</v>
      </c>
    </row>
    <row r="830" customFormat="false" ht="12.8" hidden="false" customHeight="false" outlineLevel="0" collapsed="false">
      <c r="A830" s="38" t="s">
        <v>73</v>
      </c>
      <c r="B830" s="39" t="n">
        <v>32</v>
      </c>
      <c r="C830" s="38" t="n">
        <v>0</v>
      </c>
      <c r="D830" s="38" t="n">
        <v>1</v>
      </c>
      <c r="E830" s="38" t="n">
        <v>0</v>
      </c>
      <c r="F830" s="28" t="n">
        <v>0</v>
      </c>
      <c r="G830" s="40" t="n">
        <v>43709</v>
      </c>
      <c r="H830" s="40" t="n">
        <v>43735</v>
      </c>
      <c r="I830" s="38"/>
    </row>
    <row r="831" customFormat="false" ht="12.8" hidden="false" customHeight="false" outlineLevel="0" collapsed="false">
      <c r="A831" s="38" t="s">
        <v>105</v>
      </c>
      <c r="B831" s="39" t="n">
        <v>77.98</v>
      </c>
      <c r="C831" s="38" t="n">
        <v>0</v>
      </c>
      <c r="D831" s="38" t="n">
        <v>1</v>
      </c>
      <c r="E831" s="38" t="n">
        <v>0</v>
      </c>
      <c r="F831" s="28" t="n">
        <v>0</v>
      </c>
      <c r="G831" s="40" t="n">
        <v>43709</v>
      </c>
      <c r="H831" s="40" t="n">
        <v>43735</v>
      </c>
      <c r="I831" s="38"/>
    </row>
    <row r="832" customFormat="false" ht="12.8" hidden="false" customHeight="false" outlineLevel="0" collapsed="false">
      <c r="A832" s="38" t="s">
        <v>102</v>
      </c>
      <c r="B832" s="39" t="n">
        <v>12</v>
      </c>
      <c r="C832" s="38" t="n">
        <v>0</v>
      </c>
      <c r="D832" s="38" t="n">
        <v>1</v>
      </c>
      <c r="E832" s="38" t="n">
        <v>0</v>
      </c>
      <c r="F832" s="28" t="n">
        <v>0</v>
      </c>
      <c r="G832" s="40" t="n">
        <v>43709</v>
      </c>
      <c r="H832" s="40" t="n">
        <v>43735</v>
      </c>
      <c r="I832" s="38"/>
    </row>
    <row r="833" customFormat="false" ht="12.8" hidden="false" customHeight="false" outlineLevel="0" collapsed="false">
      <c r="A833" s="38" t="s">
        <v>82</v>
      </c>
      <c r="B833" s="39" t="n">
        <v>5</v>
      </c>
      <c r="C833" s="38" t="n">
        <v>0</v>
      </c>
      <c r="D833" s="38" t="n">
        <v>1</v>
      </c>
      <c r="E833" s="38" t="n">
        <v>0</v>
      </c>
      <c r="F833" s="28" t="n">
        <v>0</v>
      </c>
      <c r="G833" s="40" t="n">
        <v>43709</v>
      </c>
      <c r="H833" s="40" t="n">
        <v>43738</v>
      </c>
      <c r="I833" s="38"/>
    </row>
    <row r="834" customFormat="false" ht="12.8" hidden="false" customHeight="false" outlineLevel="0" collapsed="false">
      <c r="A834" s="38" t="s">
        <v>231</v>
      </c>
      <c r="B834" s="39" t="n">
        <v>500</v>
      </c>
      <c r="C834" s="38" t="n">
        <v>0</v>
      </c>
      <c r="D834" s="38" t="n">
        <v>1</v>
      </c>
      <c r="E834" s="38" t="n">
        <v>0</v>
      </c>
      <c r="F834" s="28" t="n">
        <v>0</v>
      </c>
      <c r="G834" s="40" t="n">
        <v>43709</v>
      </c>
      <c r="H834" s="40" t="n">
        <v>43738</v>
      </c>
      <c r="I834" s="38"/>
    </row>
    <row r="835" customFormat="false" ht="12.8" hidden="false" customHeight="false" outlineLevel="0" collapsed="false">
      <c r="A835" s="38" t="s">
        <v>136</v>
      </c>
      <c r="B835" s="39" t="n">
        <v>20</v>
      </c>
      <c r="C835" s="38" t="n">
        <v>0</v>
      </c>
      <c r="D835" s="38" t="n">
        <v>1</v>
      </c>
      <c r="E835" s="38" t="n">
        <v>0</v>
      </c>
      <c r="F835" s="28" t="n">
        <v>0</v>
      </c>
      <c r="G835" s="40" t="n">
        <v>43709</v>
      </c>
      <c r="H835" s="40" t="n">
        <v>43738</v>
      </c>
      <c r="I835" s="38"/>
    </row>
    <row r="836" customFormat="false" ht="12.8" hidden="false" customHeight="false" outlineLevel="0" collapsed="false">
      <c r="A836" s="38" t="s">
        <v>79</v>
      </c>
      <c r="B836" s="39" t="n">
        <v>57.89</v>
      </c>
      <c r="C836" s="38" t="n">
        <v>0</v>
      </c>
      <c r="D836" s="38" t="n">
        <v>1</v>
      </c>
      <c r="E836" s="38" t="n">
        <v>0</v>
      </c>
      <c r="F836" s="28" t="n">
        <v>0</v>
      </c>
      <c r="G836" s="40" t="n">
        <v>43709</v>
      </c>
      <c r="H836" s="40" t="n">
        <v>43738</v>
      </c>
      <c r="I836" s="38"/>
    </row>
    <row r="837" customFormat="false" ht="12.8" hidden="false" customHeight="false" outlineLevel="0" collapsed="false">
      <c r="A837" s="38" t="s">
        <v>355</v>
      </c>
      <c r="B837" s="39" t="n">
        <v>3</v>
      </c>
      <c r="C837" s="38" t="n">
        <v>0</v>
      </c>
      <c r="D837" s="38" t="n">
        <v>1</v>
      </c>
      <c r="E837" s="38" t="n">
        <v>0</v>
      </c>
      <c r="F837" s="28" t="n">
        <v>0</v>
      </c>
      <c r="G837" s="40" t="n">
        <v>43709</v>
      </c>
      <c r="H837" s="40" t="n">
        <v>43738</v>
      </c>
      <c r="I837" s="38"/>
    </row>
    <row r="838" customFormat="false" ht="12.8" hidden="false" customHeight="false" outlineLevel="0" collapsed="false">
      <c r="A838" s="38" t="s">
        <v>112</v>
      </c>
      <c r="B838" s="39" t="n">
        <v>4.5</v>
      </c>
      <c r="C838" s="38" t="n">
        <v>0</v>
      </c>
      <c r="D838" s="38" t="n">
        <v>1</v>
      </c>
      <c r="E838" s="38" t="n">
        <v>0</v>
      </c>
      <c r="F838" s="28" t="n">
        <v>0</v>
      </c>
      <c r="G838" s="40" t="n">
        <v>43709</v>
      </c>
      <c r="H838" s="40" t="n">
        <v>43738</v>
      </c>
      <c r="I838" s="38"/>
    </row>
    <row r="839" customFormat="false" ht="12.8" hidden="false" customHeight="false" outlineLevel="0" collapsed="false">
      <c r="A839" s="38" t="s">
        <v>82</v>
      </c>
      <c r="B839" s="39" t="n">
        <v>6.99</v>
      </c>
      <c r="C839" s="38" t="n">
        <v>0</v>
      </c>
      <c r="D839" s="38" t="n">
        <v>1</v>
      </c>
      <c r="E839" s="38" t="n">
        <v>0</v>
      </c>
      <c r="F839" s="28" t="n">
        <v>0</v>
      </c>
      <c r="G839" s="40" t="n">
        <v>43709</v>
      </c>
      <c r="H839" s="40"/>
      <c r="I839" s="38"/>
    </row>
    <row r="840" customFormat="false" ht="12.8" hidden="false" customHeight="false" outlineLevel="0" collapsed="false">
      <c r="A840" s="0" t="s">
        <v>57</v>
      </c>
      <c r="B840" s="23" t="n">
        <v>76.9</v>
      </c>
      <c r="C840" s="0" t="n">
        <v>1</v>
      </c>
      <c r="D840" s="0" t="n">
        <v>0</v>
      </c>
      <c r="E840" s="0" t="n">
        <v>0</v>
      </c>
      <c r="F840" s="28" t="n">
        <v>0</v>
      </c>
      <c r="G840" s="1" t="n">
        <v>43739</v>
      </c>
      <c r="H840" s="1" t="n">
        <v>43740</v>
      </c>
      <c r="I840" s="0" t="s">
        <v>58</v>
      </c>
    </row>
    <row r="841" customFormat="false" ht="12.8" hidden="false" customHeight="false" outlineLevel="0" collapsed="false">
      <c r="A841" s="0" t="s">
        <v>135</v>
      </c>
      <c r="B841" s="23" t="n">
        <f aca="false">SUMIFS(credito!$B$1:$B$277,credito!$F$1:$F$277,G840,credito!$G$1:$G$277,0)</f>
        <v>2616.38</v>
      </c>
      <c r="C841" s="0" t="n">
        <v>0</v>
      </c>
      <c r="D841" s="0" t="n">
        <v>1</v>
      </c>
      <c r="E841" s="0" t="n">
        <v>0</v>
      </c>
      <c r="F841" s="28" t="n">
        <v>0</v>
      </c>
      <c r="G841" s="1" t="n">
        <v>43739</v>
      </c>
      <c r="H841" s="1" t="n">
        <v>43753</v>
      </c>
      <c r="I841" s="0" t="s">
        <v>131</v>
      </c>
    </row>
    <row r="842" customFormat="false" ht="12.8" hidden="false" customHeight="false" outlineLevel="0" collapsed="false">
      <c r="A842" s="0" t="s">
        <v>62</v>
      </c>
      <c r="B842" s="23" t="n">
        <v>6.41</v>
      </c>
      <c r="C842" s="0" t="n">
        <v>1</v>
      </c>
      <c r="D842" s="0" t="n">
        <v>0</v>
      </c>
      <c r="E842" s="0" t="n">
        <v>0</v>
      </c>
      <c r="F842" s="28" t="n">
        <v>0</v>
      </c>
      <c r="G842" s="1" t="n">
        <v>43739</v>
      </c>
      <c r="H842" s="24" t="n">
        <v>43748</v>
      </c>
      <c r="I842" s="0" t="s">
        <v>58</v>
      </c>
    </row>
    <row r="843" customFormat="false" ht="12.8" hidden="false" customHeight="false" outlineLevel="0" collapsed="false">
      <c r="A843" s="0" t="s">
        <v>63</v>
      </c>
      <c r="B843" s="23" t="n">
        <v>75</v>
      </c>
      <c r="C843" s="0" t="n">
        <v>1</v>
      </c>
      <c r="D843" s="0" t="n">
        <v>0</v>
      </c>
      <c r="E843" s="0" t="n">
        <v>0</v>
      </c>
      <c r="F843" s="28" t="n">
        <v>0</v>
      </c>
      <c r="G843" s="1" t="n">
        <v>43739</v>
      </c>
      <c r="H843" s="1" t="n">
        <v>43753</v>
      </c>
      <c r="I843" s="0" t="s">
        <v>64</v>
      </c>
    </row>
    <row r="844" customFormat="false" ht="12.8" hidden="false" customHeight="false" outlineLevel="0" collapsed="false">
      <c r="A844" s="0" t="s">
        <v>75</v>
      </c>
      <c r="B844" s="23" t="n">
        <v>250.59</v>
      </c>
      <c r="C844" s="0" t="n">
        <v>1</v>
      </c>
      <c r="D844" s="0" t="n">
        <v>0</v>
      </c>
      <c r="E844" s="0" t="n">
        <v>0</v>
      </c>
      <c r="F844" s="28" t="n">
        <v>0</v>
      </c>
      <c r="G844" s="1" t="n">
        <v>43739</v>
      </c>
      <c r="H844" s="1" t="n">
        <v>43739</v>
      </c>
      <c r="I844" s="0" t="s">
        <v>76</v>
      </c>
    </row>
    <row r="845" customFormat="false" ht="12.8" hidden="false" customHeight="false" outlineLevel="0" collapsed="false">
      <c r="A845" s="18" t="s">
        <v>65</v>
      </c>
      <c r="B845" s="42" t="n">
        <v>2700</v>
      </c>
      <c r="C845" s="18" t="n">
        <v>1</v>
      </c>
      <c r="D845" s="18" t="n">
        <v>0</v>
      </c>
      <c r="E845" s="18" t="n">
        <v>1</v>
      </c>
      <c r="F845" s="28" t="n">
        <v>0</v>
      </c>
      <c r="G845" s="16" t="n">
        <v>43739</v>
      </c>
      <c r="H845" s="16" t="n">
        <v>43616</v>
      </c>
      <c r="I845" s="18" t="s">
        <v>66</v>
      </c>
    </row>
    <row r="846" customFormat="false" ht="12.8" hidden="false" customHeight="false" outlineLevel="0" collapsed="false">
      <c r="A846" s="18" t="s">
        <v>302</v>
      </c>
      <c r="B846" s="42" t="n">
        <v>0</v>
      </c>
      <c r="C846" s="18" t="n">
        <v>0</v>
      </c>
      <c r="D846" s="18" t="n">
        <v>0</v>
      </c>
      <c r="E846" s="18" t="n">
        <v>0</v>
      </c>
      <c r="F846" s="28" t="n">
        <v>1</v>
      </c>
      <c r="G846" s="16" t="n">
        <v>43739</v>
      </c>
      <c r="H846" s="16"/>
      <c r="I846" s="18"/>
    </row>
    <row r="847" customFormat="false" ht="12.8" hidden="false" customHeight="false" outlineLevel="0" collapsed="false">
      <c r="A847" s="6" t="s">
        <v>177</v>
      </c>
      <c r="B847" s="35" t="n">
        <v>188.87</v>
      </c>
      <c r="C847" s="6" t="n">
        <v>1</v>
      </c>
      <c r="D847" s="6" t="n">
        <v>0</v>
      </c>
      <c r="E847" s="6" t="n">
        <v>0</v>
      </c>
      <c r="F847" s="28" t="n">
        <v>0</v>
      </c>
      <c r="G847" s="24" t="n">
        <v>43739</v>
      </c>
      <c r="H847" s="24" t="n">
        <v>43760</v>
      </c>
      <c r="I847" s="6" t="s">
        <v>106</v>
      </c>
    </row>
    <row r="848" customFormat="false" ht="12.8" hidden="false" customHeight="false" outlineLevel="0" collapsed="false">
      <c r="A848" s="6" t="s">
        <v>183</v>
      </c>
      <c r="B848" s="35" t="n">
        <v>384</v>
      </c>
      <c r="C848" s="6" t="n">
        <v>0</v>
      </c>
      <c r="D848" s="6" t="n">
        <v>1</v>
      </c>
      <c r="E848" s="6" t="n">
        <v>0</v>
      </c>
      <c r="F848" s="28" t="n">
        <v>0</v>
      </c>
      <c r="G848" s="24" t="n">
        <v>43739</v>
      </c>
      <c r="H848" s="24" t="n">
        <v>43752</v>
      </c>
      <c r="I848" s="6"/>
    </row>
    <row r="849" customFormat="false" ht="12.8" hidden="false" customHeight="false" outlineLevel="0" collapsed="false">
      <c r="A849" s="6" t="s">
        <v>354</v>
      </c>
      <c r="B849" s="35" t="n">
        <v>130</v>
      </c>
      <c r="C849" s="6" t="n">
        <v>0</v>
      </c>
      <c r="D849" s="6" t="n">
        <v>1</v>
      </c>
      <c r="E849" s="6" t="n">
        <v>0</v>
      </c>
      <c r="F849" s="28" t="n">
        <v>0</v>
      </c>
      <c r="G849" s="24" t="n">
        <v>43739</v>
      </c>
      <c r="H849" s="24" t="n">
        <v>43746</v>
      </c>
      <c r="I849" s="6"/>
    </row>
    <row r="850" customFormat="false" ht="12.8" hidden="false" customHeight="false" outlineLevel="0" collapsed="false">
      <c r="A850" s="6" t="s">
        <v>35</v>
      </c>
      <c r="B850" s="35" t="n">
        <v>500</v>
      </c>
      <c r="C850" s="6" t="n">
        <v>0</v>
      </c>
      <c r="D850" s="6" t="n">
        <v>1</v>
      </c>
      <c r="E850" s="6" t="n">
        <v>0</v>
      </c>
      <c r="F850" s="28" t="n">
        <v>0</v>
      </c>
      <c r="G850" s="24" t="n">
        <v>43739</v>
      </c>
      <c r="H850" s="24" t="n">
        <v>43753</v>
      </c>
      <c r="I850" s="6" t="s">
        <v>81</v>
      </c>
    </row>
    <row r="851" customFormat="false" ht="12.8" hidden="false" customHeight="false" outlineLevel="0" collapsed="false">
      <c r="A851" s="6" t="s">
        <v>356</v>
      </c>
      <c r="B851" s="35" t="n">
        <v>11</v>
      </c>
      <c r="C851" s="6" t="n">
        <v>0</v>
      </c>
      <c r="D851" s="6" t="n">
        <v>1</v>
      </c>
      <c r="E851" s="6" t="n">
        <v>0</v>
      </c>
      <c r="F851" s="28" t="n">
        <v>0</v>
      </c>
      <c r="G851" s="24" t="n">
        <v>43739</v>
      </c>
      <c r="H851" s="24" t="n">
        <v>43739</v>
      </c>
      <c r="I851" s="6" t="s">
        <v>81</v>
      </c>
    </row>
    <row r="852" customFormat="false" ht="12.8" hidden="false" customHeight="false" outlineLevel="0" collapsed="false">
      <c r="A852" s="6" t="s">
        <v>74</v>
      </c>
      <c r="B852" s="35" t="n">
        <v>2.99</v>
      </c>
      <c r="C852" s="6" t="n">
        <v>0</v>
      </c>
      <c r="D852" s="6" t="n">
        <v>1</v>
      </c>
      <c r="E852" s="6" t="n">
        <v>0</v>
      </c>
      <c r="F852" s="28" t="n">
        <v>0</v>
      </c>
      <c r="G852" s="24" t="n">
        <v>43739</v>
      </c>
      <c r="H852" s="24" t="n">
        <v>43739</v>
      </c>
      <c r="I852" s="6" t="s">
        <v>72</v>
      </c>
    </row>
    <row r="853" customFormat="false" ht="12.8" hidden="false" customHeight="false" outlineLevel="0" collapsed="false">
      <c r="A853" s="6" t="s">
        <v>188</v>
      </c>
      <c r="B853" s="35" t="n">
        <v>14.99</v>
      </c>
      <c r="C853" s="6" t="n">
        <v>0</v>
      </c>
      <c r="D853" s="6" t="n">
        <v>1</v>
      </c>
      <c r="E853" s="6" t="n">
        <v>0</v>
      </c>
      <c r="F853" s="28" t="n">
        <v>0</v>
      </c>
      <c r="G853" s="24" t="n">
        <v>43739</v>
      </c>
      <c r="H853" s="24" t="n">
        <v>43739</v>
      </c>
      <c r="I853" s="6" t="s">
        <v>116</v>
      </c>
    </row>
    <row r="854" customFormat="false" ht="12.8" hidden="false" customHeight="false" outlineLevel="0" collapsed="false">
      <c r="A854" s="6" t="s">
        <v>73</v>
      </c>
      <c r="B854" s="35" t="n">
        <v>30.28</v>
      </c>
      <c r="C854" s="6" t="n">
        <v>0</v>
      </c>
      <c r="D854" s="6" t="n">
        <v>1</v>
      </c>
      <c r="E854" s="6" t="n">
        <v>0</v>
      </c>
      <c r="F854" s="28" t="n">
        <v>0</v>
      </c>
      <c r="G854" s="24" t="n">
        <v>43739</v>
      </c>
      <c r="H854" s="24" t="n">
        <v>43739</v>
      </c>
      <c r="I854" s="6" t="s">
        <v>73</v>
      </c>
    </row>
    <row r="855" customFormat="false" ht="12.8" hidden="false" customHeight="false" outlineLevel="0" collapsed="false">
      <c r="A855" s="6" t="s">
        <v>357</v>
      </c>
      <c r="B855" s="35" t="n">
        <v>2.5</v>
      </c>
      <c r="C855" s="6" t="n">
        <v>0</v>
      </c>
      <c r="D855" s="6" t="n">
        <v>1</v>
      </c>
      <c r="E855" s="6" t="n">
        <v>0</v>
      </c>
      <c r="F855" s="28" t="n">
        <v>0</v>
      </c>
      <c r="G855" s="24" t="n">
        <v>43739</v>
      </c>
      <c r="H855" s="24" t="n">
        <v>43739</v>
      </c>
      <c r="I855" s="6" t="s">
        <v>72</v>
      </c>
    </row>
    <row r="856" customFormat="false" ht="12.8" hidden="false" customHeight="false" outlineLevel="0" collapsed="false">
      <c r="A856" s="6" t="s">
        <v>95</v>
      </c>
      <c r="B856" s="35" t="n">
        <v>2.19</v>
      </c>
      <c r="C856" s="6" t="n">
        <v>0</v>
      </c>
      <c r="D856" s="6" t="n">
        <v>1</v>
      </c>
      <c r="E856" s="6" t="n">
        <v>0</v>
      </c>
      <c r="F856" s="28" t="n">
        <v>0</v>
      </c>
      <c r="G856" s="24" t="n">
        <v>43739</v>
      </c>
      <c r="H856" s="24" t="n">
        <v>43739</v>
      </c>
      <c r="I856" s="6" t="s">
        <v>88</v>
      </c>
    </row>
    <row r="857" customFormat="false" ht="12.8" hidden="false" customHeight="false" outlineLevel="0" collapsed="false">
      <c r="A857" s="6" t="s">
        <v>358</v>
      </c>
      <c r="B857" s="35" t="n">
        <v>34</v>
      </c>
      <c r="C857" s="6" t="n">
        <v>0</v>
      </c>
      <c r="D857" s="6" t="n">
        <v>1</v>
      </c>
      <c r="E857" s="6" t="n">
        <v>0</v>
      </c>
      <c r="F857" s="28" t="n">
        <v>0</v>
      </c>
      <c r="G857" s="24" t="n">
        <v>43739</v>
      </c>
      <c r="H857" s="24" t="n">
        <v>43740</v>
      </c>
      <c r="I857" s="6" t="s">
        <v>73</v>
      </c>
    </row>
    <row r="858" customFormat="false" ht="12.8" hidden="false" customHeight="false" outlineLevel="0" collapsed="false">
      <c r="A858" s="6" t="s">
        <v>359</v>
      </c>
      <c r="B858" s="35" t="n">
        <v>2</v>
      </c>
      <c r="C858" s="6" t="n">
        <v>0</v>
      </c>
      <c r="D858" s="6" t="n">
        <v>1</v>
      </c>
      <c r="E858" s="6" t="n">
        <v>0</v>
      </c>
      <c r="F858" s="28" t="n">
        <v>0</v>
      </c>
      <c r="G858" s="24" t="n">
        <v>43739</v>
      </c>
      <c r="H858" s="24" t="n">
        <v>43740</v>
      </c>
      <c r="I858" s="6" t="s">
        <v>72</v>
      </c>
    </row>
    <row r="859" customFormat="false" ht="12.8" hidden="false" customHeight="false" outlineLevel="0" collapsed="false">
      <c r="A859" s="6" t="s">
        <v>112</v>
      </c>
      <c r="B859" s="35" t="n">
        <v>4.5</v>
      </c>
      <c r="C859" s="6" t="n">
        <v>0</v>
      </c>
      <c r="D859" s="6" t="n">
        <v>1</v>
      </c>
      <c r="E859" s="6" t="n">
        <v>0</v>
      </c>
      <c r="F859" s="28" t="n">
        <v>0</v>
      </c>
      <c r="G859" s="24" t="n">
        <v>43739</v>
      </c>
      <c r="H859" s="24" t="n">
        <v>43740</v>
      </c>
      <c r="I859" s="6" t="s">
        <v>72</v>
      </c>
    </row>
    <row r="860" customFormat="false" ht="12.8" hidden="false" customHeight="false" outlineLevel="0" collapsed="false">
      <c r="A860" s="6" t="s">
        <v>73</v>
      </c>
      <c r="B860" s="35" t="n">
        <v>35</v>
      </c>
      <c r="C860" s="6" t="n">
        <v>0</v>
      </c>
      <c r="D860" s="6" t="n">
        <v>1</v>
      </c>
      <c r="E860" s="6" t="n">
        <v>0</v>
      </c>
      <c r="F860" s="28" t="n">
        <v>0</v>
      </c>
      <c r="G860" s="24" t="n">
        <v>43739</v>
      </c>
      <c r="H860" s="24" t="n">
        <v>43741</v>
      </c>
      <c r="I860" s="6" t="s">
        <v>73</v>
      </c>
    </row>
    <row r="861" customFormat="false" ht="12.8" hidden="false" customHeight="false" outlineLevel="0" collapsed="false">
      <c r="A861" s="6" t="s">
        <v>360</v>
      </c>
      <c r="B861" s="35" t="n">
        <v>90</v>
      </c>
      <c r="C861" s="6" t="n">
        <v>0</v>
      </c>
      <c r="D861" s="6" t="n">
        <v>1</v>
      </c>
      <c r="E861" s="6" t="n">
        <v>0</v>
      </c>
      <c r="F861" s="28" t="n">
        <v>0</v>
      </c>
      <c r="G861" s="24" t="n">
        <v>43739</v>
      </c>
      <c r="H861" s="24" t="n">
        <v>43741</v>
      </c>
      <c r="I861" s="6" t="s">
        <v>81</v>
      </c>
    </row>
    <row r="862" customFormat="false" ht="12.8" hidden="false" customHeight="false" outlineLevel="0" collapsed="false">
      <c r="A862" s="6" t="s">
        <v>100</v>
      </c>
      <c r="B862" s="35" t="n">
        <v>22.8</v>
      </c>
      <c r="C862" s="6" t="n">
        <v>0</v>
      </c>
      <c r="D862" s="6" t="n">
        <v>1</v>
      </c>
      <c r="E862" s="6" t="n">
        <v>0</v>
      </c>
      <c r="F862" s="28" t="n">
        <v>0</v>
      </c>
      <c r="G862" s="24" t="n">
        <v>43739</v>
      </c>
      <c r="H862" s="24" t="n">
        <v>43741</v>
      </c>
      <c r="I862" s="6" t="s">
        <v>72</v>
      </c>
    </row>
    <row r="863" customFormat="false" ht="12.8" hidden="false" customHeight="false" outlineLevel="0" collapsed="false">
      <c r="A863" s="6" t="s">
        <v>361</v>
      </c>
      <c r="B863" s="35" t="n">
        <v>53.4</v>
      </c>
      <c r="C863" s="6" t="n">
        <v>0</v>
      </c>
      <c r="D863" s="6" t="n">
        <v>1</v>
      </c>
      <c r="E863" s="6" t="n">
        <v>0</v>
      </c>
      <c r="F863" s="28" t="n">
        <v>0</v>
      </c>
      <c r="G863" s="24" t="n">
        <v>43739</v>
      </c>
      <c r="H863" s="24" t="n">
        <v>43741</v>
      </c>
      <c r="I863" s="6" t="s">
        <v>81</v>
      </c>
    </row>
    <row r="864" customFormat="false" ht="12.8" hidden="false" customHeight="false" outlineLevel="0" collapsed="false">
      <c r="A864" s="6" t="s">
        <v>105</v>
      </c>
      <c r="B864" s="35" t="n">
        <v>85.17</v>
      </c>
      <c r="C864" s="6" t="n">
        <v>0</v>
      </c>
      <c r="D864" s="6" t="n">
        <v>1</v>
      </c>
      <c r="E864" s="6" t="n">
        <v>0</v>
      </c>
      <c r="F864" s="28" t="n">
        <v>0</v>
      </c>
      <c r="G864" s="24" t="n">
        <v>43739</v>
      </c>
      <c r="H864" s="24" t="n">
        <v>43741</v>
      </c>
      <c r="I864" s="6" t="s">
        <v>106</v>
      </c>
    </row>
    <row r="865" customFormat="false" ht="12.8" hidden="false" customHeight="false" outlineLevel="0" collapsed="false">
      <c r="A865" s="6" t="s">
        <v>362</v>
      </c>
      <c r="B865" s="35" t="n">
        <v>99</v>
      </c>
      <c r="C865" s="6" t="n">
        <v>0</v>
      </c>
      <c r="D865" s="6" t="n">
        <v>1</v>
      </c>
      <c r="E865" s="6" t="n">
        <v>0</v>
      </c>
      <c r="F865" s="28" t="n">
        <v>0</v>
      </c>
      <c r="G865" s="24" t="n">
        <v>43739</v>
      </c>
      <c r="H865" s="24" t="n">
        <v>43741</v>
      </c>
      <c r="I865" s="6" t="s">
        <v>81</v>
      </c>
    </row>
    <row r="866" customFormat="false" ht="12.8" hidden="false" customHeight="false" outlineLevel="0" collapsed="false">
      <c r="A866" s="6" t="s">
        <v>264</v>
      </c>
      <c r="B866" s="35" t="n">
        <v>75</v>
      </c>
      <c r="C866" s="6" t="n">
        <v>0</v>
      </c>
      <c r="D866" s="6" t="n">
        <v>1</v>
      </c>
      <c r="E866" s="6" t="n">
        <v>0</v>
      </c>
      <c r="F866" s="28" t="n">
        <v>0</v>
      </c>
      <c r="G866" s="24" t="n">
        <v>43739</v>
      </c>
      <c r="H866" s="24" t="n">
        <v>43742</v>
      </c>
      <c r="I866" s="6" t="s">
        <v>81</v>
      </c>
    </row>
    <row r="867" customFormat="false" ht="12.8" hidden="false" customHeight="false" outlineLevel="0" collapsed="false">
      <c r="A867" s="6" t="s">
        <v>363</v>
      </c>
      <c r="B867" s="35" t="n">
        <v>25</v>
      </c>
      <c r="C867" s="6" t="n">
        <v>0</v>
      </c>
      <c r="D867" s="6" t="n">
        <v>1</v>
      </c>
      <c r="E867" s="6" t="n">
        <v>0</v>
      </c>
      <c r="F867" s="28" t="n">
        <v>0</v>
      </c>
      <c r="G867" s="24" t="n">
        <v>43739</v>
      </c>
      <c r="H867" s="24" t="n">
        <v>43742</v>
      </c>
      <c r="I867" s="6" t="s">
        <v>72</v>
      </c>
    </row>
    <row r="868" customFormat="false" ht="12.8" hidden="false" customHeight="false" outlineLevel="0" collapsed="false">
      <c r="A868" s="6" t="s">
        <v>94</v>
      </c>
      <c r="B868" s="35" t="n">
        <v>5.42</v>
      </c>
      <c r="C868" s="6" t="n">
        <v>0</v>
      </c>
      <c r="D868" s="6" t="n">
        <v>1</v>
      </c>
      <c r="E868" s="6" t="n">
        <v>0</v>
      </c>
      <c r="F868" s="28" t="n">
        <v>0</v>
      </c>
      <c r="G868" s="24" t="n">
        <v>43739</v>
      </c>
      <c r="H868" s="24" t="n">
        <v>43745</v>
      </c>
      <c r="I868" s="6" t="s">
        <v>84</v>
      </c>
    </row>
    <row r="869" customFormat="false" ht="12.8" hidden="false" customHeight="false" outlineLevel="0" collapsed="false">
      <c r="A869" s="6" t="s">
        <v>112</v>
      </c>
      <c r="B869" s="35" t="n">
        <v>4.5</v>
      </c>
      <c r="C869" s="6" t="n">
        <v>0</v>
      </c>
      <c r="D869" s="6" t="n">
        <v>1</v>
      </c>
      <c r="E869" s="6" t="n">
        <v>0</v>
      </c>
      <c r="F869" s="28" t="n">
        <v>0</v>
      </c>
      <c r="G869" s="24" t="n">
        <v>43739</v>
      </c>
      <c r="H869" s="24" t="n">
        <v>43745</v>
      </c>
      <c r="I869" s="6" t="s">
        <v>72</v>
      </c>
    </row>
    <row r="870" customFormat="false" ht="12.8" hidden="false" customHeight="false" outlineLevel="0" collapsed="false">
      <c r="A870" s="6" t="s">
        <v>245</v>
      </c>
      <c r="B870" s="35" t="n">
        <v>6</v>
      </c>
      <c r="C870" s="6" t="n">
        <v>0</v>
      </c>
      <c r="D870" s="6" t="n">
        <v>1</v>
      </c>
      <c r="E870" s="6" t="n">
        <v>0</v>
      </c>
      <c r="F870" s="28" t="n">
        <v>0</v>
      </c>
      <c r="G870" s="24" t="n">
        <v>43739</v>
      </c>
      <c r="H870" s="24" t="n">
        <v>43745</v>
      </c>
      <c r="I870" s="6" t="s">
        <v>72</v>
      </c>
    </row>
    <row r="871" customFormat="false" ht="12.8" hidden="false" customHeight="false" outlineLevel="0" collapsed="false">
      <c r="A871" s="6" t="s">
        <v>245</v>
      </c>
      <c r="B871" s="35" t="n">
        <v>12</v>
      </c>
      <c r="C871" s="6" t="n">
        <v>0</v>
      </c>
      <c r="D871" s="6" t="n">
        <v>1</v>
      </c>
      <c r="E871" s="6" t="n">
        <v>0</v>
      </c>
      <c r="F871" s="28" t="n">
        <v>0</v>
      </c>
      <c r="G871" s="24" t="n">
        <v>43739</v>
      </c>
      <c r="H871" s="24" t="n">
        <v>43745</v>
      </c>
      <c r="I871" s="6" t="s">
        <v>72</v>
      </c>
    </row>
    <row r="872" customFormat="false" ht="12.8" hidden="false" customHeight="false" outlineLevel="0" collapsed="false">
      <c r="A872" s="6" t="s">
        <v>364</v>
      </c>
      <c r="B872" s="35" t="n">
        <v>17.5</v>
      </c>
      <c r="C872" s="6" t="n">
        <v>0</v>
      </c>
      <c r="D872" s="6" t="n">
        <v>1</v>
      </c>
      <c r="E872" s="6" t="n">
        <v>0</v>
      </c>
      <c r="F872" s="28" t="n">
        <v>0</v>
      </c>
      <c r="G872" s="24" t="n">
        <v>43739</v>
      </c>
      <c r="H872" s="24" t="n">
        <v>43743</v>
      </c>
      <c r="I872" s="6" t="s">
        <v>72</v>
      </c>
    </row>
    <row r="873" customFormat="false" ht="12.8" hidden="false" customHeight="false" outlineLevel="0" collapsed="false">
      <c r="A873" s="6" t="s">
        <v>364</v>
      </c>
      <c r="B873" s="35" t="n">
        <v>2</v>
      </c>
      <c r="C873" s="6" t="n">
        <v>0</v>
      </c>
      <c r="D873" s="6" t="n">
        <v>1</v>
      </c>
      <c r="E873" s="6" t="n">
        <v>0</v>
      </c>
      <c r="F873" s="28" t="n">
        <v>0</v>
      </c>
      <c r="G873" s="24" t="n">
        <v>43739</v>
      </c>
      <c r="H873" s="24" t="n">
        <v>43743</v>
      </c>
      <c r="I873" s="6" t="s">
        <v>72</v>
      </c>
    </row>
    <row r="874" customFormat="false" ht="12.8" hidden="false" customHeight="false" outlineLevel="0" collapsed="false">
      <c r="A874" s="6" t="s">
        <v>364</v>
      </c>
      <c r="B874" s="35" t="n">
        <v>3.5</v>
      </c>
      <c r="C874" s="6" t="n">
        <v>0</v>
      </c>
      <c r="D874" s="6" t="n">
        <v>1</v>
      </c>
      <c r="E874" s="6" t="n">
        <v>0</v>
      </c>
      <c r="F874" s="28" t="n">
        <v>0</v>
      </c>
      <c r="G874" s="24" t="n">
        <v>43739</v>
      </c>
      <c r="H874" s="24" t="n">
        <v>43743</v>
      </c>
      <c r="I874" s="6" t="s">
        <v>72</v>
      </c>
    </row>
    <row r="875" customFormat="false" ht="12.8" hidden="false" customHeight="false" outlineLevel="0" collapsed="false">
      <c r="A875" s="6" t="s">
        <v>364</v>
      </c>
      <c r="B875" s="35" t="n">
        <v>2</v>
      </c>
      <c r="C875" s="6" t="n">
        <v>0</v>
      </c>
      <c r="D875" s="6" t="n">
        <v>1</v>
      </c>
      <c r="E875" s="6" t="n">
        <v>0</v>
      </c>
      <c r="F875" s="28" t="n">
        <v>0</v>
      </c>
      <c r="G875" s="24" t="n">
        <v>43739</v>
      </c>
      <c r="H875" s="24" t="n">
        <v>43743</v>
      </c>
      <c r="I875" s="6" t="s">
        <v>72</v>
      </c>
    </row>
    <row r="876" customFormat="false" ht="12.8" hidden="false" customHeight="false" outlineLevel="0" collapsed="false">
      <c r="A876" s="6" t="s">
        <v>94</v>
      </c>
      <c r="B876" s="35" t="n">
        <v>3.8</v>
      </c>
      <c r="C876" s="6" t="n">
        <v>0</v>
      </c>
      <c r="D876" s="6" t="n">
        <v>1</v>
      </c>
      <c r="E876" s="6" t="n">
        <v>0</v>
      </c>
      <c r="F876" s="28" t="n">
        <v>0</v>
      </c>
      <c r="G876" s="24" t="n">
        <v>43739</v>
      </c>
      <c r="H876" s="24" t="n">
        <v>43745</v>
      </c>
      <c r="I876" s="6" t="s">
        <v>84</v>
      </c>
    </row>
    <row r="877" customFormat="false" ht="12.8" hidden="false" customHeight="false" outlineLevel="0" collapsed="false">
      <c r="A877" s="6" t="s">
        <v>240</v>
      </c>
      <c r="B877" s="35" t="n">
        <v>10</v>
      </c>
      <c r="C877" s="6" t="n">
        <v>0</v>
      </c>
      <c r="D877" s="6" t="n">
        <v>1</v>
      </c>
      <c r="E877" s="6" t="n">
        <v>0</v>
      </c>
      <c r="F877" s="28" t="n">
        <v>0</v>
      </c>
      <c r="G877" s="24" t="n">
        <v>43739</v>
      </c>
      <c r="H877" s="24" t="n">
        <v>43745</v>
      </c>
      <c r="I877" s="6" t="s">
        <v>72</v>
      </c>
    </row>
    <row r="878" customFormat="false" ht="12.8" hidden="false" customHeight="false" outlineLevel="0" collapsed="false">
      <c r="A878" s="6" t="s">
        <v>201</v>
      </c>
      <c r="B878" s="35" t="n">
        <v>5</v>
      </c>
      <c r="C878" s="6" t="n">
        <v>0</v>
      </c>
      <c r="D878" s="6" t="n">
        <v>1</v>
      </c>
      <c r="E878" s="6" t="n">
        <v>0</v>
      </c>
      <c r="F878" s="28" t="n">
        <v>0</v>
      </c>
      <c r="G878" s="24" t="n">
        <v>43739</v>
      </c>
      <c r="H878" s="24" t="n">
        <v>43745</v>
      </c>
      <c r="I878" s="6" t="s">
        <v>72</v>
      </c>
    </row>
    <row r="879" customFormat="false" ht="12.8" hidden="false" customHeight="false" outlineLevel="0" collapsed="false">
      <c r="A879" s="6" t="s">
        <v>365</v>
      </c>
      <c r="B879" s="35" t="n">
        <v>8</v>
      </c>
      <c r="C879" s="6" t="n">
        <v>0</v>
      </c>
      <c r="D879" s="6" t="n">
        <v>1</v>
      </c>
      <c r="E879" s="6" t="n">
        <v>0</v>
      </c>
      <c r="F879" s="28" t="n">
        <v>0</v>
      </c>
      <c r="G879" s="24" t="n">
        <v>43739</v>
      </c>
      <c r="H879" s="24" t="n">
        <v>43745</v>
      </c>
      <c r="I879" s="6" t="s">
        <v>72</v>
      </c>
    </row>
    <row r="880" customFormat="false" ht="12.8" hidden="false" customHeight="false" outlineLevel="0" collapsed="false">
      <c r="A880" s="6" t="s">
        <v>236</v>
      </c>
      <c r="B880" s="35" t="n">
        <v>6</v>
      </c>
      <c r="C880" s="6" t="n">
        <v>0</v>
      </c>
      <c r="D880" s="6" t="n">
        <v>1</v>
      </c>
      <c r="E880" s="6" t="n">
        <v>0</v>
      </c>
      <c r="F880" s="28" t="n">
        <v>0</v>
      </c>
      <c r="G880" s="24" t="n">
        <v>43739</v>
      </c>
      <c r="H880" s="24" t="n">
        <v>43745</v>
      </c>
      <c r="I880" s="6" t="s">
        <v>72</v>
      </c>
    </row>
    <row r="881" customFormat="false" ht="12.8" hidden="false" customHeight="false" outlineLevel="0" collapsed="false">
      <c r="A881" s="6" t="s">
        <v>73</v>
      </c>
      <c r="B881" s="35" t="n">
        <v>38.4</v>
      </c>
      <c r="C881" s="6" t="n">
        <v>0</v>
      </c>
      <c r="D881" s="6" t="n">
        <v>1</v>
      </c>
      <c r="E881" s="6" t="n">
        <v>0</v>
      </c>
      <c r="F881" s="28" t="n">
        <v>0</v>
      </c>
      <c r="G881" s="24" t="n">
        <v>43739</v>
      </c>
      <c r="H881" s="24" t="n">
        <v>43745</v>
      </c>
      <c r="I881" s="6" t="s">
        <v>73</v>
      </c>
    </row>
    <row r="882" customFormat="false" ht="12.8" hidden="false" customHeight="false" outlineLevel="0" collapsed="false">
      <c r="A882" s="6" t="s">
        <v>264</v>
      </c>
      <c r="B882" s="35" t="n">
        <v>55</v>
      </c>
      <c r="C882" s="6" t="n">
        <v>0</v>
      </c>
      <c r="D882" s="6" t="n">
        <v>1</v>
      </c>
      <c r="E882" s="6" t="n">
        <v>0</v>
      </c>
      <c r="F882" s="28" t="n">
        <v>0</v>
      </c>
      <c r="G882" s="24" t="n">
        <v>43739</v>
      </c>
      <c r="H882" s="24" t="n">
        <v>43745</v>
      </c>
      <c r="I882" s="6" t="s">
        <v>81</v>
      </c>
    </row>
    <row r="883" customFormat="false" ht="12.8" hidden="false" customHeight="false" outlineLevel="0" collapsed="false">
      <c r="A883" s="6" t="s">
        <v>366</v>
      </c>
      <c r="B883" s="35" t="n">
        <v>65</v>
      </c>
      <c r="C883" s="6" t="n">
        <v>0</v>
      </c>
      <c r="D883" s="6" t="n">
        <v>1</v>
      </c>
      <c r="E883" s="6" t="n">
        <v>0</v>
      </c>
      <c r="F883" s="28" t="n">
        <v>0</v>
      </c>
      <c r="G883" s="24" t="n">
        <v>43739</v>
      </c>
      <c r="H883" s="24" t="n">
        <v>43745</v>
      </c>
      <c r="I883" s="6" t="s">
        <v>81</v>
      </c>
    </row>
    <row r="884" customFormat="false" ht="12.8" hidden="false" customHeight="false" outlineLevel="0" collapsed="false">
      <c r="A884" s="6" t="s">
        <v>367</v>
      </c>
      <c r="B884" s="35" t="n">
        <v>15.5</v>
      </c>
      <c r="C884" s="6" t="n">
        <v>0</v>
      </c>
      <c r="D884" s="6" t="n">
        <v>1</v>
      </c>
      <c r="E884" s="6" t="n">
        <v>0</v>
      </c>
      <c r="F884" s="28" t="n">
        <v>0</v>
      </c>
      <c r="G884" s="24" t="n">
        <v>43739</v>
      </c>
      <c r="H884" s="24" t="n">
        <v>43745</v>
      </c>
      <c r="I884" s="6" t="s">
        <v>72</v>
      </c>
    </row>
    <row r="885" customFormat="false" ht="12.8" hidden="false" customHeight="false" outlineLevel="0" collapsed="false">
      <c r="A885" s="6" t="s">
        <v>368</v>
      </c>
      <c r="B885" s="35" t="n">
        <v>60</v>
      </c>
      <c r="C885" s="6" t="n">
        <v>0</v>
      </c>
      <c r="D885" s="6" t="n">
        <v>1</v>
      </c>
      <c r="E885" s="6" t="n">
        <v>0</v>
      </c>
      <c r="F885" s="28" t="n">
        <v>0</v>
      </c>
      <c r="G885" s="24" t="n">
        <v>43739</v>
      </c>
      <c r="H885" s="24" t="n">
        <v>43745</v>
      </c>
      <c r="I885" s="6" t="s">
        <v>81</v>
      </c>
    </row>
    <row r="886" customFormat="false" ht="13.8" hidden="false" customHeight="false" outlineLevel="0" collapsed="false">
      <c r="A886" s="52" t="s">
        <v>369</v>
      </c>
      <c r="B886" s="35" t="n">
        <v>10.44</v>
      </c>
      <c r="C886" s="6" t="n">
        <v>0</v>
      </c>
      <c r="D886" s="6" t="n">
        <v>1</v>
      </c>
      <c r="E886" s="6" t="n">
        <v>0</v>
      </c>
      <c r="F886" s="28" t="n">
        <v>0</v>
      </c>
      <c r="G886" s="24" t="n">
        <v>43739</v>
      </c>
      <c r="H886" s="24" t="n">
        <v>43745</v>
      </c>
      <c r="I886" s="6" t="s">
        <v>81</v>
      </c>
    </row>
    <row r="887" customFormat="false" ht="12.8" hidden="false" customHeight="false" outlineLevel="0" collapsed="false">
      <c r="A887" s="6" t="s">
        <v>370</v>
      </c>
      <c r="B887" s="35" t="n">
        <v>15.97</v>
      </c>
      <c r="C887" s="6" t="n">
        <v>0</v>
      </c>
      <c r="D887" s="6" t="n">
        <v>1</v>
      </c>
      <c r="E887" s="6" t="n">
        <v>0</v>
      </c>
      <c r="F887" s="28" t="n">
        <v>0</v>
      </c>
      <c r="G887" s="24" t="n">
        <v>43739</v>
      </c>
      <c r="H887" s="24" t="n">
        <v>43745</v>
      </c>
      <c r="I887" s="6" t="s">
        <v>81</v>
      </c>
    </row>
    <row r="888" customFormat="false" ht="12.8" hidden="false" customHeight="false" outlineLevel="0" collapsed="false">
      <c r="A888" s="6" t="s">
        <v>371</v>
      </c>
      <c r="B888" s="35" t="n">
        <v>10</v>
      </c>
      <c r="C888" s="6" t="n">
        <v>0</v>
      </c>
      <c r="D888" s="6" t="n">
        <v>1</v>
      </c>
      <c r="E888" s="6" t="n">
        <v>0</v>
      </c>
      <c r="F888" s="28" t="n">
        <v>0</v>
      </c>
      <c r="G888" s="24" t="n">
        <v>43739</v>
      </c>
      <c r="H888" s="24" t="n">
        <v>43746</v>
      </c>
      <c r="I888" s="6" t="s">
        <v>72</v>
      </c>
    </row>
    <row r="889" customFormat="false" ht="12.8" hidden="false" customHeight="false" outlineLevel="0" collapsed="false">
      <c r="A889" s="6" t="s">
        <v>78</v>
      </c>
      <c r="B889" s="35" t="n">
        <v>147.48</v>
      </c>
      <c r="C889" s="6" t="n">
        <v>0</v>
      </c>
      <c r="D889" s="6" t="n">
        <v>1</v>
      </c>
      <c r="E889" s="6" t="n">
        <v>0</v>
      </c>
      <c r="F889" s="28" t="n">
        <v>0</v>
      </c>
      <c r="G889" s="24" t="n">
        <v>43739</v>
      </c>
      <c r="H889" s="24" t="n">
        <v>43746</v>
      </c>
      <c r="I889" s="6" t="s">
        <v>79</v>
      </c>
    </row>
    <row r="890" customFormat="false" ht="12.8" hidden="false" customHeight="false" outlineLevel="0" collapsed="false">
      <c r="A890" s="6" t="s">
        <v>105</v>
      </c>
      <c r="B890" s="35" t="n">
        <v>77.98</v>
      </c>
      <c r="C890" s="6" t="n">
        <v>0</v>
      </c>
      <c r="D890" s="6" t="n">
        <v>1</v>
      </c>
      <c r="E890" s="6" t="n">
        <v>0</v>
      </c>
      <c r="F890" s="28" t="n">
        <v>0</v>
      </c>
      <c r="G890" s="24" t="n">
        <v>43739</v>
      </c>
      <c r="H890" s="24" t="n">
        <v>43746</v>
      </c>
      <c r="I890" s="6" t="s">
        <v>106</v>
      </c>
    </row>
    <row r="891" customFormat="false" ht="12.8" hidden="false" customHeight="false" outlineLevel="0" collapsed="false">
      <c r="A891" s="6" t="s">
        <v>372</v>
      </c>
      <c r="B891" s="35" t="n">
        <v>7.56</v>
      </c>
      <c r="C891" s="6" t="n">
        <v>0</v>
      </c>
      <c r="D891" s="6" t="n">
        <v>1</v>
      </c>
      <c r="E891" s="6" t="n">
        <v>0</v>
      </c>
      <c r="F891" s="28" t="n">
        <v>0</v>
      </c>
      <c r="G891" s="24" t="n">
        <v>43739</v>
      </c>
      <c r="H891" s="24" t="n">
        <v>43746</v>
      </c>
      <c r="I891" s="6" t="s">
        <v>81</v>
      </c>
    </row>
    <row r="892" customFormat="false" ht="12.8" hidden="false" customHeight="false" outlineLevel="0" collapsed="false">
      <c r="A892" s="6" t="s">
        <v>372</v>
      </c>
      <c r="B892" s="35" t="n">
        <v>24</v>
      </c>
      <c r="C892" s="6" t="n">
        <v>0</v>
      </c>
      <c r="D892" s="6" t="n">
        <v>1</v>
      </c>
      <c r="E892" s="6" t="n">
        <v>0</v>
      </c>
      <c r="F892" s="28" t="n">
        <v>0</v>
      </c>
      <c r="G892" s="24" t="n">
        <v>43739</v>
      </c>
      <c r="H892" s="24" t="n">
        <v>43746</v>
      </c>
      <c r="I892" s="6" t="s">
        <v>81</v>
      </c>
    </row>
    <row r="893" customFormat="false" ht="12.8" hidden="false" customHeight="false" outlineLevel="0" collapsed="false">
      <c r="A893" s="6" t="s">
        <v>74</v>
      </c>
      <c r="B893" s="35" t="n">
        <v>2.99</v>
      </c>
      <c r="C893" s="6" t="n">
        <v>0</v>
      </c>
      <c r="D893" s="6" t="n">
        <v>1</v>
      </c>
      <c r="E893" s="6" t="n">
        <v>0</v>
      </c>
      <c r="F893" s="28" t="n">
        <v>0</v>
      </c>
      <c r="G893" s="24" t="n">
        <v>43739</v>
      </c>
      <c r="H893" s="24" t="n">
        <v>43747</v>
      </c>
      <c r="I893" s="6" t="s">
        <v>72</v>
      </c>
    </row>
    <row r="894" customFormat="false" ht="12.8" hidden="false" customHeight="false" outlineLevel="0" collapsed="false">
      <c r="A894" s="6" t="s">
        <v>127</v>
      </c>
      <c r="B894" s="35" t="n">
        <v>14</v>
      </c>
      <c r="C894" s="6" t="n">
        <v>0</v>
      </c>
      <c r="D894" s="6" t="n">
        <v>1</v>
      </c>
      <c r="E894" s="6" t="n">
        <v>0</v>
      </c>
      <c r="F894" s="28" t="n">
        <v>0</v>
      </c>
      <c r="G894" s="24" t="n">
        <v>43739</v>
      </c>
      <c r="H894" s="24" t="n">
        <v>43747</v>
      </c>
      <c r="I894" s="6" t="s">
        <v>72</v>
      </c>
    </row>
    <row r="895" customFormat="false" ht="12.8" hidden="false" customHeight="false" outlineLevel="0" collapsed="false">
      <c r="A895" s="6" t="s">
        <v>112</v>
      </c>
      <c r="B895" s="35" t="n">
        <v>4.5</v>
      </c>
      <c r="C895" s="6" t="n">
        <v>0</v>
      </c>
      <c r="D895" s="6" t="n">
        <v>1</v>
      </c>
      <c r="E895" s="6" t="n">
        <v>0</v>
      </c>
      <c r="F895" s="28" t="n">
        <v>0</v>
      </c>
      <c r="G895" s="24" t="n">
        <v>43739</v>
      </c>
      <c r="H895" s="24" t="n">
        <v>43748</v>
      </c>
      <c r="I895" s="6" t="s">
        <v>72</v>
      </c>
    </row>
    <row r="896" customFormat="false" ht="12.8" hidden="false" customHeight="false" outlineLevel="0" collapsed="false">
      <c r="A896" s="6" t="s">
        <v>373</v>
      </c>
      <c r="B896" s="35" t="n">
        <v>119.8</v>
      </c>
      <c r="C896" s="6" t="n">
        <v>0</v>
      </c>
      <c r="D896" s="6" t="n">
        <v>1</v>
      </c>
      <c r="E896" s="6" t="n">
        <v>0</v>
      </c>
      <c r="F896" s="28" t="n">
        <v>0</v>
      </c>
      <c r="G896" s="24" t="n">
        <v>43739</v>
      </c>
      <c r="H896" s="24" t="n">
        <v>43748</v>
      </c>
      <c r="I896" s="6" t="s">
        <v>81</v>
      </c>
    </row>
    <row r="897" customFormat="false" ht="12.8" hidden="false" customHeight="false" outlineLevel="0" collapsed="false">
      <c r="A897" s="6" t="s">
        <v>169</v>
      </c>
      <c r="B897" s="35" t="n">
        <v>10.5</v>
      </c>
      <c r="C897" s="6" t="n">
        <v>0</v>
      </c>
      <c r="D897" s="6" t="n">
        <v>1</v>
      </c>
      <c r="E897" s="6" t="n">
        <v>0</v>
      </c>
      <c r="F897" s="28" t="n">
        <v>0</v>
      </c>
      <c r="G897" s="24" t="n">
        <v>43739</v>
      </c>
      <c r="H897" s="24" t="n">
        <v>43748</v>
      </c>
      <c r="I897" s="6" t="s">
        <v>72</v>
      </c>
    </row>
    <row r="898" customFormat="false" ht="12.8" hidden="false" customHeight="false" outlineLevel="0" collapsed="false">
      <c r="A898" s="6" t="s">
        <v>109</v>
      </c>
      <c r="B898" s="35" t="n">
        <v>8.5</v>
      </c>
      <c r="C898" s="6" t="n">
        <v>0</v>
      </c>
      <c r="D898" s="6" t="n">
        <v>1</v>
      </c>
      <c r="E898" s="6" t="n">
        <v>0</v>
      </c>
      <c r="F898" s="28" t="n">
        <v>0</v>
      </c>
      <c r="G898" s="24" t="n">
        <v>43739</v>
      </c>
      <c r="H898" s="24" t="n">
        <v>43749</v>
      </c>
      <c r="I898" s="6" t="s">
        <v>72</v>
      </c>
    </row>
    <row r="899" customFormat="false" ht="12.8" hidden="false" customHeight="false" outlineLevel="0" collapsed="false">
      <c r="A899" s="6" t="s">
        <v>112</v>
      </c>
      <c r="B899" s="35" t="n">
        <v>4.5</v>
      </c>
      <c r="C899" s="6" t="n">
        <v>0</v>
      </c>
      <c r="D899" s="6" t="n">
        <v>1</v>
      </c>
      <c r="E899" s="6" t="n">
        <v>0</v>
      </c>
      <c r="F899" s="28" t="n">
        <v>0</v>
      </c>
      <c r="G899" s="24" t="n">
        <v>43739</v>
      </c>
      <c r="H899" s="24" t="n">
        <v>43749</v>
      </c>
      <c r="I899" s="6" t="s">
        <v>72</v>
      </c>
    </row>
    <row r="900" customFormat="false" ht="12.8" hidden="false" customHeight="false" outlineLevel="0" collapsed="false">
      <c r="A900" s="6" t="s">
        <v>84</v>
      </c>
      <c r="B900" s="35" t="n">
        <v>43.56</v>
      </c>
      <c r="C900" s="6" t="n">
        <v>0</v>
      </c>
      <c r="D900" s="6" t="n">
        <v>1</v>
      </c>
      <c r="E900" s="6" t="n">
        <v>0</v>
      </c>
      <c r="F900" s="28" t="n">
        <v>0</v>
      </c>
      <c r="G900" s="24" t="n">
        <v>43739</v>
      </c>
      <c r="H900" s="24" t="n">
        <v>43750</v>
      </c>
      <c r="I900" s="6" t="s">
        <v>84</v>
      </c>
    </row>
    <row r="901" customFormat="false" ht="12.8" hidden="false" customHeight="false" outlineLevel="0" collapsed="false">
      <c r="A901" s="6" t="s">
        <v>163</v>
      </c>
      <c r="B901" s="35" t="n">
        <v>161.45</v>
      </c>
      <c r="C901" s="6" t="n">
        <v>0</v>
      </c>
      <c r="D901" s="6" t="n">
        <v>1</v>
      </c>
      <c r="E901" s="6" t="n">
        <v>0</v>
      </c>
      <c r="F901" s="28" t="n">
        <v>0</v>
      </c>
      <c r="G901" s="24" t="n">
        <v>43739</v>
      </c>
      <c r="H901" s="24" t="n">
        <v>43750</v>
      </c>
      <c r="I901" s="6" t="s">
        <v>79</v>
      </c>
    </row>
    <row r="902" customFormat="false" ht="12.8" hidden="false" customHeight="false" outlineLevel="0" collapsed="false">
      <c r="A902" s="6" t="s">
        <v>338</v>
      </c>
      <c r="B902" s="35" t="n">
        <v>28.27</v>
      </c>
      <c r="C902" s="6" t="n">
        <v>0</v>
      </c>
      <c r="D902" s="6" t="n">
        <v>1</v>
      </c>
      <c r="E902" s="6" t="n">
        <v>0</v>
      </c>
      <c r="F902" s="28" t="n">
        <v>0</v>
      </c>
      <c r="G902" s="24" t="n">
        <v>43739</v>
      </c>
      <c r="H902" s="24" t="n">
        <v>43752</v>
      </c>
      <c r="I902" s="6" t="s">
        <v>79</v>
      </c>
    </row>
    <row r="903" customFormat="false" ht="12.8" hidden="false" customHeight="false" outlineLevel="0" collapsed="false">
      <c r="A903" s="6" t="s">
        <v>374</v>
      </c>
      <c r="B903" s="35" t="n">
        <v>9.69</v>
      </c>
      <c r="C903" s="6" t="n">
        <v>0</v>
      </c>
      <c r="D903" s="6" t="n">
        <v>1</v>
      </c>
      <c r="E903" s="6" t="n">
        <v>0</v>
      </c>
      <c r="F903" s="28" t="n">
        <v>0</v>
      </c>
      <c r="G903" s="24" t="n">
        <v>43739</v>
      </c>
      <c r="H903" s="24" t="n">
        <v>43752</v>
      </c>
      <c r="I903" s="6" t="s">
        <v>72</v>
      </c>
    </row>
    <row r="904" customFormat="false" ht="12.8" hidden="false" customHeight="false" outlineLevel="0" collapsed="false">
      <c r="A904" s="6" t="s">
        <v>375</v>
      </c>
      <c r="B904" s="35" t="n">
        <v>28.9</v>
      </c>
      <c r="C904" s="6" t="n">
        <v>0</v>
      </c>
      <c r="D904" s="6" t="n">
        <v>1</v>
      </c>
      <c r="E904" s="6" t="n">
        <v>0</v>
      </c>
      <c r="F904" s="28" t="n">
        <v>0</v>
      </c>
      <c r="G904" s="24" t="n">
        <v>43739</v>
      </c>
      <c r="H904" s="24" t="n">
        <v>43752</v>
      </c>
      <c r="I904" s="6" t="s">
        <v>81</v>
      </c>
    </row>
    <row r="905" customFormat="false" ht="12.8" hidden="false" customHeight="false" outlineLevel="0" collapsed="false">
      <c r="A905" s="6" t="s">
        <v>334</v>
      </c>
      <c r="B905" s="35" t="n">
        <v>65</v>
      </c>
      <c r="C905" s="6" t="n">
        <v>0</v>
      </c>
      <c r="D905" s="6" t="n">
        <v>1</v>
      </c>
      <c r="E905" s="6" t="n">
        <v>0</v>
      </c>
      <c r="F905" s="28" t="n">
        <v>0</v>
      </c>
      <c r="G905" s="24" t="n">
        <v>43739</v>
      </c>
      <c r="H905" s="24" t="n">
        <v>43752</v>
      </c>
      <c r="I905" s="6" t="s">
        <v>81</v>
      </c>
    </row>
    <row r="906" customFormat="false" ht="12.8" hidden="false" customHeight="false" outlineLevel="0" collapsed="false">
      <c r="A906" s="6" t="s">
        <v>376</v>
      </c>
      <c r="B906" s="35" t="n">
        <v>5</v>
      </c>
      <c r="C906" s="6" t="n">
        <v>0</v>
      </c>
      <c r="D906" s="6" t="n">
        <v>1</v>
      </c>
      <c r="E906" s="6" t="n">
        <v>0</v>
      </c>
      <c r="F906" s="28" t="n">
        <v>0</v>
      </c>
      <c r="G906" s="24" t="n">
        <v>43739</v>
      </c>
      <c r="H906" s="24" t="n">
        <v>43752</v>
      </c>
      <c r="I906" s="6" t="s">
        <v>81</v>
      </c>
    </row>
    <row r="907" customFormat="false" ht="12.8" hidden="false" customHeight="false" outlineLevel="0" collapsed="false">
      <c r="A907" s="6" t="s">
        <v>377</v>
      </c>
      <c r="B907" s="35" t="n">
        <v>4.5</v>
      </c>
      <c r="C907" s="6" t="n">
        <v>0</v>
      </c>
      <c r="D907" s="6" t="n">
        <v>1</v>
      </c>
      <c r="E907" s="6" t="n">
        <v>0</v>
      </c>
      <c r="F907" s="28" t="n">
        <v>0</v>
      </c>
      <c r="G907" s="24" t="n">
        <v>43739</v>
      </c>
      <c r="H907" s="24" t="n">
        <v>43752</v>
      </c>
      <c r="I907" s="6" t="s">
        <v>81</v>
      </c>
    </row>
    <row r="908" customFormat="false" ht="12.8" hidden="false" customHeight="false" outlineLevel="0" collapsed="false">
      <c r="A908" s="6" t="s">
        <v>378</v>
      </c>
      <c r="B908" s="35" t="n">
        <v>79.99</v>
      </c>
      <c r="C908" s="6" t="n">
        <v>0</v>
      </c>
      <c r="D908" s="6" t="n">
        <v>1</v>
      </c>
      <c r="E908" s="6" t="n">
        <v>0</v>
      </c>
      <c r="F908" s="28" t="n">
        <v>0</v>
      </c>
      <c r="G908" s="24" t="n">
        <v>43739</v>
      </c>
      <c r="H908" s="24" t="n">
        <v>43752</v>
      </c>
      <c r="I908" s="6" t="s">
        <v>81</v>
      </c>
    </row>
    <row r="909" customFormat="false" ht="12.8" hidden="false" customHeight="false" outlineLevel="0" collapsed="false">
      <c r="A909" s="6" t="s">
        <v>379</v>
      </c>
      <c r="B909" s="35" t="n">
        <v>45</v>
      </c>
      <c r="C909" s="6" t="n">
        <v>0</v>
      </c>
      <c r="D909" s="6" t="n">
        <v>1</v>
      </c>
      <c r="E909" s="6" t="n">
        <v>0</v>
      </c>
      <c r="F909" s="28" t="n">
        <v>0</v>
      </c>
      <c r="G909" s="24" t="n">
        <v>43739</v>
      </c>
      <c r="H909" s="24" t="n">
        <v>43752</v>
      </c>
      <c r="I909" s="6" t="s">
        <v>68</v>
      </c>
    </row>
    <row r="910" customFormat="false" ht="12.8" hidden="false" customHeight="false" outlineLevel="0" collapsed="false">
      <c r="A910" s="6" t="s">
        <v>380</v>
      </c>
      <c r="B910" s="35" t="n">
        <v>15</v>
      </c>
      <c r="C910" s="6" t="n">
        <v>0</v>
      </c>
      <c r="D910" s="6" t="n">
        <v>1</v>
      </c>
      <c r="E910" s="6" t="n">
        <v>0</v>
      </c>
      <c r="F910" s="28" t="n">
        <v>0</v>
      </c>
      <c r="G910" s="24" t="n">
        <v>43739</v>
      </c>
      <c r="H910" s="24" t="n">
        <v>43752</v>
      </c>
      <c r="I910" s="6" t="s">
        <v>81</v>
      </c>
    </row>
    <row r="911" customFormat="false" ht="12.8" hidden="false" customHeight="false" outlineLevel="0" collapsed="false">
      <c r="A911" s="6" t="s">
        <v>381</v>
      </c>
      <c r="B911" s="35" t="n">
        <v>3</v>
      </c>
      <c r="C911" s="6" t="n">
        <v>0</v>
      </c>
      <c r="D911" s="6" t="n">
        <v>1</v>
      </c>
      <c r="E911" s="6" t="n">
        <v>0</v>
      </c>
      <c r="F911" s="28" t="n">
        <v>0</v>
      </c>
      <c r="G911" s="24" t="n">
        <v>43739</v>
      </c>
      <c r="H911" s="24" t="n">
        <v>43752</v>
      </c>
      <c r="I911" s="6" t="s">
        <v>72</v>
      </c>
    </row>
    <row r="912" customFormat="false" ht="12.8" hidden="false" customHeight="false" outlineLevel="0" collapsed="false">
      <c r="A912" s="6" t="s">
        <v>382</v>
      </c>
      <c r="B912" s="35" t="n">
        <v>70</v>
      </c>
      <c r="C912" s="6" t="n">
        <v>0</v>
      </c>
      <c r="D912" s="6" t="n">
        <v>1</v>
      </c>
      <c r="E912" s="6" t="n">
        <v>0</v>
      </c>
      <c r="F912" s="28" t="n">
        <v>0</v>
      </c>
      <c r="G912" s="24" t="n">
        <v>43739</v>
      </c>
      <c r="H912" s="24" t="n">
        <v>43752</v>
      </c>
      <c r="I912" s="6" t="s">
        <v>81</v>
      </c>
    </row>
    <row r="913" customFormat="false" ht="12.8" hidden="false" customHeight="false" outlineLevel="0" collapsed="false">
      <c r="A913" s="6" t="s">
        <v>383</v>
      </c>
      <c r="B913" s="35" t="n">
        <v>10</v>
      </c>
      <c r="C913" s="6" t="n">
        <v>0</v>
      </c>
      <c r="D913" s="6" t="n">
        <v>1</v>
      </c>
      <c r="E913" s="6" t="n">
        <v>0</v>
      </c>
      <c r="F913" s="28" t="n">
        <v>0</v>
      </c>
      <c r="G913" s="24" t="n">
        <v>43739</v>
      </c>
      <c r="H913" s="24" t="n">
        <v>43752</v>
      </c>
      <c r="I913" s="6" t="s">
        <v>81</v>
      </c>
    </row>
    <row r="914" customFormat="false" ht="12.8" hidden="false" customHeight="false" outlineLevel="0" collapsed="false">
      <c r="A914" s="6" t="s">
        <v>384</v>
      </c>
      <c r="B914" s="35" t="n">
        <v>100</v>
      </c>
      <c r="C914" s="6" t="n">
        <v>0</v>
      </c>
      <c r="D914" s="6" t="n">
        <v>1</v>
      </c>
      <c r="E914" s="6" t="n">
        <v>0</v>
      </c>
      <c r="F914" s="28" t="n">
        <v>0</v>
      </c>
      <c r="G914" s="24" t="n">
        <v>43739</v>
      </c>
      <c r="H914" s="24" t="n">
        <v>43752</v>
      </c>
      <c r="I914" s="6" t="s">
        <v>81</v>
      </c>
    </row>
    <row r="915" customFormat="false" ht="12.8" hidden="false" customHeight="false" outlineLevel="0" collapsed="false">
      <c r="A915" s="6" t="s">
        <v>385</v>
      </c>
      <c r="B915" s="35" t="n">
        <v>4</v>
      </c>
      <c r="C915" s="6" t="n">
        <v>0</v>
      </c>
      <c r="D915" s="6" t="n">
        <v>1</v>
      </c>
      <c r="E915" s="6" t="n">
        <v>0</v>
      </c>
      <c r="F915" s="28" t="n">
        <v>0</v>
      </c>
      <c r="G915" s="24" t="n">
        <v>43739</v>
      </c>
      <c r="H915" s="24" t="n">
        <v>43752</v>
      </c>
      <c r="I915" s="6" t="s">
        <v>72</v>
      </c>
    </row>
    <row r="916" customFormat="false" ht="12.8" hidden="false" customHeight="false" outlineLevel="0" collapsed="false">
      <c r="A916" s="6" t="s">
        <v>386</v>
      </c>
      <c r="B916" s="35" t="n">
        <v>35</v>
      </c>
      <c r="C916" s="6" t="n">
        <v>0</v>
      </c>
      <c r="D916" s="6" t="n">
        <v>1</v>
      </c>
      <c r="E916" s="6" t="n">
        <v>0</v>
      </c>
      <c r="F916" s="28" t="n">
        <v>0</v>
      </c>
      <c r="G916" s="24" t="n">
        <v>43739</v>
      </c>
      <c r="H916" s="24" t="n">
        <v>43752</v>
      </c>
      <c r="I916" s="6" t="s">
        <v>81</v>
      </c>
    </row>
    <row r="917" customFormat="false" ht="12.8" hidden="false" customHeight="false" outlineLevel="0" collapsed="false">
      <c r="A917" s="6" t="s">
        <v>387</v>
      </c>
      <c r="B917" s="35" t="n">
        <v>7.99</v>
      </c>
      <c r="C917" s="6" t="n">
        <v>0</v>
      </c>
      <c r="D917" s="6" t="n">
        <v>1</v>
      </c>
      <c r="E917" s="6" t="n">
        <v>0</v>
      </c>
      <c r="F917" s="28" t="n">
        <v>0</v>
      </c>
      <c r="G917" s="24" t="n">
        <v>43739</v>
      </c>
      <c r="H917" s="24" t="n">
        <v>43752</v>
      </c>
      <c r="I917" s="6" t="s">
        <v>81</v>
      </c>
    </row>
    <row r="918" customFormat="false" ht="12.8" hidden="false" customHeight="false" outlineLevel="0" collapsed="false">
      <c r="A918" s="6" t="s">
        <v>388</v>
      </c>
      <c r="B918" s="35" t="n">
        <v>34.8</v>
      </c>
      <c r="C918" s="6" t="n">
        <v>0</v>
      </c>
      <c r="D918" s="6" t="n">
        <v>1</v>
      </c>
      <c r="E918" s="6" t="n">
        <v>0</v>
      </c>
      <c r="F918" s="28" t="n">
        <v>0</v>
      </c>
      <c r="G918" s="24" t="n">
        <v>43739</v>
      </c>
      <c r="H918" s="24" t="n">
        <v>43752</v>
      </c>
      <c r="I918" s="6" t="s">
        <v>81</v>
      </c>
    </row>
    <row r="919" customFormat="false" ht="12.8" hidden="false" customHeight="false" outlineLevel="0" collapsed="false">
      <c r="A919" s="6" t="s">
        <v>374</v>
      </c>
      <c r="B919" s="35" t="n">
        <v>2.99</v>
      </c>
      <c r="C919" s="6" t="n">
        <v>0</v>
      </c>
      <c r="D919" s="6" t="n">
        <v>1</v>
      </c>
      <c r="E919" s="6" t="n">
        <v>0</v>
      </c>
      <c r="F919" s="28" t="n">
        <v>0</v>
      </c>
      <c r="G919" s="24" t="n">
        <v>43739</v>
      </c>
      <c r="H919" s="24" t="n">
        <v>43753</v>
      </c>
      <c r="I919" s="6" t="s">
        <v>72</v>
      </c>
    </row>
    <row r="920" customFormat="false" ht="12.8" hidden="false" customHeight="false" outlineLevel="0" collapsed="false">
      <c r="A920" s="6" t="s">
        <v>389</v>
      </c>
      <c r="B920" s="35" t="n">
        <v>23.21</v>
      </c>
      <c r="C920" s="6" t="n">
        <v>0</v>
      </c>
      <c r="D920" s="6" t="n">
        <v>1</v>
      </c>
      <c r="E920" s="6" t="n">
        <v>0</v>
      </c>
      <c r="F920" s="28" t="n">
        <v>0</v>
      </c>
      <c r="G920" s="24" t="n">
        <v>43739</v>
      </c>
      <c r="H920" s="24" t="n">
        <v>43753</v>
      </c>
      <c r="I920" s="6" t="s">
        <v>72</v>
      </c>
    </row>
    <row r="921" customFormat="false" ht="12.8" hidden="false" customHeight="false" outlineLevel="0" collapsed="false">
      <c r="A921" s="6" t="s">
        <v>100</v>
      </c>
      <c r="B921" s="35" t="n">
        <v>30.5</v>
      </c>
      <c r="C921" s="6" t="n">
        <v>0</v>
      </c>
      <c r="D921" s="6" t="n">
        <v>1</v>
      </c>
      <c r="E921" s="6" t="n">
        <v>0</v>
      </c>
      <c r="F921" s="28" t="n">
        <v>0</v>
      </c>
      <c r="G921" s="24" t="n">
        <v>43739</v>
      </c>
      <c r="H921" s="24" t="n">
        <v>43753</v>
      </c>
      <c r="I921" s="6" t="s">
        <v>72</v>
      </c>
    </row>
    <row r="922" customFormat="false" ht="12.8" hidden="false" customHeight="false" outlineLevel="0" collapsed="false">
      <c r="A922" s="6" t="s">
        <v>390</v>
      </c>
      <c r="B922" s="35" t="n">
        <v>20.4</v>
      </c>
      <c r="C922" s="6" t="n">
        <v>0</v>
      </c>
      <c r="D922" s="6" t="n">
        <v>1</v>
      </c>
      <c r="E922" s="6" t="n">
        <v>0</v>
      </c>
      <c r="F922" s="28" t="n">
        <v>0</v>
      </c>
      <c r="G922" s="24" t="n">
        <v>43739</v>
      </c>
      <c r="H922" s="24" t="n">
        <v>43753</v>
      </c>
      <c r="I922" s="6" t="s">
        <v>72</v>
      </c>
    </row>
    <row r="923" customFormat="false" ht="12.8" hidden="false" customHeight="false" outlineLevel="0" collapsed="false">
      <c r="A923" s="6" t="s">
        <v>391</v>
      </c>
      <c r="B923" s="35" t="n">
        <v>4.5</v>
      </c>
      <c r="C923" s="6" t="n">
        <v>0</v>
      </c>
      <c r="D923" s="6" t="n">
        <v>1</v>
      </c>
      <c r="E923" s="6" t="n">
        <v>0</v>
      </c>
      <c r="F923" s="28" t="n">
        <v>0</v>
      </c>
      <c r="G923" s="24" t="n">
        <v>43739</v>
      </c>
      <c r="H923" s="24" t="n">
        <v>43753</v>
      </c>
      <c r="I923" s="6" t="s">
        <v>72</v>
      </c>
    </row>
    <row r="924" customFormat="false" ht="12.8" hidden="false" customHeight="false" outlineLevel="0" collapsed="false">
      <c r="A924" s="6" t="s">
        <v>392</v>
      </c>
      <c r="B924" s="35" t="n">
        <v>39.6</v>
      </c>
      <c r="C924" s="6" t="n">
        <v>0</v>
      </c>
      <c r="D924" s="6" t="n">
        <v>1</v>
      </c>
      <c r="E924" s="6" t="n">
        <v>0</v>
      </c>
      <c r="F924" s="28" t="n">
        <v>0</v>
      </c>
      <c r="G924" s="24" t="n">
        <v>43739</v>
      </c>
      <c r="H924" s="24" t="n">
        <v>43753</v>
      </c>
      <c r="I924" s="6" t="s">
        <v>72</v>
      </c>
    </row>
    <row r="925" customFormat="false" ht="12.8" hidden="false" customHeight="false" outlineLevel="0" collapsed="false">
      <c r="A925" s="6" t="s">
        <v>357</v>
      </c>
      <c r="B925" s="35" t="n">
        <v>5</v>
      </c>
      <c r="C925" s="6" t="n">
        <v>0</v>
      </c>
      <c r="D925" s="6" t="n">
        <v>1</v>
      </c>
      <c r="E925" s="6" t="n">
        <v>0</v>
      </c>
      <c r="F925" s="28" t="n">
        <v>0</v>
      </c>
      <c r="G925" s="24" t="n">
        <v>43739</v>
      </c>
      <c r="H925" s="24" t="n">
        <v>43753</v>
      </c>
      <c r="I925" s="6" t="s">
        <v>72</v>
      </c>
    </row>
    <row r="926" customFormat="false" ht="12.8" hidden="false" customHeight="false" outlineLevel="0" collapsed="false">
      <c r="A926" s="6" t="s">
        <v>393</v>
      </c>
      <c r="B926" s="35" t="n">
        <v>78.98</v>
      </c>
      <c r="C926" s="6" t="n">
        <v>0</v>
      </c>
      <c r="D926" s="6" t="n">
        <v>1</v>
      </c>
      <c r="E926" s="6" t="n">
        <v>0</v>
      </c>
      <c r="F926" s="28" t="n">
        <v>0</v>
      </c>
      <c r="G926" s="24" t="n">
        <v>43739</v>
      </c>
      <c r="H926" s="24" t="n">
        <v>43754</v>
      </c>
      <c r="I926" s="6" t="s">
        <v>106</v>
      </c>
    </row>
    <row r="927" customFormat="false" ht="12.8" hidden="false" customHeight="false" outlineLevel="0" collapsed="false">
      <c r="A927" s="6" t="s">
        <v>199</v>
      </c>
      <c r="B927" s="35" t="n">
        <v>67.42</v>
      </c>
      <c r="C927" s="6" t="n">
        <v>0</v>
      </c>
      <c r="D927" s="6" t="n">
        <v>1</v>
      </c>
      <c r="E927" s="6" t="n">
        <v>0</v>
      </c>
      <c r="F927" s="28" t="n">
        <v>0</v>
      </c>
      <c r="G927" s="24" t="n">
        <v>43739</v>
      </c>
      <c r="H927" s="24" t="n">
        <v>43755</v>
      </c>
      <c r="I927" s="6" t="s">
        <v>116</v>
      </c>
    </row>
    <row r="928" customFormat="false" ht="12.8" hidden="false" customHeight="false" outlineLevel="0" collapsed="false">
      <c r="A928" s="6" t="s">
        <v>394</v>
      </c>
      <c r="B928" s="35" t="n">
        <v>2.99</v>
      </c>
      <c r="C928" s="6" t="n">
        <v>0</v>
      </c>
      <c r="D928" s="6" t="n">
        <v>1</v>
      </c>
      <c r="E928" s="6" t="n">
        <v>0</v>
      </c>
      <c r="F928" s="28" t="n">
        <v>0</v>
      </c>
      <c r="G928" s="24" t="n">
        <v>43739</v>
      </c>
      <c r="H928" s="24" t="n">
        <v>43755</v>
      </c>
      <c r="I928" s="6" t="s">
        <v>81</v>
      </c>
    </row>
    <row r="929" customFormat="false" ht="12.8" hidden="false" customHeight="false" outlineLevel="0" collapsed="false">
      <c r="A929" s="6" t="s">
        <v>395</v>
      </c>
      <c r="B929" s="35" t="n">
        <v>35</v>
      </c>
      <c r="C929" s="6" t="n">
        <v>0</v>
      </c>
      <c r="D929" s="6" t="n">
        <v>1</v>
      </c>
      <c r="E929" s="6" t="n">
        <v>0</v>
      </c>
      <c r="F929" s="28" t="n">
        <v>0</v>
      </c>
      <c r="G929" s="24" t="n">
        <v>43739</v>
      </c>
      <c r="H929" s="24" t="n">
        <v>43756</v>
      </c>
      <c r="I929" s="6" t="s">
        <v>81</v>
      </c>
    </row>
    <row r="930" customFormat="false" ht="12.8" hidden="false" customHeight="false" outlineLevel="0" collapsed="false">
      <c r="A930" s="6" t="s">
        <v>396</v>
      </c>
      <c r="B930" s="35" t="n">
        <v>7.5</v>
      </c>
      <c r="C930" s="6" t="n">
        <v>0</v>
      </c>
      <c r="D930" s="6" t="n">
        <v>1</v>
      </c>
      <c r="E930" s="6" t="n">
        <v>0</v>
      </c>
      <c r="F930" s="28" t="n">
        <v>0</v>
      </c>
      <c r="G930" s="24" t="n">
        <v>43739</v>
      </c>
      <c r="H930" s="24" t="n">
        <v>43756</v>
      </c>
      <c r="I930" s="6" t="s">
        <v>81</v>
      </c>
    </row>
    <row r="931" customFormat="false" ht="12.8" hidden="false" customHeight="false" outlineLevel="0" collapsed="false">
      <c r="A931" s="6" t="s">
        <v>397</v>
      </c>
      <c r="B931" s="35" t="n">
        <v>30</v>
      </c>
      <c r="C931" s="6" t="n">
        <v>0</v>
      </c>
      <c r="D931" s="6" t="n">
        <v>1</v>
      </c>
      <c r="E931" s="6" t="n">
        <v>0</v>
      </c>
      <c r="F931" s="28" t="n">
        <v>0</v>
      </c>
      <c r="G931" s="24" t="n">
        <v>43739</v>
      </c>
      <c r="H931" s="24" t="n">
        <v>43756</v>
      </c>
      <c r="I931" s="6" t="s">
        <v>81</v>
      </c>
    </row>
    <row r="932" customFormat="false" ht="12.8" hidden="false" customHeight="false" outlineLevel="0" collapsed="false">
      <c r="A932" s="6" t="s">
        <v>136</v>
      </c>
      <c r="B932" s="35" t="n">
        <v>100</v>
      </c>
      <c r="C932" s="6" t="n">
        <v>0</v>
      </c>
      <c r="D932" s="6" t="n">
        <v>1</v>
      </c>
      <c r="E932" s="6" t="n">
        <v>0</v>
      </c>
      <c r="F932" s="28" t="n">
        <v>0</v>
      </c>
      <c r="G932" s="24" t="n">
        <v>43739</v>
      </c>
      <c r="H932" s="24" t="n">
        <v>43759</v>
      </c>
      <c r="I932" s="6" t="s">
        <v>136</v>
      </c>
    </row>
    <row r="933" customFormat="false" ht="12.8" hidden="false" customHeight="false" outlineLevel="0" collapsed="false">
      <c r="A933" s="6" t="s">
        <v>94</v>
      </c>
      <c r="B933" s="35" t="n">
        <v>24.62</v>
      </c>
      <c r="C933" s="6" t="n">
        <v>0</v>
      </c>
      <c r="D933" s="6" t="n">
        <v>1</v>
      </c>
      <c r="E933" s="6" t="n">
        <v>0</v>
      </c>
      <c r="F933" s="28" t="n">
        <v>0</v>
      </c>
      <c r="G933" s="24" t="n">
        <v>43739</v>
      </c>
      <c r="H933" s="24" t="n">
        <v>43759</v>
      </c>
      <c r="I933" s="6" t="s">
        <v>84</v>
      </c>
    </row>
    <row r="934" customFormat="false" ht="12.8" hidden="false" customHeight="false" outlineLevel="0" collapsed="false">
      <c r="A934" s="6" t="s">
        <v>398</v>
      </c>
      <c r="B934" s="35" t="n">
        <v>52</v>
      </c>
      <c r="C934" s="6" t="n">
        <v>0</v>
      </c>
      <c r="D934" s="6" t="n">
        <v>1</v>
      </c>
      <c r="E934" s="6" t="n">
        <v>0</v>
      </c>
      <c r="F934" s="28" t="n">
        <v>0</v>
      </c>
      <c r="G934" s="24" t="n">
        <v>43739</v>
      </c>
      <c r="H934" s="24" t="n">
        <v>43759</v>
      </c>
      <c r="I934" s="6" t="s">
        <v>72</v>
      </c>
    </row>
    <row r="935" customFormat="false" ht="12.8" hidden="false" customHeight="false" outlineLevel="0" collapsed="false">
      <c r="A935" s="6" t="s">
        <v>199</v>
      </c>
      <c r="B935" s="35" t="n">
        <v>8.66</v>
      </c>
      <c r="C935" s="6" t="n">
        <v>0</v>
      </c>
      <c r="D935" s="6" t="n">
        <v>1</v>
      </c>
      <c r="E935" s="6" t="n">
        <v>0</v>
      </c>
      <c r="F935" s="28" t="n">
        <v>0</v>
      </c>
      <c r="G935" s="24" t="n">
        <v>43739</v>
      </c>
      <c r="H935" s="24" t="n">
        <v>43759</v>
      </c>
      <c r="I935" s="6" t="s">
        <v>116</v>
      </c>
    </row>
    <row r="936" customFormat="false" ht="12.8" hidden="false" customHeight="false" outlineLevel="0" collapsed="false">
      <c r="A936" s="6" t="s">
        <v>399</v>
      </c>
      <c r="B936" s="35" t="n">
        <v>38.07</v>
      </c>
      <c r="C936" s="6" t="n">
        <v>0</v>
      </c>
      <c r="D936" s="6" t="n">
        <v>1</v>
      </c>
      <c r="E936" s="6" t="n">
        <v>0</v>
      </c>
      <c r="F936" s="28" t="n">
        <v>0</v>
      </c>
      <c r="G936" s="24" t="n">
        <v>43739</v>
      </c>
      <c r="H936" s="24" t="n">
        <v>43759</v>
      </c>
      <c r="I936" s="6" t="s">
        <v>79</v>
      </c>
    </row>
    <row r="937" customFormat="false" ht="12.8" hidden="false" customHeight="false" outlineLevel="0" collapsed="false">
      <c r="A937" s="6" t="s">
        <v>400</v>
      </c>
      <c r="B937" s="35" t="n">
        <v>14.95</v>
      </c>
      <c r="C937" s="6" t="n">
        <v>0</v>
      </c>
      <c r="D937" s="6" t="n">
        <v>1</v>
      </c>
      <c r="E937" s="6" t="n">
        <v>0</v>
      </c>
      <c r="F937" s="28" t="n">
        <v>0</v>
      </c>
      <c r="G937" s="24" t="n">
        <v>43739</v>
      </c>
      <c r="H937" s="24" t="n">
        <v>43759</v>
      </c>
      <c r="I937" s="6" t="s">
        <v>79</v>
      </c>
    </row>
    <row r="938" customFormat="false" ht="12.8" hidden="false" customHeight="false" outlineLevel="0" collapsed="false">
      <c r="A938" s="6" t="s">
        <v>401</v>
      </c>
      <c r="B938" s="35" t="n">
        <v>26.6</v>
      </c>
      <c r="C938" s="6" t="n">
        <v>0</v>
      </c>
      <c r="D938" s="6" t="n">
        <v>1</v>
      </c>
      <c r="E938" s="6" t="n">
        <v>0</v>
      </c>
      <c r="F938" s="28" t="n">
        <v>0</v>
      </c>
      <c r="G938" s="24" t="n">
        <v>43739</v>
      </c>
      <c r="H938" s="24" t="n">
        <v>43760</v>
      </c>
      <c r="I938" s="6" t="s">
        <v>72</v>
      </c>
    </row>
    <row r="939" customFormat="false" ht="12.8" hidden="false" customHeight="false" outlineLevel="0" collapsed="false">
      <c r="A939" s="6" t="s">
        <v>402</v>
      </c>
      <c r="B939" s="35" t="n">
        <v>63.9</v>
      </c>
      <c r="C939" s="6" t="n">
        <v>0</v>
      </c>
      <c r="D939" s="6" t="n">
        <v>1</v>
      </c>
      <c r="E939" s="6" t="n">
        <v>0</v>
      </c>
      <c r="F939" s="28" t="n">
        <v>0</v>
      </c>
      <c r="G939" s="24" t="n">
        <v>43739</v>
      </c>
      <c r="H939" s="24" t="n">
        <v>43760</v>
      </c>
      <c r="I939" s="6" t="s">
        <v>72</v>
      </c>
    </row>
    <row r="940" customFormat="false" ht="12.8" hidden="false" customHeight="false" outlineLevel="0" collapsed="false">
      <c r="A940" s="6" t="s">
        <v>78</v>
      </c>
      <c r="B940" s="35" t="n">
        <v>144.09</v>
      </c>
      <c r="C940" s="6" t="n">
        <v>0</v>
      </c>
      <c r="D940" s="6" t="n">
        <v>1</v>
      </c>
      <c r="E940" s="6" t="n">
        <v>0</v>
      </c>
      <c r="F940" s="28" t="n">
        <v>0</v>
      </c>
      <c r="G940" s="24" t="n">
        <v>43739</v>
      </c>
      <c r="H940" s="24" t="n">
        <v>43761</v>
      </c>
      <c r="I940" s="6" t="s">
        <v>79</v>
      </c>
    </row>
    <row r="941" customFormat="false" ht="12.8" hidden="false" customHeight="false" outlineLevel="0" collapsed="false">
      <c r="A941" s="6" t="s">
        <v>105</v>
      </c>
      <c r="B941" s="35" t="n">
        <v>191.27</v>
      </c>
      <c r="C941" s="6" t="n">
        <v>0</v>
      </c>
      <c r="D941" s="6" t="n">
        <v>1</v>
      </c>
      <c r="E941" s="6" t="n">
        <v>0</v>
      </c>
      <c r="F941" s="28" t="n">
        <v>0</v>
      </c>
      <c r="G941" s="24" t="n">
        <v>43739</v>
      </c>
      <c r="H941" s="24" t="n">
        <v>43761</v>
      </c>
      <c r="I941" s="6" t="s">
        <v>106</v>
      </c>
    </row>
    <row r="942" customFormat="false" ht="12.8" hidden="false" customHeight="false" outlineLevel="0" collapsed="false">
      <c r="A942" s="6" t="s">
        <v>371</v>
      </c>
      <c r="B942" s="35" t="n">
        <v>10</v>
      </c>
      <c r="C942" s="6" t="n">
        <v>0</v>
      </c>
      <c r="D942" s="6" t="n">
        <v>1</v>
      </c>
      <c r="E942" s="6" t="n">
        <v>0</v>
      </c>
      <c r="F942" s="28" t="n">
        <v>0</v>
      </c>
      <c r="G942" s="24" t="n">
        <v>43739</v>
      </c>
      <c r="H942" s="24" t="n">
        <v>43761</v>
      </c>
      <c r="I942" s="6" t="s">
        <v>72</v>
      </c>
    </row>
    <row r="943" customFormat="false" ht="12.8" hidden="false" customHeight="false" outlineLevel="0" collapsed="false">
      <c r="A943" s="6" t="s">
        <v>403</v>
      </c>
      <c r="B943" s="35" t="n">
        <v>10.84</v>
      </c>
      <c r="C943" s="6" t="n">
        <v>0</v>
      </c>
      <c r="D943" s="6" t="n">
        <v>1</v>
      </c>
      <c r="E943" s="6" t="n">
        <v>0</v>
      </c>
      <c r="F943" s="28" t="n">
        <v>0</v>
      </c>
      <c r="G943" s="24" t="n">
        <v>43739</v>
      </c>
      <c r="H943" s="24" t="n">
        <v>43763</v>
      </c>
      <c r="I943" s="6" t="s">
        <v>72</v>
      </c>
    </row>
    <row r="944" customFormat="false" ht="12.8" hidden="false" customHeight="false" outlineLevel="0" collapsed="false">
      <c r="A944" s="6" t="s">
        <v>404</v>
      </c>
      <c r="B944" s="35" t="n">
        <v>14.1</v>
      </c>
      <c r="C944" s="6" t="n">
        <v>0</v>
      </c>
      <c r="D944" s="6" t="n">
        <v>1</v>
      </c>
      <c r="E944" s="6" t="n">
        <v>0</v>
      </c>
      <c r="F944" s="28" t="n">
        <v>0</v>
      </c>
      <c r="G944" s="24" t="n">
        <v>43739</v>
      </c>
      <c r="H944" s="24" t="n">
        <v>43763</v>
      </c>
      <c r="I944" s="6" t="s">
        <v>72</v>
      </c>
    </row>
    <row r="945" customFormat="false" ht="12.8" hidden="false" customHeight="false" outlineLevel="0" collapsed="false">
      <c r="A945" s="6" t="s">
        <v>136</v>
      </c>
      <c r="B945" s="35" t="n">
        <v>50</v>
      </c>
      <c r="C945" s="6" t="n">
        <v>0</v>
      </c>
      <c r="D945" s="6" t="n">
        <v>1</v>
      </c>
      <c r="E945" s="6" t="n">
        <v>0</v>
      </c>
      <c r="F945" s="28" t="n">
        <v>0</v>
      </c>
      <c r="G945" s="24" t="n">
        <v>43739</v>
      </c>
      <c r="H945" s="24" t="n">
        <v>43763</v>
      </c>
      <c r="I945" s="6" t="s">
        <v>136</v>
      </c>
    </row>
    <row r="946" customFormat="false" ht="12.8" hidden="false" customHeight="false" outlineLevel="0" collapsed="false">
      <c r="A946" s="6" t="s">
        <v>84</v>
      </c>
      <c r="B946" s="35" t="n">
        <v>22.9</v>
      </c>
      <c r="C946" s="6" t="n">
        <v>0</v>
      </c>
      <c r="D946" s="6" t="n">
        <v>1</v>
      </c>
      <c r="E946" s="6" t="n">
        <v>0</v>
      </c>
      <c r="F946" s="28" t="n">
        <v>0</v>
      </c>
      <c r="G946" s="24" t="n">
        <v>43739</v>
      </c>
      <c r="H946" s="24" t="n">
        <v>43766</v>
      </c>
      <c r="I946" s="6" t="s">
        <v>84</v>
      </c>
    </row>
    <row r="947" customFormat="false" ht="12.8" hidden="false" customHeight="false" outlineLevel="0" collapsed="false">
      <c r="A947" s="6" t="s">
        <v>84</v>
      </c>
      <c r="B947" s="35" t="n">
        <v>16.31</v>
      </c>
      <c r="C947" s="6" t="n">
        <v>0</v>
      </c>
      <c r="D947" s="6" t="n">
        <v>1</v>
      </c>
      <c r="E947" s="6" t="n">
        <v>0</v>
      </c>
      <c r="F947" s="28" t="n">
        <v>0</v>
      </c>
      <c r="G947" s="24" t="n">
        <v>43739</v>
      </c>
      <c r="H947" s="24" t="n">
        <v>43766</v>
      </c>
      <c r="I947" s="6" t="s">
        <v>84</v>
      </c>
    </row>
    <row r="948" customFormat="false" ht="12.8" hidden="false" customHeight="false" outlineLevel="0" collapsed="false">
      <c r="A948" s="6" t="s">
        <v>380</v>
      </c>
      <c r="B948" s="35" t="n">
        <v>12</v>
      </c>
      <c r="C948" s="6" t="n">
        <v>0</v>
      </c>
      <c r="D948" s="6" t="n">
        <v>1</v>
      </c>
      <c r="E948" s="6" t="n">
        <v>0</v>
      </c>
      <c r="F948" s="28" t="n">
        <v>0</v>
      </c>
      <c r="G948" s="24" t="n">
        <v>43739</v>
      </c>
      <c r="H948" s="24" t="n">
        <v>43766</v>
      </c>
      <c r="I948" s="6" t="s">
        <v>72</v>
      </c>
    </row>
    <row r="949" customFormat="false" ht="12.8" hidden="false" customHeight="false" outlineLevel="0" collapsed="false">
      <c r="A949" s="6" t="s">
        <v>380</v>
      </c>
      <c r="B949" s="35" t="n">
        <v>9</v>
      </c>
      <c r="C949" s="6" t="n">
        <v>0</v>
      </c>
      <c r="D949" s="6" t="n">
        <v>1</v>
      </c>
      <c r="E949" s="6" t="n">
        <v>0</v>
      </c>
      <c r="F949" s="28" t="n">
        <v>0</v>
      </c>
      <c r="G949" s="24" t="n">
        <v>43739</v>
      </c>
      <c r="H949" s="24" t="n">
        <v>43766</v>
      </c>
      <c r="I949" s="6" t="s">
        <v>72</v>
      </c>
    </row>
    <row r="950" customFormat="false" ht="12.8" hidden="false" customHeight="false" outlineLevel="0" collapsed="false">
      <c r="A950" s="6" t="s">
        <v>405</v>
      </c>
      <c r="B950" s="35" t="n">
        <v>5</v>
      </c>
      <c r="C950" s="6" t="n">
        <v>0</v>
      </c>
      <c r="D950" s="6" t="n">
        <v>1</v>
      </c>
      <c r="E950" s="6" t="n">
        <v>0</v>
      </c>
      <c r="F950" s="28" t="n">
        <v>0</v>
      </c>
      <c r="G950" s="24" t="n">
        <v>43739</v>
      </c>
      <c r="H950" s="24" t="n">
        <v>43766</v>
      </c>
      <c r="I950" s="6" t="s">
        <v>72</v>
      </c>
    </row>
    <row r="951" customFormat="false" ht="12.8" hidden="false" customHeight="false" outlineLevel="0" collapsed="false">
      <c r="A951" s="6" t="s">
        <v>406</v>
      </c>
      <c r="B951" s="35" t="n">
        <v>6.5</v>
      </c>
      <c r="C951" s="6" t="n">
        <v>0</v>
      </c>
      <c r="D951" s="6" t="n">
        <v>1</v>
      </c>
      <c r="E951" s="6" t="n">
        <v>0</v>
      </c>
      <c r="F951" s="28" t="n">
        <v>0</v>
      </c>
      <c r="G951" s="24" t="n">
        <v>43739</v>
      </c>
      <c r="H951" s="24" t="n">
        <v>43766</v>
      </c>
      <c r="I951" s="6" t="s">
        <v>72</v>
      </c>
    </row>
    <row r="952" customFormat="false" ht="12.8" hidden="false" customHeight="false" outlineLevel="0" collapsed="false">
      <c r="A952" s="6" t="s">
        <v>74</v>
      </c>
      <c r="B952" s="35" t="n">
        <v>2.99</v>
      </c>
      <c r="C952" s="6" t="n">
        <v>0</v>
      </c>
      <c r="D952" s="6" t="n">
        <v>1</v>
      </c>
      <c r="E952" s="6" t="n">
        <v>0</v>
      </c>
      <c r="F952" s="28" t="n">
        <v>0</v>
      </c>
      <c r="G952" s="24" t="n">
        <v>43739</v>
      </c>
      <c r="H952" s="24" t="n">
        <v>43766</v>
      </c>
      <c r="I952" s="6" t="s">
        <v>72</v>
      </c>
    </row>
    <row r="953" customFormat="false" ht="12.8" hidden="false" customHeight="false" outlineLevel="0" collapsed="false">
      <c r="A953" s="6" t="s">
        <v>407</v>
      </c>
      <c r="B953" s="35" t="n">
        <v>8</v>
      </c>
      <c r="C953" s="6" t="n">
        <v>0</v>
      </c>
      <c r="D953" s="6" t="n">
        <v>1</v>
      </c>
      <c r="E953" s="6" t="n">
        <v>0</v>
      </c>
      <c r="F953" s="28" t="n">
        <v>0</v>
      </c>
      <c r="G953" s="24" t="n">
        <v>43739</v>
      </c>
      <c r="H953" s="24" t="n">
        <v>43766</v>
      </c>
      <c r="I953" s="6" t="s">
        <v>72</v>
      </c>
    </row>
    <row r="954" customFormat="false" ht="12.8" hidden="false" customHeight="false" outlineLevel="0" collapsed="false">
      <c r="A954" s="6" t="s">
        <v>312</v>
      </c>
      <c r="B954" s="35" t="n">
        <v>11.9</v>
      </c>
      <c r="C954" s="6" t="n">
        <v>0</v>
      </c>
      <c r="D954" s="6" t="n">
        <v>1</v>
      </c>
      <c r="E954" s="6" t="n">
        <v>0</v>
      </c>
      <c r="F954" s="28" t="n">
        <v>0</v>
      </c>
      <c r="G954" s="24" t="n">
        <v>43739</v>
      </c>
      <c r="H954" s="24" t="n">
        <v>43766</v>
      </c>
      <c r="I954" s="6" t="s">
        <v>72</v>
      </c>
    </row>
    <row r="955" customFormat="false" ht="12.8" hidden="false" customHeight="false" outlineLevel="0" collapsed="false">
      <c r="A955" s="6" t="s">
        <v>192</v>
      </c>
      <c r="B955" s="35" t="n">
        <v>2.82</v>
      </c>
      <c r="C955" s="6" t="n">
        <v>0</v>
      </c>
      <c r="D955" s="6" t="n">
        <v>1</v>
      </c>
      <c r="E955" s="6" t="n">
        <v>0</v>
      </c>
      <c r="F955" s="28" t="n">
        <v>0</v>
      </c>
      <c r="G955" s="24" t="n">
        <v>43739</v>
      </c>
      <c r="H955" s="24" t="n">
        <v>43766</v>
      </c>
      <c r="I955" s="6" t="s">
        <v>116</v>
      </c>
    </row>
    <row r="956" customFormat="false" ht="12.8" hidden="false" customHeight="false" outlineLevel="0" collapsed="false">
      <c r="A956" s="6" t="s">
        <v>408</v>
      </c>
      <c r="B956" s="35" t="n">
        <v>125</v>
      </c>
      <c r="C956" s="6" t="n">
        <v>0</v>
      </c>
      <c r="D956" s="6" t="n">
        <v>1</v>
      </c>
      <c r="E956" s="6" t="n">
        <v>0</v>
      </c>
      <c r="F956" s="28" t="n">
        <v>0</v>
      </c>
      <c r="G956" s="24" t="n">
        <v>43739</v>
      </c>
      <c r="H956" s="24" t="n">
        <v>43766</v>
      </c>
      <c r="I956" s="6" t="s">
        <v>81</v>
      </c>
    </row>
    <row r="957" customFormat="false" ht="12.8" hidden="false" customHeight="false" outlineLevel="0" collapsed="false">
      <c r="A957" s="6" t="s">
        <v>409</v>
      </c>
      <c r="B957" s="35" t="n">
        <v>112.07</v>
      </c>
      <c r="C957" s="6" t="n">
        <v>0</v>
      </c>
      <c r="D957" s="6" t="n">
        <v>1</v>
      </c>
      <c r="E957" s="6" t="n">
        <v>0</v>
      </c>
      <c r="F957" s="28" t="n">
        <v>0</v>
      </c>
      <c r="G957" s="24" t="n">
        <v>43739</v>
      </c>
      <c r="H957" s="24" t="n">
        <v>43766</v>
      </c>
      <c r="I957" s="6" t="s">
        <v>79</v>
      </c>
    </row>
    <row r="958" customFormat="false" ht="12.8" hidden="false" customHeight="false" outlineLevel="0" collapsed="false">
      <c r="A958" s="6" t="s">
        <v>410</v>
      </c>
      <c r="B958" s="35" t="n">
        <v>330</v>
      </c>
      <c r="C958" s="6" t="n">
        <v>0</v>
      </c>
      <c r="D958" s="6" t="n">
        <v>1</v>
      </c>
      <c r="E958" s="6" t="n">
        <v>0</v>
      </c>
      <c r="F958" s="28" t="n">
        <v>0</v>
      </c>
      <c r="G958" s="24" t="n">
        <v>43739</v>
      </c>
      <c r="H958" s="24" t="n">
        <v>43766</v>
      </c>
      <c r="I958" s="6" t="s">
        <v>70</v>
      </c>
    </row>
    <row r="959" customFormat="false" ht="12.8" hidden="false" customHeight="false" outlineLevel="0" collapsed="false">
      <c r="A959" s="53" t="s">
        <v>57</v>
      </c>
      <c r="B959" s="54" t="n">
        <v>76.9</v>
      </c>
      <c r="C959" s="53" t="n">
        <v>1</v>
      </c>
      <c r="D959" s="53" t="n">
        <v>0</v>
      </c>
      <c r="E959" s="53" t="n">
        <v>0</v>
      </c>
      <c r="F959" s="55" t="n">
        <v>0</v>
      </c>
      <c r="G959" s="56" t="n">
        <v>43770</v>
      </c>
      <c r="H959" s="56" t="n">
        <v>43742</v>
      </c>
      <c r="I959" s="53" t="s">
        <v>58</v>
      </c>
    </row>
    <row r="960" customFormat="false" ht="12.8" hidden="false" customHeight="false" outlineLevel="0" collapsed="false">
      <c r="A960" s="53" t="s">
        <v>95</v>
      </c>
      <c r="B960" s="54" t="n">
        <v>0.86</v>
      </c>
      <c r="C960" s="53" t="n">
        <v>1</v>
      </c>
      <c r="D960" s="53" t="n">
        <v>0</v>
      </c>
      <c r="E960" s="53" t="n">
        <v>0</v>
      </c>
      <c r="F960" s="55" t="n">
        <v>0</v>
      </c>
      <c r="G960" s="56" t="n">
        <v>43770</v>
      </c>
      <c r="H960" s="56" t="n">
        <v>43739</v>
      </c>
      <c r="I960" s="53" t="s">
        <v>58</v>
      </c>
    </row>
    <row r="961" customFormat="false" ht="12.8" hidden="false" customHeight="false" outlineLevel="0" collapsed="false">
      <c r="A961" s="53" t="s">
        <v>135</v>
      </c>
      <c r="B961" s="54" t="n">
        <f aca="false">SUMIFS(credito!$B$1:$B$277,credito!$F$1:$F$277,G959,credito!$G$1:$G$277,0)</f>
        <v>2887.63</v>
      </c>
      <c r="C961" s="53" t="n">
        <v>0</v>
      </c>
      <c r="D961" s="53" t="n">
        <v>1</v>
      </c>
      <c r="E961" s="53" t="n">
        <v>0</v>
      </c>
      <c r="F961" s="55" t="n">
        <v>0</v>
      </c>
      <c r="G961" s="56" t="n">
        <v>43770</v>
      </c>
      <c r="H961" s="56" t="n">
        <v>43756</v>
      </c>
      <c r="I961" s="53" t="s">
        <v>131</v>
      </c>
    </row>
    <row r="962" customFormat="false" ht="12.8" hidden="false" customHeight="false" outlineLevel="0" collapsed="false">
      <c r="A962" s="53" t="s">
        <v>132</v>
      </c>
      <c r="B962" s="54" t="n">
        <v>0</v>
      </c>
      <c r="C962" s="53" t="n">
        <v>1</v>
      </c>
      <c r="D962" s="53" t="n">
        <v>0</v>
      </c>
      <c r="E962" s="53" t="n">
        <v>1</v>
      </c>
      <c r="F962" s="55" t="n">
        <v>0</v>
      </c>
      <c r="G962" s="56" t="n">
        <v>43770</v>
      </c>
      <c r="H962" s="56"/>
      <c r="I962" s="53" t="s">
        <v>131</v>
      </c>
    </row>
    <row r="963" customFormat="false" ht="12.8" hidden="false" customHeight="false" outlineLevel="0" collapsed="false">
      <c r="A963" s="25" t="s">
        <v>132</v>
      </c>
      <c r="B963" s="23" t="n">
        <v>593.16</v>
      </c>
      <c r="C963" s="25" t="n">
        <v>1</v>
      </c>
      <c r="D963" s="25" t="n">
        <v>0</v>
      </c>
      <c r="E963" s="25" t="n">
        <v>0</v>
      </c>
      <c r="F963" s="55" t="n">
        <v>0</v>
      </c>
      <c r="G963" s="1" t="n">
        <v>43770</v>
      </c>
      <c r="H963" s="1" t="n">
        <v>43787</v>
      </c>
      <c r="I963" s="25" t="s">
        <v>131</v>
      </c>
    </row>
    <row r="964" customFormat="false" ht="12.8" hidden="false" customHeight="false" outlineLevel="0" collapsed="false">
      <c r="A964" s="25" t="s">
        <v>62</v>
      </c>
      <c r="B964" s="23" t="n">
        <v>6.41</v>
      </c>
      <c r="C964" s="25" t="n">
        <v>1</v>
      </c>
      <c r="D964" s="25" t="n">
        <v>0</v>
      </c>
      <c r="E964" s="25" t="n">
        <v>0</v>
      </c>
      <c r="F964" s="55" t="n">
        <v>0</v>
      </c>
      <c r="G964" s="1" t="n">
        <v>43770</v>
      </c>
      <c r="H964" s="1" t="n">
        <v>43780</v>
      </c>
      <c r="I964" s="25" t="s">
        <v>58</v>
      </c>
    </row>
    <row r="965" customFormat="false" ht="12.8" hidden="false" customHeight="false" outlineLevel="0" collapsed="false">
      <c r="A965" s="49" t="s">
        <v>63</v>
      </c>
      <c r="B965" s="57" t="n">
        <v>75</v>
      </c>
      <c r="C965" s="49" t="n">
        <v>1</v>
      </c>
      <c r="D965" s="49" t="n">
        <v>0</v>
      </c>
      <c r="E965" s="49" t="n">
        <v>0</v>
      </c>
      <c r="F965" s="55" t="n">
        <v>0</v>
      </c>
      <c r="G965" s="58" t="n">
        <v>43770</v>
      </c>
      <c r="H965" s="58" t="n">
        <v>43787</v>
      </c>
      <c r="I965" s="49" t="s">
        <v>64</v>
      </c>
    </row>
    <row r="966" customFormat="false" ht="12.8" hidden="false" customHeight="false" outlineLevel="0" collapsed="false">
      <c r="A966" s="53" t="s">
        <v>75</v>
      </c>
      <c r="B966" s="54" t="n">
        <v>250.59</v>
      </c>
      <c r="C966" s="53" t="n">
        <v>1</v>
      </c>
      <c r="D966" s="53" t="n">
        <v>0</v>
      </c>
      <c r="E966" s="53" t="n">
        <v>0</v>
      </c>
      <c r="F966" s="55" t="n">
        <v>0</v>
      </c>
      <c r="G966" s="56" t="n">
        <v>43770</v>
      </c>
      <c r="H966" s="56" t="n">
        <v>43774</v>
      </c>
      <c r="I966" s="53" t="s">
        <v>76</v>
      </c>
    </row>
    <row r="967" customFormat="false" ht="12.8" hidden="false" customHeight="false" outlineLevel="0" collapsed="false">
      <c r="A967" s="49" t="s">
        <v>75</v>
      </c>
      <c r="B967" s="57" t="n">
        <v>0</v>
      </c>
      <c r="C967" s="49" t="n">
        <v>1</v>
      </c>
      <c r="D967" s="49" t="n">
        <v>0</v>
      </c>
      <c r="E967" s="49" t="n">
        <v>0</v>
      </c>
      <c r="F967" s="55" t="n">
        <v>0</v>
      </c>
      <c r="G967" s="58" t="n">
        <v>43770</v>
      </c>
      <c r="H967" s="58"/>
      <c r="I967" s="49" t="s">
        <v>76</v>
      </c>
    </row>
    <row r="968" customFormat="false" ht="12.8" hidden="false" customHeight="false" outlineLevel="0" collapsed="false">
      <c r="A968" s="18" t="s">
        <v>65</v>
      </c>
      <c r="B968" s="42" t="n">
        <v>2700</v>
      </c>
      <c r="C968" s="18" t="n">
        <v>1</v>
      </c>
      <c r="D968" s="18" t="n">
        <v>0</v>
      </c>
      <c r="E968" s="18" t="n">
        <v>1</v>
      </c>
      <c r="F968" s="55" t="n">
        <v>0</v>
      </c>
      <c r="G968" s="16" t="n">
        <v>43770</v>
      </c>
      <c r="H968" s="16" t="n">
        <v>43616</v>
      </c>
      <c r="I968" s="18" t="s">
        <v>66</v>
      </c>
    </row>
    <row r="969" customFormat="false" ht="12.8" hidden="false" customHeight="false" outlineLevel="0" collapsed="false">
      <c r="A969" s="18" t="s">
        <v>302</v>
      </c>
      <c r="B969" s="42" t="n">
        <v>0</v>
      </c>
      <c r="C969" s="18" t="n">
        <v>0</v>
      </c>
      <c r="D969" s="18" t="n">
        <v>0</v>
      </c>
      <c r="E969" s="18" t="n">
        <v>0</v>
      </c>
      <c r="F969" s="55" t="n">
        <v>1</v>
      </c>
      <c r="G969" s="16" t="n">
        <v>43770</v>
      </c>
      <c r="H969" s="16"/>
      <c r="I969" s="18"/>
    </row>
    <row r="970" customFormat="false" ht="12.8" hidden="false" customHeight="false" outlineLevel="0" collapsed="false">
      <c r="A970" s="59" t="s">
        <v>177</v>
      </c>
      <c r="B970" s="60" t="n">
        <v>188.81</v>
      </c>
      <c r="C970" s="59" t="n">
        <v>1</v>
      </c>
      <c r="D970" s="59" t="n">
        <v>0</v>
      </c>
      <c r="E970" s="59" t="n">
        <v>0</v>
      </c>
      <c r="F970" s="55" t="n">
        <v>0</v>
      </c>
      <c r="G970" s="61" t="n">
        <v>43770</v>
      </c>
      <c r="H970" s="61" t="n">
        <v>43797</v>
      </c>
      <c r="I970" s="59" t="s">
        <v>106</v>
      </c>
    </row>
    <row r="971" customFormat="false" ht="12.8" hidden="false" customHeight="false" outlineLevel="0" collapsed="false">
      <c r="A971" s="59" t="s">
        <v>411</v>
      </c>
      <c r="B971" s="60" t="n">
        <v>200</v>
      </c>
      <c r="C971" s="59" t="n">
        <v>1</v>
      </c>
      <c r="D971" s="59" t="n">
        <v>0</v>
      </c>
      <c r="E971" s="59" t="n">
        <v>0</v>
      </c>
      <c r="F971" s="55" t="n">
        <v>0</v>
      </c>
      <c r="G971" s="61" t="n">
        <v>43770</v>
      </c>
      <c r="H971" s="61" t="n">
        <v>43774</v>
      </c>
      <c r="I971" s="59" t="s">
        <v>60</v>
      </c>
    </row>
    <row r="972" customFormat="false" ht="12.8" hidden="false" customHeight="false" outlineLevel="0" collapsed="false">
      <c r="A972" s="59" t="s">
        <v>59</v>
      </c>
      <c r="B972" s="60" t="n">
        <v>70</v>
      </c>
      <c r="C972" s="59" t="n">
        <v>1</v>
      </c>
      <c r="D972" s="59" t="n">
        <v>0</v>
      </c>
      <c r="E972" s="59" t="n">
        <v>0</v>
      </c>
      <c r="F972" s="55" t="n">
        <v>0</v>
      </c>
      <c r="G972" s="61" t="n">
        <v>43770</v>
      </c>
      <c r="H972" s="61" t="n">
        <v>43774</v>
      </c>
      <c r="I972" s="59" t="s">
        <v>60</v>
      </c>
    </row>
    <row r="973" customFormat="false" ht="12.8" hidden="false" customHeight="false" outlineLevel="0" collapsed="false">
      <c r="A973" s="59" t="s">
        <v>129</v>
      </c>
      <c r="B973" s="60" t="n">
        <v>50</v>
      </c>
      <c r="C973" s="59" t="n">
        <v>1</v>
      </c>
      <c r="D973" s="59" t="n">
        <v>0</v>
      </c>
      <c r="E973" s="59" t="n">
        <v>0</v>
      </c>
      <c r="F973" s="55" t="n">
        <v>0</v>
      </c>
      <c r="G973" s="61" t="n">
        <v>43770</v>
      </c>
      <c r="H973" s="61" t="n">
        <v>43774</v>
      </c>
      <c r="I973" s="59" t="s">
        <v>60</v>
      </c>
    </row>
    <row r="974" customFormat="false" ht="12.8" hidden="false" customHeight="false" outlineLevel="0" collapsed="false">
      <c r="A974" s="59" t="s">
        <v>412</v>
      </c>
      <c r="B974" s="60" t="n">
        <v>40</v>
      </c>
      <c r="C974" s="59" t="n">
        <v>1</v>
      </c>
      <c r="D974" s="59" t="n">
        <v>0</v>
      </c>
      <c r="E974" s="59" t="n">
        <v>0</v>
      </c>
      <c r="F974" s="55" t="n">
        <v>0</v>
      </c>
      <c r="G974" s="61" t="n">
        <v>43770</v>
      </c>
      <c r="H974" s="61" t="n">
        <v>43774</v>
      </c>
      <c r="I974" s="59" t="s">
        <v>60</v>
      </c>
    </row>
    <row r="975" customFormat="false" ht="12.8" hidden="false" customHeight="false" outlineLevel="0" collapsed="false">
      <c r="A975" s="59" t="s">
        <v>35</v>
      </c>
      <c r="B975" s="60" t="n">
        <v>500</v>
      </c>
      <c r="C975" s="59" t="n">
        <v>1</v>
      </c>
      <c r="D975" s="59" t="n">
        <v>0</v>
      </c>
      <c r="E975" s="59" t="n">
        <v>0</v>
      </c>
      <c r="F975" s="55" t="n">
        <v>0</v>
      </c>
      <c r="G975" s="61" t="n">
        <v>43770</v>
      </c>
      <c r="H975" s="61" t="n">
        <v>43774</v>
      </c>
      <c r="I975" s="59" t="s">
        <v>35</v>
      </c>
    </row>
    <row r="976" customFormat="false" ht="12.8" hidden="false" customHeight="false" outlineLevel="0" collapsed="false">
      <c r="A976" s="59" t="s">
        <v>74</v>
      </c>
      <c r="B976" s="60" t="n">
        <v>2.99</v>
      </c>
      <c r="C976" s="59" t="n">
        <v>0</v>
      </c>
      <c r="D976" s="59" t="n">
        <v>1</v>
      </c>
      <c r="E976" s="59" t="n">
        <v>0</v>
      </c>
      <c r="F976" s="55" t="n">
        <v>0</v>
      </c>
      <c r="G976" s="61" t="n">
        <v>43770</v>
      </c>
      <c r="H976" s="61" t="n">
        <v>43770</v>
      </c>
      <c r="I976" s="59" t="s">
        <v>72</v>
      </c>
    </row>
    <row r="977" customFormat="false" ht="12.8" hidden="false" customHeight="false" outlineLevel="0" collapsed="false">
      <c r="A977" s="59" t="s">
        <v>102</v>
      </c>
      <c r="B977" s="60" t="n">
        <v>20</v>
      </c>
      <c r="C977" s="59" t="n">
        <v>0</v>
      </c>
      <c r="D977" s="59" t="n">
        <v>1</v>
      </c>
      <c r="E977" s="59" t="n">
        <v>0</v>
      </c>
      <c r="F977" s="55" t="n">
        <v>0</v>
      </c>
      <c r="G977" s="61" t="n">
        <v>43770</v>
      </c>
      <c r="H977" s="61" t="n">
        <v>43770</v>
      </c>
      <c r="I977" s="59" t="s">
        <v>106</v>
      </c>
    </row>
    <row r="978" customFormat="false" ht="12.8" hidden="false" customHeight="false" outlineLevel="0" collapsed="false">
      <c r="A978" s="59" t="s">
        <v>94</v>
      </c>
      <c r="B978" s="60" t="n">
        <v>5.57</v>
      </c>
      <c r="C978" s="59" t="n">
        <v>0</v>
      </c>
      <c r="D978" s="59" t="n">
        <v>1</v>
      </c>
      <c r="E978" s="59" t="n">
        <v>0</v>
      </c>
      <c r="F978" s="55" t="n">
        <v>0</v>
      </c>
      <c r="G978" s="61" t="n">
        <v>43770</v>
      </c>
      <c r="H978" s="61" t="n">
        <v>43773</v>
      </c>
      <c r="I978" s="59" t="s">
        <v>84</v>
      </c>
    </row>
    <row r="979" customFormat="false" ht="12.8" hidden="false" customHeight="false" outlineLevel="0" collapsed="false">
      <c r="A979" s="59" t="s">
        <v>94</v>
      </c>
      <c r="B979" s="60" t="n">
        <v>5.17</v>
      </c>
      <c r="C979" s="59" t="n">
        <v>0</v>
      </c>
      <c r="D979" s="59" t="n">
        <v>1</v>
      </c>
      <c r="E979" s="59" t="n">
        <v>0</v>
      </c>
      <c r="F979" s="55" t="n">
        <v>0</v>
      </c>
      <c r="G979" s="61" t="n">
        <v>43770</v>
      </c>
      <c r="H979" s="61" t="n">
        <v>43773</v>
      </c>
      <c r="I979" s="59" t="s">
        <v>84</v>
      </c>
    </row>
    <row r="980" customFormat="false" ht="12.8" hidden="false" customHeight="false" outlineLevel="0" collapsed="false">
      <c r="A980" s="59" t="s">
        <v>74</v>
      </c>
      <c r="B980" s="60" t="n">
        <v>2.99</v>
      </c>
      <c r="C980" s="59" t="n">
        <v>0</v>
      </c>
      <c r="D980" s="59" t="n">
        <v>1</v>
      </c>
      <c r="E980" s="59" t="n">
        <v>0</v>
      </c>
      <c r="F980" s="55" t="n">
        <v>0</v>
      </c>
      <c r="G980" s="61" t="n">
        <v>43770</v>
      </c>
      <c r="H980" s="61" t="n">
        <v>43773</v>
      </c>
      <c r="I980" s="59" t="s">
        <v>72</v>
      </c>
    </row>
    <row r="981" customFormat="false" ht="12.8" hidden="false" customHeight="false" outlineLevel="0" collapsed="false">
      <c r="A981" s="59" t="s">
        <v>413</v>
      </c>
      <c r="B981" s="60" t="n">
        <v>28.14</v>
      </c>
      <c r="C981" s="59" t="n">
        <v>0</v>
      </c>
      <c r="D981" s="59" t="n">
        <v>1</v>
      </c>
      <c r="E981" s="59" t="n">
        <v>0</v>
      </c>
      <c r="F981" s="55" t="n">
        <v>0</v>
      </c>
      <c r="G981" s="61" t="n">
        <v>43770</v>
      </c>
      <c r="H981" s="61" t="n">
        <v>43773</v>
      </c>
      <c r="I981" s="59" t="s">
        <v>79</v>
      </c>
    </row>
    <row r="982" customFormat="false" ht="12.8" hidden="false" customHeight="false" outlineLevel="0" collapsed="false">
      <c r="A982" s="59" t="s">
        <v>158</v>
      </c>
      <c r="B982" s="60" t="n">
        <v>12.4</v>
      </c>
      <c r="C982" s="59" t="n">
        <v>0</v>
      </c>
      <c r="D982" s="59" t="n">
        <v>1</v>
      </c>
      <c r="E982" s="59" t="n">
        <v>0</v>
      </c>
      <c r="F982" s="55" t="n">
        <v>0</v>
      </c>
      <c r="G982" s="61" t="n">
        <v>43770</v>
      </c>
      <c r="H982" s="61" t="n">
        <v>43773</v>
      </c>
      <c r="I982" s="59" t="s">
        <v>72</v>
      </c>
    </row>
    <row r="983" customFormat="false" ht="12.8" hidden="false" customHeight="false" outlineLevel="0" collapsed="false">
      <c r="A983" s="59" t="s">
        <v>414</v>
      </c>
      <c r="B983" s="60" t="n">
        <v>55</v>
      </c>
      <c r="C983" s="59" t="n">
        <v>0</v>
      </c>
      <c r="D983" s="59" t="n">
        <v>1</v>
      </c>
      <c r="E983" s="59" t="n">
        <v>0</v>
      </c>
      <c r="F983" s="55" t="n">
        <v>0</v>
      </c>
      <c r="G983" s="61" t="n">
        <v>43770</v>
      </c>
      <c r="H983" s="61" t="n">
        <v>43773</v>
      </c>
      <c r="I983" s="59" t="s">
        <v>81</v>
      </c>
    </row>
    <row r="984" customFormat="false" ht="12.8" hidden="false" customHeight="false" outlineLevel="0" collapsed="false">
      <c r="A984" s="59" t="s">
        <v>415</v>
      </c>
      <c r="B984" s="60" t="n">
        <v>33</v>
      </c>
      <c r="C984" s="59" t="n">
        <v>0</v>
      </c>
      <c r="D984" s="59" t="n">
        <v>1</v>
      </c>
      <c r="E984" s="59" t="n">
        <v>0</v>
      </c>
      <c r="F984" s="55" t="n">
        <v>0</v>
      </c>
      <c r="G984" s="61" t="n">
        <v>43770</v>
      </c>
      <c r="H984" s="61" t="n">
        <v>43773</v>
      </c>
      <c r="I984" s="59" t="s">
        <v>81</v>
      </c>
    </row>
    <row r="985" customFormat="false" ht="12.8" hidden="false" customHeight="false" outlineLevel="0" collapsed="false">
      <c r="A985" s="59" t="s">
        <v>105</v>
      </c>
      <c r="B985" s="60" t="n">
        <v>81.1</v>
      </c>
      <c r="C985" s="59" t="n">
        <v>0</v>
      </c>
      <c r="D985" s="59" t="n">
        <v>1</v>
      </c>
      <c r="E985" s="59" t="n">
        <v>0</v>
      </c>
      <c r="F985" s="55" t="n">
        <v>0</v>
      </c>
      <c r="G985" s="61" t="n">
        <v>43770</v>
      </c>
      <c r="H985" s="61" t="n">
        <v>43773</v>
      </c>
      <c r="I985" s="59" t="s">
        <v>106</v>
      </c>
    </row>
    <row r="986" customFormat="false" ht="12.8" hidden="false" customHeight="false" outlineLevel="0" collapsed="false">
      <c r="A986" s="59" t="s">
        <v>112</v>
      </c>
      <c r="B986" s="60" t="n">
        <v>4.5</v>
      </c>
      <c r="C986" s="59" t="n">
        <v>0</v>
      </c>
      <c r="D986" s="59" t="n">
        <v>1</v>
      </c>
      <c r="E986" s="59" t="n">
        <v>0</v>
      </c>
      <c r="F986" s="55" t="n">
        <v>0</v>
      </c>
      <c r="G986" s="61" t="n">
        <v>43770</v>
      </c>
      <c r="H986" s="61" t="n">
        <v>43773</v>
      </c>
      <c r="I986" s="59" t="s">
        <v>72</v>
      </c>
    </row>
    <row r="987" customFormat="false" ht="12.8" hidden="false" customHeight="false" outlineLevel="0" collapsed="false">
      <c r="A987" s="59" t="s">
        <v>416</v>
      </c>
      <c r="B987" s="60" t="n">
        <v>33.97</v>
      </c>
      <c r="C987" s="59" t="n">
        <v>0</v>
      </c>
      <c r="D987" s="59" t="n">
        <v>1</v>
      </c>
      <c r="E987" s="59" t="n">
        <v>0</v>
      </c>
      <c r="F987" s="55" t="n">
        <v>0</v>
      </c>
      <c r="G987" s="61" t="n">
        <v>43770</v>
      </c>
      <c r="H987" s="61" t="n">
        <v>43773</v>
      </c>
      <c r="I987" s="59" t="s">
        <v>81</v>
      </c>
    </row>
    <row r="988" customFormat="false" ht="12.8" hidden="false" customHeight="false" outlineLevel="0" collapsed="false">
      <c r="A988" s="59" t="s">
        <v>301</v>
      </c>
      <c r="B988" s="60" t="n">
        <v>13.61</v>
      </c>
      <c r="C988" s="59" t="n">
        <v>0</v>
      </c>
      <c r="D988" s="59" t="n">
        <v>1</v>
      </c>
      <c r="E988" s="59" t="n">
        <v>0</v>
      </c>
      <c r="F988" s="55" t="n">
        <v>0</v>
      </c>
      <c r="G988" s="61" t="n">
        <v>43770</v>
      </c>
      <c r="H988" s="61" t="n">
        <v>43773</v>
      </c>
      <c r="I988" s="59" t="s">
        <v>73</v>
      </c>
    </row>
    <row r="989" customFormat="false" ht="12.8" hidden="false" customHeight="false" outlineLevel="0" collapsed="false">
      <c r="A989" s="59" t="s">
        <v>301</v>
      </c>
      <c r="B989" s="60" t="n">
        <v>27</v>
      </c>
      <c r="C989" s="59" t="n">
        <v>0</v>
      </c>
      <c r="D989" s="59" t="n">
        <v>1</v>
      </c>
      <c r="E989" s="59" t="n">
        <v>0</v>
      </c>
      <c r="F989" s="55" t="n">
        <v>0</v>
      </c>
      <c r="G989" s="61" t="n">
        <v>43770</v>
      </c>
      <c r="H989" s="61" t="n">
        <v>43773</v>
      </c>
      <c r="I989" s="59" t="s">
        <v>73</v>
      </c>
    </row>
    <row r="990" customFormat="false" ht="12.8" hidden="false" customHeight="false" outlineLevel="0" collapsed="false">
      <c r="A990" s="59" t="s">
        <v>417</v>
      </c>
      <c r="B990" s="60" t="n">
        <v>35</v>
      </c>
      <c r="C990" s="59" t="n">
        <v>0</v>
      </c>
      <c r="D990" s="59" t="n">
        <v>1</v>
      </c>
      <c r="E990" s="59" t="n">
        <v>0</v>
      </c>
      <c r="F990" s="55" t="n">
        <v>0</v>
      </c>
      <c r="G990" s="61" t="n">
        <v>43770</v>
      </c>
      <c r="H990" s="61" t="n">
        <v>43773</v>
      </c>
      <c r="I990" s="59" t="s">
        <v>81</v>
      </c>
    </row>
    <row r="991" customFormat="false" ht="12.8" hidden="false" customHeight="false" outlineLevel="0" collapsed="false">
      <c r="A991" s="59" t="s">
        <v>68</v>
      </c>
      <c r="B991" s="60" t="n">
        <v>20</v>
      </c>
      <c r="C991" s="59" t="n">
        <v>0</v>
      </c>
      <c r="D991" s="59" t="n">
        <v>1</v>
      </c>
      <c r="E991" s="59" t="n">
        <v>0</v>
      </c>
      <c r="F991" s="55" t="n">
        <v>0</v>
      </c>
      <c r="G991" s="61" t="n">
        <v>43770</v>
      </c>
      <c r="H991" s="61" t="n">
        <v>43774</v>
      </c>
      <c r="I991" s="59" t="s">
        <v>68</v>
      </c>
    </row>
    <row r="992" customFormat="false" ht="12.8" hidden="false" customHeight="false" outlineLevel="0" collapsed="false">
      <c r="A992" s="59" t="s">
        <v>264</v>
      </c>
      <c r="B992" s="60" t="n">
        <v>75</v>
      </c>
      <c r="C992" s="59" t="n">
        <v>0</v>
      </c>
      <c r="D992" s="59" t="n">
        <v>1</v>
      </c>
      <c r="E992" s="59" t="n">
        <v>0</v>
      </c>
      <c r="F992" s="55" t="n">
        <v>0</v>
      </c>
      <c r="G992" s="61" t="n">
        <v>43770</v>
      </c>
      <c r="H992" s="61" t="n">
        <v>43775</v>
      </c>
      <c r="I992" s="59" t="s">
        <v>325</v>
      </c>
    </row>
    <row r="993" customFormat="false" ht="12.8" hidden="false" customHeight="false" outlineLevel="0" collapsed="false">
      <c r="A993" s="59" t="s">
        <v>264</v>
      </c>
      <c r="B993" s="60" t="n">
        <v>55</v>
      </c>
      <c r="C993" s="59" t="n">
        <v>0</v>
      </c>
      <c r="D993" s="59" t="n">
        <v>1</v>
      </c>
      <c r="E993" s="59" t="n">
        <v>0</v>
      </c>
      <c r="F993" s="55" t="n">
        <v>0</v>
      </c>
      <c r="G993" s="61" t="n">
        <v>43770</v>
      </c>
      <c r="H993" s="61" t="n">
        <v>43776</v>
      </c>
      <c r="I993" s="59" t="s">
        <v>325</v>
      </c>
    </row>
    <row r="994" customFormat="false" ht="12.8" hidden="false" customHeight="false" outlineLevel="0" collapsed="false">
      <c r="A994" s="59" t="s">
        <v>84</v>
      </c>
      <c r="B994" s="60" t="n">
        <v>17.9</v>
      </c>
      <c r="C994" s="59" t="n">
        <v>0</v>
      </c>
      <c r="D994" s="59" t="n">
        <v>1</v>
      </c>
      <c r="E994" s="59" t="n">
        <v>0</v>
      </c>
      <c r="F994" s="55" t="n">
        <v>0</v>
      </c>
      <c r="G994" s="61" t="n">
        <v>43770</v>
      </c>
      <c r="H994" s="61" t="n">
        <v>43775</v>
      </c>
      <c r="I994" s="59" t="s">
        <v>84</v>
      </c>
    </row>
    <row r="995" customFormat="false" ht="12.8" hidden="false" customHeight="false" outlineLevel="0" collapsed="false">
      <c r="A995" s="59" t="s">
        <v>84</v>
      </c>
      <c r="B995" s="60" t="n">
        <v>13.65</v>
      </c>
      <c r="C995" s="59" t="n">
        <v>0</v>
      </c>
      <c r="D995" s="59" t="n">
        <v>1</v>
      </c>
      <c r="E995" s="59" t="n">
        <v>0</v>
      </c>
      <c r="F995" s="55" t="n">
        <v>0</v>
      </c>
      <c r="G995" s="61" t="n">
        <v>43770</v>
      </c>
      <c r="H995" s="61" t="n">
        <v>43775</v>
      </c>
      <c r="I995" s="59" t="s">
        <v>84</v>
      </c>
    </row>
    <row r="996" customFormat="false" ht="12.8" hidden="false" customHeight="false" outlineLevel="0" collapsed="false">
      <c r="A996" s="59" t="s">
        <v>74</v>
      </c>
      <c r="B996" s="60" t="n">
        <v>2.99</v>
      </c>
      <c r="C996" s="59" t="n">
        <v>0</v>
      </c>
      <c r="D996" s="59" t="n">
        <v>1</v>
      </c>
      <c r="E996" s="59" t="n">
        <v>0</v>
      </c>
      <c r="F996" s="55" t="n">
        <v>0</v>
      </c>
      <c r="G996" s="61" t="n">
        <v>43770</v>
      </c>
      <c r="H996" s="61" t="n">
        <v>43775</v>
      </c>
      <c r="I996" s="59" t="s">
        <v>72</v>
      </c>
    </row>
    <row r="997" customFormat="false" ht="12.8" hidden="false" customHeight="false" outlineLevel="0" collapsed="false">
      <c r="A997" s="59" t="s">
        <v>82</v>
      </c>
      <c r="B997" s="60" t="n">
        <v>5</v>
      </c>
      <c r="C997" s="59" t="n">
        <v>0</v>
      </c>
      <c r="D997" s="59" t="n">
        <v>1</v>
      </c>
      <c r="E997" s="59" t="n">
        <v>0</v>
      </c>
      <c r="F997" s="55" t="n">
        <v>0</v>
      </c>
      <c r="G997" s="61" t="n">
        <v>43770</v>
      </c>
      <c r="H997" s="61" t="n">
        <v>43775</v>
      </c>
      <c r="I997" s="59" t="s">
        <v>72</v>
      </c>
    </row>
    <row r="998" customFormat="false" ht="12.8" hidden="false" customHeight="false" outlineLevel="0" collapsed="false">
      <c r="A998" s="59" t="s">
        <v>84</v>
      </c>
      <c r="B998" s="60" t="n">
        <v>18.44</v>
      </c>
      <c r="C998" s="59" t="n">
        <v>0</v>
      </c>
      <c r="D998" s="59" t="n">
        <v>1</v>
      </c>
      <c r="E998" s="59" t="n">
        <v>0</v>
      </c>
      <c r="F998" s="55" t="n">
        <v>0</v>
      </c>
      <c r="G998" s="61" t="n">
        <v>43770</v>
      </c>
      <c r="H998" s="61" t="n">
        <v>43776</v>
      </c>
      <c r="I998" s="59" t="s">
        <v>84</v>
      </c>
    </row>
    <row r="999" customFormat="false" ht="12.8" hidden="false" customHeight="false" outlineLevel="0" collapsed="false">
      <c r="A999" s="59" t="s">
        <v>74</v>
      </c>
      <c r="B999" s="60" t="n">
        <v>2.5</v>
      </c>
      <c r="C999" s="59" t="n">
        <v>0</v>
      </c>
      <c r="D999" s="59" t="n">
        <v>1</v>
      </c>
      <c r="E999" s="59" t="n">
        <v>0</v>
      </c>
      <c r="F999" s="55" t="n">
        <v>0</v>
      </c>
      <c r="G999" s="61" t="n">
        <v>43770</v>
      </c>
      <c r="H999" s="61" t="n">
        <v>43777</v>
      </c>
      <c r="I999" s="59" t="s">
        <v>72</v>
      </c>
    </row>
    <row r="1000" customFormat="false" ht="12.8" hidden="false" customHeight="false" outlineLevel="0" collapsed="false">
      <c r="A1000" s="59" t="s">
        <v>418</v>
      </c>
      <c r="B1000" s="60" t="n">
        <v>19.65</v>
      </c>
      <c r="C1000" s="59" t="n">
        <v>0</v>
      </c>
      <c r="D1000" s="59" t="n">
        <v>1</v>
      </c>
      <c r="E1000" s="59" t="n">
        <v>0</v>
      </c>
      <c r="F1000" s="55" t="n">
        <v>0</v>
      </c>
      <c r="G1000" s="61" t="n">
        <v>43770</v>
      </c>
      <c r="H1000" s="61" t="n">
        <v>43777</v>
      </c>
      <c r="I1000" s="59" t="s">
        <v>81</v>
      </c>
    </row>
    <row r="1001" customFormat="false" ht="12.8" hidden="false" customHeight="false" outlineLevel="0" collapsed="false">
      <c r="A1001" s="59" t="s">
        <v>419</v>
      </c>
      <c r="B1001" s="60" t="n">
        <v>40</v>
      </c>
      <c r="C1001" s="59" t="n">
        <v>0</v>
      </c>
      <c r="D1001" s="59" t="n">
        <v>1</v>
      </c>
      <c r="E1001" s="59" t="n">
        <v>0</v>
      </c>
      <c r="F1001" s="55" t="n">
        <v>0</v>
      </c>
      <c r="G1001" s="61" t="n">
        <v>43770</v>
      </c>
      <c r="H1001" s="61" t="n">
        <v>43777</v>
      </c>
      <c r="I1001" s="59" t="s">
        <v>106</v>
      </c>
    </row>
    <row r="1002" customFormat="false" ht="12.8" hidden="false" customHeight="false" outlineLevel="0" collapsed="false">
      <c r="A1002" s="59" t="s">
        <v>420</v>
      </c>
      <c r="B1002" s="60" t="n">
        <v>49</v>
      </c>
      <c r="C1002" s="59" t="n">
        <v>0</v>
      </c>
      <c r="D1002" s="59" t="n">
        <v>1</v>
      </c>
      <c r="E1002" s="59" t="n">
        <v>0</v>
      </c>
      <c r="F1002" s="55" t="n">
        <v>0</v>
      </c>
      <c r="G1002" s="61" t="n">
        <v>43770</v>
      </c>
      <c r="H1002" s="61" t="n">
        <v>43777</v>
      </c>
      <c r="I1002" s="59" t="s">
        <v>106</v>
      </c>
    </row>
    <row r="1003" customFormat="false" ht="12.8" hidden="false" customHeight="false" outlineLevel="0" collapsed="false">
      <c r="A1003" s="59" t="s">
        <v>421</v>
      </c>
      <c r="B1003" s="60" t="n">
        <v>40</v>
      </c>
      <c r="C1003" s="59" t="n">
        <v>0</v>
      </c>
      <c r="D1003" s="59" t="n">
        <v>1</v>
      </c>
      <c r="E1003" s="59" t="n">
        <v>0</v>
      </c>
      <c r="F1003" s="55" t="n">
        <v>0</v>
      </c>
      <c r="G1003" s="61" t="n">
        <v>43770</v>
      </c>
      <c r="H1003" s="61" t="n">
        <v>43777</v>
      </c>
      <c r="I1003" s="59" t="s">
        <v>81</v>
      </c>
    </row>
    <row r="1004" customFormat="false" ht="12.8" hidden="false" customHeight="false" outlineLevel="0" collapsed="false">
      <c r="A1004" s="59" t="s">
        <v>422</v>
      </c>
      <c r="B1004" s="60" t="n">
        <v>22.6</v>
      </c>
      <c r="C1004" s="59" t="n">
        <v>0</v>
      </c>
      <c r="D1004" s="59" t="n">
        <v>1</v>
      </c>
      <c r="E1004" s="59" t="n">
        <v>0</v>
      </c>
      <c r="F1004" s="55" t="n">
        <v>0</v>
      </c>
      <c r="G1004" s="61" t="n">
        <v>43770</v>
      </c>
      <c r="H1004" s="61" t="n">
        <v>43778</v>
      </c>
      <c r="I1004" s="59" t="s">
        <v>81</v>
      </c>
    </row>
    <row r="1005" customFormat="false" ht="12.8" hidden="false" customHeight="false" outlineLevel="0" collapsed="false">
      <c r="A1005" s="59" t="s">
        <v>423</v>
      </c>
      <c r="B1005" s="60" t="n">
        <v>49.99</v>
      </c>
      <c r="C1005" s="59" t="n">
        <v>0</v>
      </c>
      <c r="D1005" s="59" t="n">
        <v>1</v>
      </c>
      <c r="E1005" s="59" t="n">
        <v>0</v>
      </c>
      <c r="F1005" s="55" t="n">
        <v>0</v>
      </c>
      <c r="G1005" s="61" t="n">
        <v>43770</v>
      </c>
      <c r="H1005" s="61" t="n">
        <v>43778</v>
      </c>
      <c r="I1005" s="59" t="s">
        <v>180</v>
      </c>
    </row>
    <row r="1006" customFormat="false" ht="12.8" hidden="false" customHeight="false" outlineLevel="0" collapsed="false">
      <c r="A1006" s="59" t="s">
        <v>417</v>
      </c>
      <c r="B1006" s="60" t="n">
        <v>14.96</v>
      </c>
      <c r="C1006" s="59" t="n">
        <v>0</v>
      </c>
      <c r="D1006" s="59" t="n">
        <v>1</v>
      </c>
      <c r="E1006" s="59" t="n">
        <v>0</v>
      </c>
      <c r="F1006" s="55" t="n">
        <v>0</v>
      </c>
      <c r="G1006" s="61" t="n">
        <v>43770</v>
      </c>
      <c r="H1006" s="61" t="n">
        <v>43778</v>
      </c>
      <c r="I1006" s="59" t="s">
        <v>81</v>
      </c>
    </row>
    <row r="1007" customFormat="false" ht="12.8" hidden="false" customHeight="false" outlineLevel="0" collapsed="false">
      <c r="A1007" s="59" t="s">
        <v>424</v>
      </c>
      <c r="B1007" s="60" t="n">
        <v>20</v>
      </c>
      <c r="C1007" s="59" t="n">
        <v>0</v>
      </c>
      <c r="D1007" s="59" t="n">
        <v>1</v>
      </c>
      <c r="E1007" s="59" t="n">
        <v>0</v>
      </c>
      <c r="F1007" s="55" t="n">
        <v>0</v>
      </c>
      <c r="G1007" s="61" t="n">
        <v>43770</v>
      </c>
      <c r="H1007" s="61" t="n">
        <v>43778</v>
      </c>
      <c r="I1007" s="59" t="s">
        <v>81</v>
      </c>
    </row>
    <row r="1008" customFormat="false" ht="12.8" hidden="false" customHeight="false" outlineLevel="0" collapsed="false">
      <c r="A1008" s="59" t="s">
        <v>425</v>
      </c>
      <c r="B1008" s="60" t="n">
        <v>16</v>
      </c>
      <c r="C1008" s="59" t="n">
        <v>0</v>
      </c>
      <c r="D1008" s="59" t="n">
        <v>1</v>
      </c>
      <c r="E1008" s="59" t="n">
        <v>0</v>
      </c>
      <c r="F1008" s="55" t="n">
        <v>0</v>
      </c>
      <c r="G1008" s="61" t="n">
        <v>43770</v>
      </c>
      <c r="H1008" s="61" t="n">
        <v>43780</v>
      </c>
      <c r="I1008" s="59" t="s">
        <v>81</v>
      </c>
    </row>
    <row r="1009" customFormat="false" ht="12.8" hidden="false" customHeight="false" outlineLevel="0" collapsed="false">
      <c r="A1009" s="59" t="s">
        <v>426</v>
      </c>
      <c r="B1009" s="60" t="n">
        <v>200</v>
      </c>
      <c r="C1009" s="59" t="n">
        <v>0</v>
      </c>
      <c r="D1009" s="59" t="n">
        <v>1</v>
      </c>
      <c r="E1009" s="59" t="n">
        <v>0</v>
      </c>
      <c r="F1009" s="55" t="n">
        <v>0</v>
      </c>
      <c r="G1009" s="61" t="n">
        <v>43770</v>
      </c>
      <c r="H1009" s="61" t="n">
        <v>43780</v>
      </c>
      <c r="I1009" s="59" t="s">
        <v>106</v>
      </c>
    </row>
    <row r="1010" customFormat="false" ht="12.8" hidden="false" customHeight="false" outlineLevel="0" collapsed="false">
      <c r="A1010" s="59" t="s">
        <v>105</v>
      </c>
      <c r="B1010" s="60" t="n">
        <v>180</v>
      </c>
      <c r="C1010" s="59" t="n">
        <v>0</v>
      </c>
      <c r="D1010" s="59" t="n">
        <v>1</v>
      </c>
      <c r="E1010" s="59" t="n">
        <v>0</v>
      </c>
      <c r="F1010" s="55" t="n">
        <v>0</v>
      </c>
      <c r="G1010" s="61" t="n">
        <v>43770</v>
      </c>
      <c r="H1010" s="61" t="n">
        <v>43778</v>
      </c>
      <c r="I1010" s="59" t="s">
        <v>106</v>
      </c>
    </row>
    <row r="1011" customFormat="false" ht="12.8" hidden="false" customHeight="false" outlineLevel="0" collapsed="false">
      <c r="A1011" s="59" t="s">
        <v>84</v>
      </c>
      <c r="B1011" s="60" t="n">
        <v>16.83</v>
      </c>
      <c r="C1011" s="59" t="n">
        <v>0</v>
      </c>
      <c r="D1011" s="59" t="n">
        <v>1</v>
      </c>
      <c r="E1011" s="59" t="n">
        <v>0</v>
      </c>
      <c r="F1011" s="55" t="n">
        <v>0</v>
      </c>
      <c r="G1011" s="61" t="n">
        <v>43770</v>
      </c>
      <c r="H1011" s="61" t="n">
        <v>43779</v>
      </c>
      <c r="I1011" s="59" t="s">
        <v>84</v>
      </c>
    </row>
    <row r="1012" customFormat="false" ht="12.8" hidden="false" customHeight="false" outlineLevel="0" collapsed="false">
      <c r="A1012" s="59" t="s">
        <v>84</v>
      </c>
      <c r="B1012" s="60" t="n">
        <v>13.47</v>
      </c>
      <c r="C1012" s="59" t="n">
        <v>0</v>
      </c>
      <c r="D1012" s="59" t="n">
        <v>1</v>
      </c>
      <c r="E1012" s="59" t="n">
        <v>0</v>
      </c>
      <c r="F1012" s="55" t="n">
        <v>0</v>
      </c>
      <c r="G1012" s="61" t="n">
        <v>43770</v>
      </c>
      <c r="H1012" s="61" t="n">
        <v>43779</v>
      </c>
      <c r="I1012" s="59" t="s">
        <v>84</v>
      </c>
    </row>
    <row r="1013" customFormat="false" ht="12.8" hidden="false" customHeight="false" outlineLevel="0" collapsed="false">
      <c r="A1013" s="59" t="s">
        <v>79</v>
      </c>
      <c r="B1013" s="60" t="n">
        <v>164.86</v>
      </c>
      <c r="C1013" s="59" t="n">
        <v>0</v>
      </c>
      <c r="D1013" s="59" t="n">
        <v>1</v>
      </c>
      <c r="E1013" s="59" t="n">
        <v>0</v>
      </c>
      <c r="F1013" s="55" t="n">
        <v>0</v>
      </c>
      <c r="G1013" s="61" t="n">
        <v>43770</v>
      </c>
      <c r="H1013" s="61" t="n">
        <v>43779</v>
      </c>
      <c r="I1013" s="59" t="s">
        <v>79</v>
      </c>
    </row>
    <row r="1014" customFormat="false" ht="12.8" hidden="false" customHeight="false" outlineLevel="0" collapsed="false">
      <c r="A1014" s="59" t="s">
        <v>427</v>
      </c>
      <c r="B1014" s="60" t="n">
        <v>16.11</v>
      </c>
      <c r="C1014" s="59" t="n">
        <v>0</v>
      </c>
      <c r="D1014" s="59" t="n">
        <v>1</v>
      </c>
      <c r="E1014" s="59" t="n">
        <v>0</v>
      </c>
      <c r="F1014" s="55" t="n">
        <v>0</v>
      </c>
      <c r="G1014" s="61" t="n">
        <v>43770</v>
      </c>
      <c r="H1014" s="61" t="n">
        <v>43781</v>
      </c>
      <c r="I1014" s="59" t="s">
        <v>72</v>
      </c>
    </row>
    <row r="1015" customFormat="false" ht="12.8" hidden="false" customHeight="false" outlineLevel="0" collapsed="false">
      <c r="A1015" s="59" t="s">
        <v>199</v>
      </c>
      <c r="B1015" s="60" t="n">
        <v>28.4</v>
      </c>
      <c r="C1015" s="59" t="n">
        <v>0</v>
      </c>
      <c r="D1015" s="59" t="n">
        <v>1</v>
      </c>
      <c r="E1015" s="59" t="n">
        <v>0</v>
      </c>
      <c r="F1015" s="55" t="n">
        <v>0</v>
      </c>
      <c r="G1015" s="61" t="n">
        <v>43770</v>
      </c>
      <c r="H1015" s="61" t="n">
        <v>43781</v>
      </c>
      <c r="I1015" s="59" t="s">
        <v>116</v>
      </c>
    </row>
    <row r="1016" customFormat="false" ht="12.8" hidden="false" customHeight="false" outlineLevel="0" collapsed="false">
      <c r="A1016" s="59" t="s">
        <v>260</v>
      </c>
      <c r="B1016" s="60" t="n">
        <v>79.57</v>
      </c>
      <c r="C1016" s="59" t="n">
        <v>0</v>
      </c>
      <c r="D1016" s="59" t="n">
        <v>1</v>
      </c>
      <c r="E1016" s="59" t="n">
        <v>0</v>
      </c>
      <c r="F1016" s="55" t="n">
        <v>0</v>
      </c>
      <c r="G1016" s="61" t="n">
        <v>43770</v>
      </c>
      <c r="H1016" s="61" t="n">
        <v>43782</v>
      </c>
      <c r="I1016" s="59" t="s">
        <v>79</v>
      </c>
    </row>
    <row r="1017" customFormat="false" ht="12.8" hidden="false" customHeight="false" outlineLevel="0" collapsed="false">
      <c r="A1017" s="59" t="s">
        <v>357</v>
      </c>
      <c r="B1017" s="60" t="n">
        <v>15</v>
      </c>
      <c r="C1017" s="59" t="n">
        <v>0</v>
      </c>
      <c r="D1017" s="59" t="n">
        <v>1</v>
      </c>
      <c r="E1017" s="59" t="n">
        <v>0</v>
      </c>
      <c r="F1017" s="55" t="n">
        <v>0</v>
      </c>
      <c r="G1017" s="61" t="n">
        <v>43770</v>
      </c>
      <c r="H1017" s="61" t="n">
        <v>43783</v>
      </c>
      <c r="I1017" s="59" t="s">
        <v>72</v>
      </c>
    </row>
    <row r="1018" customFormat="false" ht="12.8" hidden="false" customHeight="false" outlineLevel="0" collapsed="false">
      <c r="A1018" s="59" t="s">
        <v>277</v>
      </c>
      <c r="B1018" s="60" t="n">
        <v>70</v>
      </c>
      <c r="C1018" s="59" t="n">
        <v>0</v>
      </c>
      <c r="D1018" s="59" t="n">
        <v>1</v>
      </c>
      <c r="E1018" s="59" t="n">
        <v>0</v>
      </c>
      <c r="F1018" s="55" t="n">
        <v>0</v>
      </c>
      <c r="G1018" s="61" t="n">
        <v>43770</v>
      </c>
      <c r="H1018" s="61" t="n">
        <v>43786</v>
      </c>
      <c r="I1018" s="59" t="s">
        <v>85</v>
      </c>
    </row>
    <row r="1019" customFormat="false" ht="12.8" hidden="false" customHeight="false" outlineLevel="0" collapsed="false">
      <c r="A1019" s="59" t="s">
        <v>68</v>
      </c>
      <c r="B1019" s="60" t="n">
        <v>20</v>
      </c>
      <c r="C1019" s="59" t="n">
        <v>0</v>
      </c>
      <c r="D1019" s="59" t="n">
        <v>1</v>
      </c>
      <c r="E1019" s="59" t="n">
        <v>0</v>
      </c>
      <c r="F1019" s="55" t="n">
        <v>0</v>
      </c>
      <c r="G1019" s="61" t="n">
        <v>43770</v>
      </c>
      <c r="H1019" s="61" t="n">
        <v>43786</v>
      </c>
      <c r="I1019" s="59" t="s">
        <v>68</v>
      </c>
    </row>
    <row r="1020" customFormat="false" ht="12.8" hidden="false" customHeight="false" outlineLevel="0" collapsed="false">
      <c r="A1020" s="59" t="s">
        <v>136</v>
      </c>
      <c r="B1020" s="60" t="n">
        <v>10</v>
      </c>
      <c r="C1020" s="59" t="n">
        <v>0</v>
      </c>
      <c r="D1020" s="59" t="n">
        <v>1</v>
      </c>
      <c r="E1020" s="59" t="n">
        <v>0</v>
      </c>
      <c r="F1020" s="55" t="n">
        <v>0</v>
      </c>
      <c r="G1020" s="61" t="n">
        <v>43770</v>
      </c>
      <c r="H1020" s="61" t="n">
        <v>43786</v>
      </c>
      <c r="I1020" s="59" t="s">
        <v>136</v>
      </c>
    </row>
    <row r="1021" customFormat="false" ht="12.8" hidden="false" customHeight="false" outlineLevel="0" collapsed="false">
      <c r="A1021" s="59" t="s">
        <v>201</v>
      </c>
      <c r="B1021" s="60" t="n">
        <v>24</v>
      </c>
      <c r="C1021" s="59" t="n">
        <v>0</v>
      </c>
      <c r="D1021" s="59" t="n">
        <v>1</v>
      </c>
      <c r="E1021" s="59" t="n">
        <v>0</v>
      </c>
      <c r="F1021" s="55" t="n">
        <v>0</v>
      </c>
      <c r="G1021" s="61" t="n">
        <v>43770</v>
      </c>
      <c r="H1021" s="61" t="n">
        <v>43786</v>
      </c>
      <c r="I1021" s="59" t="s">
        <v>72</v>
      </c>
    </row>
    <row r="1022" customFormat="false" ht="12.8" hidden="false" customHeight="false" outlineLevel="0" collapsed="false">
      <c r="A1022" s="59" t="s">
        <v>97</v>
      </c>
      <c r="B1022" s="60" t="n">
        <v>23.58</v>
      </c>
      <c r="C1022" s="59" t="n">
        <v>0</v>
      </c>
      <c r="D1022" s="59" t="n">
        <v>1</v>
      </c>
      <c r="E1022" s="59" t="n">
        <v>0</v>
      </c>
      <c r="F1022" s="55" t="n">
        <v>0</v>
      </c>
      <c r="G1022" s="61" t="n">
        <v>43770</v>
      </c>
      <c r="H1022" s="61" t="n">
        <v>43785</v>
      </c>
      <c r="I1022" s="59" t="s">
        <v>72</v>
      </c>
    </row>
    <row r="1023" customFormat="false" ht="12.8" hidden="false" customHeight="false" outlineLevel="0" collapsed="false">
      <c r="A1023" s="59" t="s">
        <v>428</v>
      </c>
      <c r="B1023" s="60" t="n">
        <v>40</v>
      </c>
      <c r="C1023" s="59" t="n">
        <v>0</v>
      </c>
      <c r="D1023" s="59" t="n">
        <v>1</v>
      </c>
      <c r="E1023" s="59" t="n">
        <v>0</v>
      </c>
      <c r="F1023" s="55" t="n">
        <v>0</v>
      </c>
      <c r="G1023" s="61" t="n">
        <v>43770</v>
      </c>
      <c r="H1023" s="61" t="n">
        <v>43785</v>
      </c>
      <c r="I1023" s="59" t="s">
        <v>106</v>
      </c>
    </row>
    <row r="1024" customFormat="false" ht="12.8" hidden="false" customHeight="false" outlineLevel="0" collapsed="false">
      <c r="A1024" s="59" t="s">
        <v>240</v>
      </c>
      <c r="B1024" s="60" t="n">
        <v>12</v>
      </c>
      <c r="C1024" s="59" t="n">
        <v>0</v>
      </c>
      <c r="D1024" s="59" t="n">
        <v>1</v>
      </c>
      <c r="E1024" s="59" t="n">
        <v>0</v>
      </c>
      <c r="F1024" s="55" t="n">
        <v>0</v>
      </c>
      <c r="G1024" s="61" t="n">
        <v>43770</v>
      </c>
      <c r="H1024" s="61" t="n">
        <v>43786</v>
      </c>
      <c r="I1024" s="59" t="s">
        <v>72</v>
      </c>
    </row>
    <row r="1025" customFormat="false" ht="12.8" hidden="false" customHeight="false" outlineLevel="0" collapsed="false">
      <c r="A1025" s="59" t="s">
        <v>429</v>
      </c>
      <c r="B1025" s="60" t="n">
        <v>16</v>
      </c>
      <c r="C1025" s="59" t="n">
        <v>0</v>
      </c>
      <c r="D1025" s="59" t="n">
        <v>1</v>
      </c>
      <c r="E1025" s="59" t="n">
        <v>0</v>
      </c>
      <c r="F1025" s="55" t="n">
        <v>0</v>
      </c>
      <c r="G1025" s="61" t="n">
        <v>43770</v>
      </c>
      <c r="H1025" s="61" t="n">
        <v>43786</v>
      </c>
      <c r="I1025" s="59" t="s">
        <v>73</v>
      </c>
    </row>
    <row r="1026" customFormat="false" ht="12.8" hidden="false" customHeight="false" outlineLevel="0" collapsed="false">
      <c r="A1026" s="59" t="s">
        <v>100</v>
      </c>
      <c r="B1026" s="60" t="n">
        <v>18.9</v>
      </c>
      <c r="C1026" s="59" t="n">
        <v>0</v>
      </c>
      <c r="D1026" s="59" t="n">
        <v>1</v>
      </c>
      <c r="E1026" s="59" t="n">
        <v>0</v>
      </c>
      <c r="F1026" s="55" t="n">
        <v>0</v>
      </c>
      <c r="G1026" s="61" t="n">
        <v>43770</v>
      </c>
      <c r="H1026" s="61" t="n">
        <v>43787</v>
      </c>
      <c r="I1026" s="59" t="s">
        <v>73</v>
      </c>
    </row>
    <row r="1027" customFormat="false" ht="12.8" hidden="false" customHeight="false" outlineLevel="0" collapsed="false">
      <c r="A1027" s="59" t="s">
        <v>430</v>
      </c>
      <c r="B1027" s="60" t="n">
        <v>23.65</v>
      </c>
      <c r="C1027" s="59" t="n">
        <v>0</v>
      </c>
      <c r="D1027" s="59" t="n">
        <v>1</v>
      </c>
      <c r="E1027" s="59" t="n">
        <v>0</v>
      </c>
      <c r="F1027" s="55" t="n">
        <v>0</v>
      </c>
      <c r="G1027" s="61" t="n">
        <v>43770</v>
      </c>
      <c r="H1027" s="61" t="n">
        <v>43785</v>
      </c>
      <c r="I1027" s="59" t="s">
        <v>72</v>
      </c>
    </row>
    <row r="1028" customFormat="false" ht="12.8" hidden="false" customHeight="false" outlineLevel="0" collapsed="false">
      <c r="A1028" s="59" t="s">
        <v>431</v>
      </c>
      <c r="B1028" s="60" t="n">
        <v>34</v>
      </c>
      <c r="C1028" s="59" t="n">
        <v>0</v>
      </c>
      <c r="D1028" s="59" t="n">
        <v>1</v>
      </c>
      <c r="E1028" s="59" t="n">
        <v>0</v>
      </c>
      <c r="F1028" s="55" t="n">
        <v>0</v>
      </c>
      <c r="G1028" s="61" t="n">
        <v>43770</v>
      </c>
      <c r="H1028" s="61" t="n">
        <v>43787</v>
      </c>
      <c r="I1028" s="59" t="s">
        <v>81</v>
      </c>
    </row>
    <row r="1029" customFormat="false" ht="12.8" hidden="false" customHeight="false" outlineLevel="0" collapsed="false">
      <c r="A1029" s="59" t="s">
        <v>432</v>
      </c>
      <c r="B1029" s="60" t="n">
        <v>150</v>
      </c>
      <c r="C1029" s="59" t="n">
        <v>0</v>
      </c>
      <c r="D1029" s="59" t="n">
        <v>1</v>
      </c>
      <c r="E1029" s="59" t="n">
        <v>0</v>
      </c>
      <c r="F1029" s="55" t="n">
        <v>0</v>
      </c>
      <c r="G1029" s="61" t="n">
        <v>43770</v>
      </c>
      <c r="H1029" s="61" t="n">
        <v>43787</v>
      </c>
      <c r="I1029" s="59" t="s">
        <v>81</v>
      </c>
    </row>
    <row r="1030" customFormat="false" ht="12.8" hidden="false" customHeight="false" outlineLevel="0" collapsed="false">
      <c r="A1030" s="59" t="s">
        <v>105</v>
      </c>
      <c r="B1030" s="60" t="n">
        <v>110.98</v>
      </c>
      <c r="C1030" s="59" t="n">
        <v>0</v>
      </c>
      <c r="D1030" s="59" t="n">
        <v>1</v>
      </c>
      <c r="E1030" s="59" t="n">
        <v>0</v>
      </c>
      <c r="F1030" s="55" t="n">
        <v>0</v>
      </c>
      <c r="G1030" s="61" t="n">
        <v>43770</v>
      </c>
      <c r="H1030" s="61" t="n">
        <v>43786</v>
      </c>
      <c r="I1030" s="59" t="s">
        <v>106</v>
      </c>
    </row>
    <row r="1031" customFormat="false" ht="12.8" hidden="false" customHeight="false" outlineLevel="0" collapsed="false">
      <c r="A1031" s="59" t="s">
        <v>199</v>
      </c>
      <c r="B1031" s="60" t="n">
        <v>32.42</v>
      </c>
      <c r="C1031" s="59" t="n">
        <v>0</v>
      </c>
      <c r="D1031" s="59" t="n">
        <v>1</v>
      </c>
      <c r="E1031" s="59" t="n">
        <v>0</v>
      </c>
      <c r="F1031" s="55" t="n">
        <v>0</v>
      </c>
      <c r="G1031" s="61" t="n">
        <v>43770</v>
      </c>
      <c r="H1031" s="61" t="n">
        <v>43787</v>
      </c>
      <c r="I1031" s="59" t="s">
        <v>116</v>
      </c>
    </row>
    <row r="1032" customFormat="false" ht="12.8" hidden="false" customHeight="false" outlineLevel="0" collapsed="false">
      <c r="A1032" s="59" t="s">
        <v>433</v>
      </c>
      <c r="B1032" s="60" t="n">
        <v>14</v>
      </c>
      <c r="C1032" s="59" t="n">
        <v>0</v>
      </c>
      <c r="D1032" s="59" t="n">
        <v>1</v>
      </c>
      <c r="E1032" s="59" t="n">
        <v>0</v>
      </c>
      <c r="F1032" s="55" t="n">
        <v>0</v>
      </c>
      <c r="G1032" s="61" t="n">
        <v>43770</v>
      </c>
      <c r="H1032" s="61" t="n">
        <v>43784</v>
      </c>
      <c r="I1032" s="59" t="s">
        <v>72</v>
      </c>
    </row>
    <row r="1033" customFormat="false" ht="12.8" hidden="false" customHeight="false" outlineLevel="0" collapsed="false">
      <c r="A1033" s="59" t="s">
        <v>74</v>
      </c>
      <c r="B1033" s="60" t="n">
        <v>3.5</v>
      </c>
      <c r="C1033" s="59" t="n">
        <v>0</v>
      </c>
      <c r="D1033" s="59" t="n">
        <v>1</v>
      </c>
      <c r="E1033" s="59" t="n">
        <v>0</v>
      </c>
      <c r="F1033" s="55" t="n">
        <v>0</v>
      </c>
      <c r="G1033" s="61" t="n">
        <v>43770</v>
      </c>
      <c r="H1033" s="61" t="n">
        <v>43787</v>
      </c>
      <c r="I1033" s="59" t="s">
        <v>72</v>
      </c>
    </row>
    <row r="1034" customFormat="false" ht="12.8" hidden="false" customHeight="false" outlineLevel="0" collapsed="false">
      <c r="A1034" s="59" t="s">
        <v>434</v>
      </c>
      <c r="B1034" s="60" t="n">
        <v>10</v>
      </c>
      <c r="C1034" s="59" t="n">
        <v>0</v>
      </c>
      <c r="D1034" s="59" t="n">
        <v>1</v>
      </c>
      <c r="E1034" s="59" t="n">
        <v>0</v>
      </c>
      <c r="F1034" s="55" t="n">
        <v>0</v>
      </c>
      <c r="G1034" s="61" t="n">
        <v>43770</v>
      </c>
      <c r="H1034" s="61" t="n">
        <v>43787</v>
      </c>
      <c r="I1034" s="59" t="s">
        <v>81</v>
      </c>
    </row>
    <row r="1035" customFormat="false" ht="12.8" hidden="false" customHeight="false" outlineLevel="0" collapsed="false">
      <c r="A1035" s="59" t="s">
        <v>435</v>
      </c>
      <c r="B1035" s="60" t="n">
        <v>24.75</v>
      </c>
      <c r="C1035" s="59" t="n">
        <v>0</v>
      </c>
      <c r="D1035" s="59" t="n">
        <v>1</v>
      </c>
      <c r="E1035" s="59" t="n">
        <v>0</v>
      </c>
      <c r="F1035" s="55" t="n">
        <v>0</v>
      </c>
      <c r="G1035" s="61" t="n">
        <v>43770</v>
      </c>
      <c r="H1035" s="61" t="n">
        <v>43788</v>
      </c>
      <c r="I1035" s="59" t="s">
        <v>81</v>
      </c>
    </row>
    <row r="1036" customFormat="false" ht="12.8" hidden="false" customHeight="false" outlineLevel="0" collapsed="false">
      <c r="A1036" s="59" t="s">
        <v>231</v>
      </c>
      <c r="B1036" s="60" t="n">
        <v>200</v>
      </c>
      <c r="C1036" s="59" t="n">
        <v>0</v>
      </c>
      <c r="D1036" s="59" t="n">
        <v>1</v>
      </c>
      <c r="E1036" s="59" t="n">
        <v>0</v>
      </c>
      <c r="F1036" s="55" t="n">
        <v>0</v>
      </c>
      <c r="G1036" s="61" t="n">
        <v>43770</v>
      </c>
      <c r="H1036" s="61" t="n">
        <v>43790</v>
      </c>
      <c r="I1036" s="59" t="s">
        <v>81</v>
      </c>
    </row>
    <row r="1037" customFormat="false" ht="12.8" hidden="false" customHeight="false" outlineLevel="0" collapsed="false">
      <c r="A1037" s="59" t="s">
        <v>100</v>
      </c>
      <c r="B1037" s="60" t="n">
        <v>5</v>
      </c>
      <c r="C1037" s="59" t="n">
        <v>0</v>
      </c>
      <c r="D1037" s="59" t="n">
        <v>1</v>
      </c>
      <c r="E1037" s="59" t="n">
        <v>0</v>
      </c>
      <c r="F1037" s="55" t="n">
        <v>0</v>
      </c>
      <c r="G1037" s="61" t="n">
        <v>43770</v>
      </c>
      <c r="H1037" s="61" t="n">
        <v>43790</v>
      </c>
      <c r="I1037" s="59" t="s">
        <v>72</v>
      </c>
    </row>
    <row r="1038" customFormat="false" ht="12.8" hidden="false" customHeight="false" outlineLevel="0" collapsed="false">
      <c r="A1038" s="59" t="s">
        <v>82</v>
      </c>
      <c r="B1038" s="60" t="n">
        <v>14.4</v>
      </c>
      <c r="C1038" s="59" t="n">
        <v>0</v>
      </c>
      <c r="D1038" s="59" t="n">
        <v>1</v>
      </c>
      <c r="E1038" s="59" t="n">
        <v>0</v>
      </c>
      <c r="F1038" s="55" t="n">
        <v>0</v>
      </c>
      <c r="G1038" s="61" t="n">
        <v>43770</v>
      </c>
      <c r="H1038" s="61" t="n">
        <v>43790</v>
      </c>
      <c r="I1038" s="59" t="s">
        <v>72</v>
      </c>
    </row>
    <row r="1039" customFormat="false" ht="12.8" hidden="false" customHeight="false" outlineLevel="0" collapsed="false">
      <c r="A1039" s="59" t="s">
        <v>199</v>
      </c>
      <c r="B1039" s="60" t="n">
        <v>31.66</v>
      </c>
      <c r="C1039" s="59" t="n">
        <v>0</v>
      </c>
      <c r="D1039" s="59" t="n">
        <v>1</v>
      </c>
      <c r="E1039" s="59" t="n">
        <v>0</v>
      </c>
      <c r="F1039" s="55" t="n">
        <v>0</v>
      </c>
      <c r="G1039" s="61" t="n">
        <v>43770</v>
      </c>
      <c r="H1039" s="61" t="n">
        <v>43790</v>
      </c>
      <c r="I1039" s="59" t="s">
        <v>116</v>
      </c>
    </row>
    <row r="1040" customFormat="false" ht="12.8" hidden="false" customHeight="false" outlineLevel="0" collapsed="false">
      <c r="A1040" s="59" t="s">
        <v>199</v>
      </c>
      <c r="B1040" s="60" t="n">
        <v>130.22</v>
      </c>
      <c r="C1040" s="59" t="n">
        <v>0</v>
      </c>
      <c r="D1040" s="59" t="n">
        <v>1</v>
      </c>
      <c r="E1040" s="59" t="n">
        <v>0</v>
      </c>
      <c r="F1040" s="55" t="n">
        <v>0</v>
      </c>
      <c r="G1040" s="61" t="n">
        <v>43770</v>
      </c>
      <c r="H1040" s="61" t="n">
        <v>43790</v>
      </c>
      <c r="I1040" s="59" t="s">
        <v>116</v>
      </c>
    </row>
    <row r="1041" customFormat="false" ht="12.8" hidden="false" customHeight="false" outlineLevel="0" collapsed="false">
      <c r="A1041" s="59" t="s">
        <v>73</v>
      </c>
      <c r="B1041" s="60" t="n">
        <v>43.9</v>
      </c>
      <c r="C1041" s="59" t="n">
        <v>0</v>
      </c>
      <c r="D1041" s="59" t="n">
        <v>1</v>
      </c>
      <c r="E1041" s="59" t="n">
        <v>0</v>
      </c>
      <c r="F1041" s="55" t="n">
        <v>0</v>
      </c>
      <c r="G1041" s="61" t="n">
        <v>43770</v>
      </c>
      <c r="H1041" s="61" t="n">
        <v>43790</v>
      </c>
      <c r="I1041" s="59" t="s">
        <v>73</v>
      </c>
    </row>
    <row r="1042" customFormat="false" ht="12.8" hidden="false" customHeight="false" outlineLevel="0" collapsed="false">
      <c r="A1042" s="59" t="s">
        <v>74</v>
      </c>
      <c r="B1042" s="60" t="n">
        <v>2</v>
      </c>
      <c r="C1042" s="59" t="n">
        <v>0</v>
      </c>
      <c r="D1042" s="59" t="n">
        <v>1</v>
      </c>
      <c r="E1042" s="59" t="n">
        <v>0</v>
      </c>
      <c r="F1042" s="55" t="n">
        <v>0</v>
      </c>
      <c r="G1042" s="61" t="n">
        <v>43770</v>
      </c>
      <c r="H1042" s="61" t="n">
        <v>43790</v>
      </c>
      <c r="I1042" s="59" t="s">
        <v>72</v>
      </c>
    </row>
    <row r="1043" customFormat="false" ht="12.8" hidden="false" customHeight="false" outlineLevel="0" collapsed="false">
      <c r="A1043" s="59" t="s">
        <v>35</v>
      </c>
      <c r="B1043" s="60" t="n">
        <v>72.71</v>
      </c>
      <c r="C1043" s="59" t="n">
        <v>0</v>
      </c>
      <c r="D1043" s="59" t="n">
        <v>1</v>
      </c>
      <c r="E1043" s="59" t="n">
        <v>0</v>
      </c>
      <c r="F1043" s="55" t="n">
        <v>0</v>
      </c>
      <c r="G1043" s="61" t="n">
        <v>43770</v>
      </c>
      <c r="H1043" s="61" t="n">
        <v>43790</v>
      </c>
      <c r="I1043" s="59" t="s">
        <v>35</v>
      </c>
    </row>
    <row r="1044" customFormat="false" ht="12.8" hidden="false" customHeight="false" outlineLevel="0" collapsed="false">
      <c r="A1044" s="59" t="s">
        <v>84</v>
      </c>
      <c r="B1044" s="60" t="n">
        <v>21.03</v>
      </c>
      <c r="C1044" s="59" t="n">
        <v>0</v>
      </c>
      <c r="D1044" s="59" t="n">
        <v>1</v>
      </c>
      <c r="E1044" s="59" t="n">
        <v>0</v>
      </c>
      <c r="F1044" s="55" t="n">
        <v>0</v>
      </c>
      <c r="G1044" s="61" t="n">
        <v>43770</v>
      </c>
      <c r="H1044" s="61" t="n">
        <v>43791</v>
      </c>
      <c r="I1044" s="59" t="s">
        <v>84</v>
      </c>
    </row>
    <row r="1045" customFormat="false" ht="12.8" hidden="false" customHeight="false" outlineLevel="0" collapsed="false">
      <c r="A1045" s="59" t="s">
        <v>112</v>
      </c>
      <c r="B1045" s="60" t="n">
        <v>4.5</v>
      </c>
      <c r="C1045" s="59" t="n">
        <v>0</v>
      </c>
      <c r="D1045" s="59" t="n">
        <v>1</v>
      </c>
      <c r="E1045" s="59" t="n">
        <v>0</v>
      </c>
      <c r="F1045" s="55" t="n">
        <v>0</v>
      </c>
      <c r="G1045" s="61" t="n">
        <v>43770</v>
      </c>
      <c r="H1045" s="61" t="n">
        <v>43791</v>
      </c>
      <c r="I1045" s="59" t="s">
        <v>72</v>
      </c>
    </row>
    <row r="1046" customFormat="false" ht="12.8" hidden="false" customHeight="false" outlineLevel="0" collapsed="false">
      <c r="A1046" s="59" t="s">
        <v>109</v>
      </c>
      <c r="B1046" s="60" t="n">
        <v>3.5</v>
      </c>
      <c r="C1046" s="59" t="n">
        <v>0</v>
      </c>
      <c r="D1046" s="59" t="n">
        <v>1</v>
      </c>
      <c r="E1046" s="59" t="n">
        <v>0</v>
      </c>
      <c r="F1046" s="55" t="n">
        <v>0</v>
      </c>
      <c r="G1046" s="61" t="n">
        <v>43770</v>
      </c>
      <c r="H1046" s="61" t="n">
        <v>43791</v>
      </c>
      <c r="I1046" s="59" t="s">
        <v>72</v>
      </c>
    </row>
    <row r="1047" customFormat="false" ht="12.8" hidden="false" customHeight="false" outlineLevel="0" collapsed="false">
      <c r="A1047" s="59" t="s">
        <v>73</v>
      </c>
      <c r="B1047" s="60" t="n">
        <v>26</v>
      </c>
      <c r="C1047" s="59" t="n">
        <v>0</v>
      </c>
      <c r="D1047" s="59" t="n">
        <v>1</v>
      </c>
      <c r="E1047" s="59" t="n">
        <v>0</v>
      </c>
      <c r="F1047" s="55" t="n">
        <v>0</v>
      </c>
      <c r="G1047" s="61" t="n">
        <v>43770</v>
      </c>
      <c r="H1047" s="61" t="n">
        <v>43791</v>
      </c>
      <c r="I1047" s="59" t="s">
        <v>73</v>
      </c>
    </row>
    <row r="1048" customFormat="false" ht="12.8" hidden="false" customHeight="false" outlineLevel="0" collapsed="false">
      <c r="A1048" s="59" t="s">
        <v>436</v>
      </c>
      <c r="B1048" s="60" t="n">
        <v>300</v>
      </c>
      <c r="C1048" s="59" t="n">
        <v>0</v>
      </c>
      <c r="D1048" s="59" t="n">
        <v>1</v>
      </c>
      <c r="E1048" s="59" t="n">
        <v>0</v>
      </c>
      <c r="F1048" s="55" t="n">
        <v>0</v>
      </c>
      <c r="G1048" s="61" t="n">
        <v>43770</v>
      </c>
      <c r="H1048" s="61" t="n">
        <v>43794</v>
      </c>
      <c r="I1048" s="59" t="s">
        <v>437</v>
      </c>
    </row>
    <row r="1049" customFormat="false" ht="12.8" hidden="false" customHeight="false" outlineLevel="0" collapsed="false">
      <c r="A1049" s="59" t="s">
        <v>438</v>
      </c>
      <c r="B1049" s="60" t="n">
        <v>18</v>
      </c>
      <c r="C1049" s="59" t="n">
        <v>0</v>
      </c>
      <c r="D1049" s="59" t="n">
        <v>1</v>
      </c>
      <c r="E1049" s="59" t="n">
        <v>0</v>
      </c>
      <c r="F1049" s="55" t="n">
        <v>0</v>
      </c>
      <c r="G1049" s="61" t="n">
        <v>43770</v>
      </c>
      <c r="H1049" s="61" t="n">
        <v>43794</v>
      </c>
      <c r="I1049" s="59" t="s">
        <v>72</v>
      </c>
    </row>
    <row r="1050" customFormat="false" ht="12.8" hidden="false" customHeight="false" outlineLevel="0" collapsed="false">
      <c r="A1050" s="59" t="s">
        <v>79</v>
      </c>
      <c r="B1050" s="60" t="n">
        <v>113.37</v>
      </c>
      <c r="C1050" s="59" t="n">
        <v>0</v>
      </c>
      <c r="D1050" s="59" t="n">
        <v>1</v>
      </c>
      <c r="E1050" s="59" t="n">
        <v>0</v>
      </c>
      <c r="F1050" s="55" t="n">
        <v>0</v>
      </c>
      <c r="G1050" s="61" t="n">
        <v>43770</v>
      </c>
      <c r="H1050" s="61" t="n">
        <v>43795</v>
      </c>
      <c r="I1050" s="59" t="s">
        <v>79</v>
      </c>
    </row>
    <row r="1051" customFormat="false" ht="12.8" hidden="false" customHeight="false" outlineLevel="0" collapsed="false">
      <c r="A1051" s="59" t="s">
        <v>105</v>
      </c>
      <c r="B1051" s="60" t="n">
        <v>80.98</v>
      </c>
      <c r="C1051" s="59" t="n">
        <v>0</v>
      </c>
      <c r="D1051" s="59" t="n">
        <v>1</v>
      </c>
      <c r="E1051" s="59" t="n">
        <v>0</v>
      </c>
      <c r="F1051" s="55" t="n">
        <v>0</v>
      </c>
      <c r="G1051" s="61" t="n">
        <v>43770</v>
      </c>
      <c r="H1051" s="61" t="n">
        <v>43795</v>
      </c>
      <c r="I1051" s="59" t="s">
        <v>106</v>
      </c>
    </row>
    <row r="1052" customFormat="false" ht="12.8" hidden="false" customHeight="false" outlineLevel="0" collapsed="false">
      <c r="A1052" s="59" t="s">
        <v>153</v>
      </c>
      <c r="B1052" s="60" t="n">
        <v>32</v>
      </c>
      <c r="C1052" s="59" t="n">
        <v>0</v>
      </c>
      <c r="D1052" s="59" t="n">
        <v>1</v>
      </c>
      <c r="E1052" s="59" t="n">
        <v>0</v>
      </c>
      <c r="F1052" s="55" t="n">
        <v>0</v>
      </c>
      <c r="G1052" s="61" t="n">
        <v>43770</v>
      </c>
      <c r="H1052" s="61" t="n">
        <v>43796</v>
      </c>
      <c r="I1052" s="59" t="s">
        <v>72</v>
      </c>
    </row>
    <row r="1053" customFormat="false" ht="12.8" hidden="false" customHeight="false" outlineLevel="0" collapsed="false">
      <c r="A1053" s="59" t="s">
        <v>116</v>
      </c>
      <c r="B1053" s="60" t="n">
        <v>10.81</v>
      </c>
      <c r="C1053" s="59" t="n">
        <v>0</v>
      </c>
      <c r="D1053" s="59" t="n">
        <v>1</v>
      </c>
      <c r="E1053" s="59" t="n">
        <v>0</v>
      </c>
      <c r="F1053" s="55" t="n">
        <v>0</v>
      </c>
      <c r="G1053" s="61" t="n">
        <v>43770</v>
      </c>
      <c r="H1053" s="61" t="n">
        <v>43796</v>
      </c>
      <c r="I1053" s="59" t="s">
        <v>116</v>
      </c>
    </row>
    <row r="1054" customFormat="false" ht="12.8" hidden="false" customHeight="false" outlineLevel="0" collapsed="false">
      <c r="A1054" s="59" t="s">
        <v>395</v>
      </c>
      <c r="B1054" s="60" t="n">
        <v>90</v>
      </c>
      <c r="C1054" s="59" t="n">
        <v>0</v>
      </c>
      <c r="D1054" s="59" t="n">
        <v>1</v>
      </c>
      <c r="E1054" s="59" t="n">
        <v>0</v>
      </c>
      <c r="F1054" s="55" t="n">
        <v>0</v>
      </c>
      <c r="G1054" s="61" t="n">
        <v>43770</v>
      </c>
      <c r="H1054" s="61" t="n">
        <v>43797</v>
      </c>
      <c r="I1054" s="59" t="s">
        <v>81</v>
      </c>
    </row>
    <row r="1055" customFormat="false" ht="12.8" hidden="false" customHeight="false" outlineLevel="0" collapsed="false">
      <c r="A1055" s="59" t="s">
        <v>85</v>
      </c>
      <c r="B1055" s="60" t="n">
        <v>10</v>
      </c>
      <c r="C1055" s="59" t="n">
        <v>0</v>
      </c>
      <c r="D1055" s="59" t="n">
        <v>1</v>
      </c>
      <c r="E1055" s="59" t="n">
        <v>0</v>
      </c>
      <c r="F1055" s="55" t="n">
        <v>0</v>
      </c>
      <c r="G1055" s="61" t="n">
        <v>43770</v>
      </c>
      <c r="H1055" s="61" t="n">
        <v>43797</v>
      </c>
      <c r="I1055" s="59" t="s">
        <v>85</v>
      </c>
    </row>
    <row r="1056" customFormat="false" ht="12.8" hidden="false" customHeight="false" outlineLevel="0" collapsed="false">
      <c r="A1056" s="59" t="s">
        <v>338</v>
      </c>
      <c r="B1056" s="60" t="n">
        <v>23.81</v>
      </c>
      <c r="C1056" s="59" t="n">
        <v>0</v>
      </c>
      <c r="D1056" s="59" t="n">
        <v>1</v>
      </c>
      <c r="E1056" s="59" t="n">
        <v>0</v>
      </c>
      <c r="F1056" s="55" t="n">
        <v>0</v>
      </c>
      <c r="G1056" s="61" t="n">
        <v>43770</v>
      </c>
      <c r="H1056" s="61" t="n">
        <v>43797</v>
      </c>
      <c r="I1056" s="59" t="s">
        <v>79</v>
      </c>
    </row>
    <row r="1057" customFormat="false" ht="12.8" hidden="false" customHeight="false" outlineLevel="0" collapsed="false">
      <c r="A1057" s="59" t="s">
        <v>199</v>
      </c>
      <c r="B1057" s="60" t="n">
        <v>46.82</v>
      </c>
      <c r="C1057" s="59" t="n">
        <v>0</v>
      </c>
      <c r="D1057" s="59" t="n">
        <v>1</v>
      </c>
      <c r="E1057" s="59" t="n">
        <v>0</v>
      </c>
      <c r="F1057" s="55" t="n">
        <v>0</v>
      </c>
      <c r="G1057" s="61" t="n">
        <v>43770</v>
      </c>
      <c r="H1057" s="61" t="n">
        <v>43798</v>
      </c>
      <c r="I1057" s="59" t="s">
        <v>116</v>
      </c>
    </row>
    <row r="1058" customFormat="false" ht="12.8" hidden="false" customHeight="false" outlineLevel="0" collapsed="false">
      <c r="A1058" s="59" t="s">
        <v>199</v>
      </c>
      <c r="B1058" s="60" t="n">
        <v>1.65</v>
      </c>
      <c r="C1058" s="59" t="n">
        <v>0</v>
      </c>
      <c r="D1058" s="59" t="n">
        <v>1</v>
      </c>
      <c r="E1058" s="59" t="n">
        <v>0</v>
      </c>
      <c r="F1058" s="55" t="n">
        <v>0</v>
      </c>
      <c r="G1058" s="61" t="n">
        <v>43770</v>
      </c>
      <c r="H1058" s="61" t="n">
        <v>43798</v>
      </c>
      <c r="I1058" s="59" t="s">
        <v>116</v>
      </c>
    </row>
    <row r="1059" customFormat="false" ht="12.8" hidden="false" customHeight="false" outlineLevel="0" collapsed="false">
      <c r="A1059" s="59" t="s">
        <v>439</v>
      </c>
      <c r="B1059" s="60" t="n">
        <v>1196</v>
      </c>
      <c r="C1059" s="59" t="n">
        <v>0</v>
      </c>
      <c r="D1059" s="59" t="n">
        <v>1</v>
      </c>
      <c r="E1059" s="59" t="n">
        <v>0</v>
      </c>
      <c r="F1059" s="55" t="n">
        <v>0</v>
      </c>
      <c r="G1059" s="61" t="n">
        <v>43770</v>
      </c>
      <c r="H1059" s="61" t="n">
        <v>43798</v>
      </c>
      <c r="I1059" s="59" t="s">
        <v>81</v>
      </c>
    </row>
    <row r="1060" customFormat="false" ht="12.8" hidden="false" customHeight="false" outlineLevel="0" collapsed="false">
      <c r="A1060" s="59" t="s">
        <v>124</v>
      </c>
      <c r="B1060" s="60" t="n">
        <v>20</v>
      </c>
      <c r="C1060" s="59" t="n">
        <v>0</v>
      </c>
      <c r="D1060" s="59" t="n">
        <v>1</v>
      </c>
      <c r="E1060" s="59" t="n">
        <v>0</v>
      </c>
      <c r="F1060" s="55" t="n">
        <v>0</v>
      </c>
      <c r="G1060" s="61" t="n">
        <v>43770</v>
      </c>
      <c r="H1060" s="61" t="n">
        <v>43798</v>
      </c>
      <c r="I1060" s="59" t="s">
        <v>81</v>
      </c>
    </row>
    <row r="1061" customFormat="false" ht="12.8" hidden="false" customHeight="false" outlineLevel="0" collapsed="false">
      <c r="A1061" s="59" t="s">
        <v>79</v>
      </c>
      <c r="B1061" s="60" t="n">
        <v>2</v>
      </c>
      <c r="C1061" s="59" t="n">
        <v>0</v>
      </c>
      <c r="D1061" s="59" t="n">
        <v>1</v>
      </c>
      <c r="E1061" s="59" t="n">
        <v>0</v>
      </c>
      <c r="F1061" s="55" t="n">
        <v>0</v>
      </c>
      <c r="G1061" s="61" t="n">
        <v>43770</v>
      </c>
      <c r="H1061" s="61" t="n">
        <v>43798</v>
      </c>
      <c r="I1061" s="59" t="s">
        <v>79</v>
      </c>
    </row>
    <row r="1062" customFormat="false" ht="12.8" hidden="false" customHeight="false" outlineLevel="0" collapsed="false">
      <c r="A1062" s="59" t="s">
        <v>319</v>
      </c>
      <c r="B1062" s="60" t="n">
        <v>18</v>
      </c>
      <c r="C1062" s="59" t="n">
        <v>0</v>
      </c>
      <c r="D1062" s="59" t="n">
        <v>1</v>
      </c>
      <c r="E1062" s="59" t="n">
        <v>0</v>
      </c>
      <c r="F1062" s="55" t="n">
        <v>0</v>
      </c>
      <c r="G1062" s="61" t="n">
        <v>43770</v>
      </c>
      <c r="H1062" s="61" t="n">
        <v>43798</v>
      </c>
      <c r="I1062" s="59" t="s">
        <v>79</v>
      </c>
    </row>
    <row r="1063" customFormat="false" ht="12.8" hidden="false" customHeight="false" outlineLevel="0" collapsed="false">
      <c r="A1063" s="59" t="s">
        <v>124</v>
      </c>
      <c r="B1063" s="60" t="n">
        <v>20</v>
      </c>
      <c r="C1063" s="59" t="n">
        <v>0</v>
      </c>
      <c r="D1063" s="59" t="n">
        <v>1</v>
      </c>
      <c r="E1063" s="59" t="n">
        <v>0</v>
      </c>
      <c r="F1063" s="55" t="n">
        <v>0</v>
      </c>
      <c r="G1063" s="61" t="n">
        <v>43770</v>
      </c>
      <c r="H1063" s="61" t="n">
        <v>43798</v>
      </c>
      <c r="I1063" s="59" t="s">
        <v>81</v>
      </c>
    </row>
    <row r="1064" customFormat="false" ht="12.8" hidden="false" customHeight="false" outlineLevel="0" collapsed="false">
      <c r="A1064" s="59" t="s">
        <v>440</v>
      </c>
      <c r="B1064" s="60" t="n">
        <v>0.2</v>
      </c>
      <c r="C1064" s="59" t="n">
        <v>0</v>
      </c>
      <c r="D1064" s="59" t="n">
        <v>1</v>
      </c>
      <c r="E1064" s="59" t="n">
        <v>0</v>
      </c>
      <c r="F1064" s="55" t="n">
        <v>0</v>
      </c>
      <c r="G1064" s="61" t="n">
        <v>43770</v>
      </c>
      <c r="H1064" s="61" t="n">
        <v>43798</v>
      </c>
      <c r="I1064" s="59" t="s">
        <v>37</v>
      </c>
    </row>
    <row r="1065" customFormat="false" ht="12.8" hidden="false" customHeight="false" outlineLevel="0" collapsed="false">
      <c r="A1065" s="25" t="s">
        <v>57</v>
      </c>
      <c r="B1065" s="26" t="n">
        <v>76.9</v>
      </c>
      <c r="C1065" s="25" t="n">
        <v>1</v>
      </c>
      <c r="D1065" s="25" t="n">
        <v>0</v>
      </c>
      <c r="E1065" s="25" t="n">
        <v>0</v>
      </c>
      <c r="F1065" s="55" t="n">
        <v>0</v>
      </c>
      <c r="G1065" s="1" t="n">
        <v>43800</v>
      </c>
      <c r="H1065" s="1" t="n">
        <v>43802</v>
      </c>
      <c r="I1065" s="0" t="s">
        <v>58</v>
      </c>
    </row>
    <row r="1066" customFormat="false" ht="12.8" hidden="false" customHeight="false" outlineLevel="0" collapsed="false">
      <c r="A1066" s="25" t="s">
        <v>135</v>
      </c>
      <c r="B1066" s="26" t="n">
        <f aca="false">SUMIFS(credito!$B$1:$B$277,credito!$F$1:$F$277,G1065,credito!$G$1:$G$277,0)</f>
        <v>1812.3</v>
      </c>
      <c r="C1066" s="25" t="n">
        <v>0</v>
      </c>
      <c r="D1066" s="25" t="n">
        <v>1</v>
      </c>
      <c r="E1066" s="25" t="n">
        <v>0</v>
      </c>
      <c r="F1066" s="55" t="n">
        <v>0</v>
      </c>
      <c r="G1066" s="1" t="n">
        <v>43800</v>
      </c>
      <c r="H1066" s="1" t="n">
        <v>43812</v>
      </c>
      <c r="I1066" s="0" t="s">
        <v>131</v>
      </c>
    </row>
    <row r="1067" customFormat="false" ht="12.8" hidden="false" customHeight="false" outlineLevel="0" collapsed="false">
      <c r="A1067" s="25" t="s">
        <v>132</v>
      </c>
      <c r="B1067" s="26" t="n">
        <v>547.87</v>
      </c>
      <c r="C1067" s="25" t="n">
        <v>1</v>
      </c>
      <c r="D1067" s="25" t="n">
        <v>0</v>
      </c>
      <c r="E1067" s="25" t="n">
        <v>0</v>
      </c>
      <c r="F1067" s="55" t="n">
        <v>0</v>
      </c>
      <c r="G1067" s="1" t="n">
        <v>43800</v>
      </c>
      <c r="H1067" s="1" t="n">
        <v>43812</v>
      </c>
      <c r="I1067" s="0" t="s">
        <v>131</v>
      </c>
    </row>
    <row r="1068" customFormat="false" ht="12.8" hidden="false" customHeight="false" outlineLevel="0" collapsed="false">
      <c r="A1068" s="25" t="s">
        <v>69</v>
      </c>
      <c r="B1068" s="26" t="n">
        <v>330</v>
      </c>
      <c r="C1068" s="25" t="n">
        <v>1</v>
      </c>
      <c r="D1068" s="25" t="n">
        <v>0</v>
      </c>
      <c r="E1068" s="25" t="n">
        <v>0</v>
      </c>
      <c r="F1068" s="55" t="n">
        <v>0</v>
      </c>
      <c r="G1068" s="1" t="n">
        <v>43800</v>
      </c>
      <c r="H1068" s="1" t="n">
        <v>43801</v>
      </c>
      <c r="I1068" s="0" t="s">
        <v>70</v>
      </c>
    </row>
    <row r="1069" customFormat="false" ht="12.8" hidden="false" customHeight="false" outlineLevel="0" collapsed="false">
      <c r="A1069" s="25" t="s">
        <v>62</v>
      </c>
      <c r="B1069" s="26" t="n">
        <v>6.41</v>
      </c>
      <c r="C1069" s="25" t="n">
        <v>1</v>
      </c>
      <c r="D1069" s="25" t="n">
        <v>0</v>
      </c>
      <c r="E1069" s="25" t="n">
        <v>0</v>
      </c>
      <c r="F1069" s="55" t="n">
        <v>0</v>
      </c>
      <c r="G1069" s="1" t="n">
        <v>43800</v>
      </c>
      <c r="H1069" s="1"/>
      <c r="I1069" s="0" t="s">
        <v>58</v>
      </c>
    </row>
    <row r="1070" customFormat="false" ht="12.8" hidden="false" customHeight="false" outlineLevel="0" collapsed="false">
      <c r="A1070" s="25" t="s">
        <v>63</v>
      </c>
      <c r="B1070" s="26" t="n">
        <v>75</v>
      </c>
      <c r="C1070" s="25" t="n">
        <v>1</v>
      </c>
      <c r="D1070" s="25" t="n">
        <v>0</v>
      </c>
      <c r="E1070" s="25" t="n">
        <v>0</v>
      </c>
      <c r="F1070" s="55" t="n">
        <v>0</v>
      </c>
      <c r="G1070" s="1" t="n">
        <v>43800</v>
      </c>
      <c r="H1070" s="1" t="n">
        <v>43815</v>
      </c>
      <c r="I1070" s="0" t="s">
        <v>64</v>
      </c>
    </row>
    <row r="1071" customFormat="false" ht="12.8" hidden="false" customHeight="false" outlineLevel="0" collapsed="false">
      <c r="A1071" s="31" t="s">
        <v>65</v>
      </c>
      <c r="B1071" s="32" t="n">
        <v>2700</v>
      </c>
      <c r="C1071" s="31" t="n">
        <v>1</v>
      </c>
      <c r="D1071" s="31" t="n">
        <v>0</v>
      </c>
      <c r="E1071" s="31" t="n">
        <v>1</v>
      </c>
      <c r="F1071" s="31" t="n">
        <v>0</v>
      </c>
      <c r="G1071" s="33" t="n">
        <v>43800</v>
      </c>
      <c r="H1071" s="33" t="n">
        <v>43616</v>
      </c>
      <c r="I1071" s="31" t="s">
        <v>66</v>
      </c>
    </row>
    <row r="1072" customFormat="false" ht="12.8" hidden="false" customHeight="false" outlineLevel="0" collapsed="false">
      <c r="A1072" s="31" t="s">
        <v>302</v>
      </c>
      <c r="B1072" s="32" t="n">
        <v>1000</v>
      </c>
      <c r="C1072" s="31" t="n">
        <v>0</v>
      </c>
      <c r="D1072" s="31" t="n">
        <v>0</v>
      </c>
      <c r="E1072" s="31" t="n">
        <v>0</v>
      </c>
      <c r="F1072" s="31" t="n">
        <v>1</v>
      </c>
      <c r="G1072" s="33" t="n">
        <v>43800</v>
      </c>
      <c r="H1072" s="33"/>
      <c r="I1072" s="31"/>
    </row>
    <row r="1073" customFormat="false" ht="12.8" hidden="false" customHeight="false" outlineLevel="0" collapsed="false">
      <c r="A1073" s="25" t="s">
        <v>177</v>
      </c>
      <c r="B1073" s="0" t="n">
        <v>0</v>
      </c>
      <c r="C1073" s="25" t="n">
        <v>1</v>
      </c>
      <c r="D1073" s="25" t="n">
        <v>0</v>
      </c>
      <c r="E1073" s="25" t="n">
        <v>1</v>
      </c>
      <c r="F1073" s="55" t="n">
        <v>0</v>
      </c>
      <c r="G1073" s="27" t="n">
        <v>43800</v>
      </c>
      <c r="H1073" s="27"/>
      <c r="I1073" s="25" t="s">
        <v>106</v>
      </c>
      <c r="J1073" s="26" t="n">
        <v>187.87</v>
      </c>
    </row>
    <row r="1074" customFormat="false" ht="12.8" hidden="false" customHeight="false" outlineLevel="0" collapsed="false">
      <c r="A1074" s="25" t="s">
        <v>112</v>
      </c>
      <c r="B1074" s="26" t="n">
        <v>5.5</v>
      </c>
      <c r="C1074" s="25" t="n">
        <v>0</v>
      </c>
      <c r="D1074" s="25" t="n">
        <v>1</v>
      </c>
      <c r="E1074" s="25" t="n">
        <v>0</v>
      </c>
      <c r="F1074" s="55" t="n">
        <v>0</v>
      </c>
      <c r="G1074" s="27" t="n">
        <v>43800</v>
      </c>
      <c r="H1074" s="27" t="n">
        <v>43801</v>
      </c>
      <c r="I1074" s="25" t="s">
        <v>72</v>
      </c>
    </row>
    <row r="1075" customFormat="false" ht="12.8" hidden="false" customHeight="false" outlineLevel="0" collapsed="false">
      <c r="A1075" s="25" t="s">
        <v>338</v>
      </c>
      <c r="B1075" s="26" t="n">
        <v>25.64</v>
      </c>
      <c r="C1075" s="25" t="n">
        <v>0</v>
      </c>
      <c r="D1075" s="25" t="n">
        <v>1</v>
      </c>
      <c r="E1075" s="25" t="n">
        <v>0</v>
      </c>
      <c r="F1075" s="55" t="n">
        <v>0</v>
      </c>
      <c r="G1075" s="27" t="n">
        <v>43800</v>
      </c>
      <c r="H1075" s="27" t="n">
        <v>43800</v>
      </c>
      <c r="I1075" s="25" t="s">
        <v>79</v>
      </c>
    </row>
    <row r="1076" customFormat="false" ht="12.8" hidden="false" customHeight="false" outlineLevel="0" collapsed="false">
      <c r="A1076" s="25" t="s">
        <v>105</v>
      </c>
      <c r="B1076" s="26" t="n">
        <v>166.75</v>
      </c>
      <c r="C1076" s="25" t="n">
        <v>0</v>
      </c>
      <c r="D1076" s="25" t="n">
        <v>1</v>
      </c>
      <c r="E1076" s="25" t="n">
        <v>0</v>
      </c>
      <c r="F1076" s="55" t="n">
        <v>0</v>
      </c>
      <c r="G1076" s="27" t="n">
        <v>43800</v>
      </c>
      <c r="H1076" s="27" t="n">
        <v>43800</v>
      </c>
      <c r="I1076" s="25" t="s">
        <v>106</v>
      </c>
    </row>
    <row r="1077" customFormat="false" ht="12.8" hidden="false" customHeight="false" outlineLevel="0" collapsed="false">
      <c r="A1077" s="25" t="s">
        <v>68</v>
      </c>
      <c r="B1077" s="26" t="n">
        <v>0</v>
      </c>
      <c r="C1077" s="25" t="n">
        <v>0</v>
      </c>
      <c r="D1077" s="25" t="n">
        <v>1</v>
      </c>
      <c r="E1077" s="25" t="n">
        <v>0</v>
      </c>
      <c r="F1077" s="55" t="n">
        <v>0</v>
      </c>
      <c r="G1077" s="27" t="n">
        <v>43800</v>
      </c>
      <c r="H1077" s="27" t="n">
        <v>43800</v>
      </c>
      <c r="I1077" s="25" t="s">
        <v>68</v>
      </c>
    </row>
    <row r="1078" customFormat="false" ht="12.8" hidden="false" customHeight="false" outlineLevel="0" collapsed="false">
      <c r="A1078" s="31" t="s">
        <v>68</v>
      </c>
      <c r="B1078" s="32" t="n">
        <v>0</v>
      </c>
      <c r="C1078" s="31" t="n">
        <v>0</v>
      </c>
      <c r="D1078" s="31" t="n">
        <v>1</v>
      </c>
      <c r="E1078" s="31" t="n">
        <v>0</v>
      </c>
      <c r="F1078" s="31" t="n">
        <v>0</v>
      </c>
      <c r="G1078" s="33" t="n">
        <v>43770</v>
      </c>
      <c r="H1078" s="33"/>
      <c r="I1078" s="31" t="s">
        <v>68</v>
      </c>
    </row>
    <row r="1079" customFormat="false" ht="12.8" hidden="false" customHeight="false" outlineLevel="0" collapsed="false">
      <c r="A1079" s="25" t="s">
        <v>74</v>
      </c>
      <c r="B1079" s="26" t="n">
        <v>2.99</v>
      </c>
      <c r="C1079" s="25" t="n">
        <v>0</v>
      </c>
      <c r="D1079" s="25" t="n">
        <v>1</v>
      </c>
      <c r="E1079" s="25" t="n">
        <v>0</v>
      </c>
      <c r="F1079" s="55" t="n">
        <v>0</v>
      </c>
      <c r="G1079" s="27" t="n">
        <v>43800</v>
      </c>
      <c r="H1079" s="27" t="n">
        <v>43802</v>
      </c>
      <c r="I1079" s="25" t="s">
        <v>72</v>
      </c>
    </row>
    <row r="1080" customFormat="false" ht="12.8" hidden="false" customHeight="false" outlineLevel="0" collapsed="false">
      <c r="A1080" s="25" t="s">
        <v>441</v>
      </c>
      <c r="B1080" s="26" t="n">
        <v>4.5</v>
      </c>
      <c r="C1080" s="25" t="n">
        <v>0</v>
      </c>
      <c r="D1080" s="25" t="n">
        <v>1</v>
      </c>
      <c r="E1080" s="25" t="n">
        <v>0</v>
      </c>
      <c r="F1080" s="55" t="n">
        <v>0</v>
      </c>
      <c r="G1080" s="27" t="n">
        <v>43800</v>
      </c>
      <c r="H1080" s="27" t="n">
        <v>43802</v>
      </c>
      <c r="I1080" s="25" t="s">
        <v>72</v>
      </c>
    </row>
    <row r="1081" customFormat="false" ht="12.8" hidden="false" customHeight="false" outlineLevel="0" collapsed="false">
      <c r="A1081" s="25" t="s">
        <v>73</v>
      </c>
      <c r="B1081" s="26" t="n">
        <v>24.6</v>
      </c>
      <c r="C1081" s="25" t="n">
        <v>0</v>
      </c>
      <c r="D1081" s="25" t="n">
        <v>1</v>
      </c>
      <c r="E1081" s="25" t="n">
        <v>0</v>
      </c>
      <c r="F1081" s="55" t="n">
        <v>0</v>
      </c>
      <c r="G1081" s="27" t="n">
        <v>43800</v>
      </c>
      <c r="H1081" s="27" t="n">
        <v>43802</v>
      </c>
      <c r="I1081" s="25" t="s">
        <v>73</v>
      </c>
    </row>
    <row r="1082" customFormat="false" ht="12.8" hidden="false" customHeight="false" outlineLevel="0" collapsed="false">
      <c r="A1082" s="0" t="s">
        <v>95</v>
      </c>
      <c r="B1082" s="23" t="n">
        <v>13.6</v>
      </c>
      <c r="C1082" s="25" t="n">
        <v>0</v>
      </c>
      <c r="D1082" s="25" t="n">
        <v>1</v>
      </c>
      <c r="E1082" s="25" t="n">
        <v>0</v>
      </c>
      <c r="F1082" s="55" t="n">
        <v>0</v>
      </c>
      <c r="G1082" s="27" t="n">
        <v>43800</v>
      </c>
      <c r="H1082" s="24" t="n">
        <v>43801</v>
      </c>
      <c r="I1082" s="0" t="s">
        <v>88</v>
      </c>
    </row>
    <row r="1083" customFormat="false" ht="12.8" hidden="false" customHeight="false" outlineLevel="0" collapsed="false">
      <c r="A1083" s="0" t="s">
        <v>97</v>
      </c>
      <c r="B1083" s="23" t="n">
        <v>19.48</v>
      </c>
      <c r="C1083" s="25" t="n">
        <v>0</v>
      </c>
      <c r="D1083" s="25" t="n">
        <v>1</v>
      </c>
      <c r="E1083" s="25" t="n">
        <v>0</v>
      </c>
      <c r="F1083" s="55" t="n">
        <v>0</v>
      </c>
      <c r="G1083" s="27" t="n">
        <v>43800</v>
      </c>
      <c r="H1083" s="24" t="n">
        <v>43802</v>
      </c>
      <c r="I1083" s="0" t="s">
        <v>72</v>
      </c>
    </row>
    <row r="1084" customFormat="false" ht="12.8" hidden="false" customHeight="false" outlineLevel="0" collapsed="false">
      <c r="A1084" s="0" t="s">
        <v>371</v>
      </c>
      <c r="B1084" s="23" t="n">
        <v>10</v>
      </c>
      <c r="C1084" s="25" t="n">
        <v>0</v>
      </c>
      <c r="D1084" s="25" t="n">
        <v>1</v>
      </c>
      <c r="E1084" s="25" t="n">
        <v>0</v>
      </c>
      <c r="F1084" s="55" t="n">
        <v>0</v>
      </c>
      <c r="G1084" s="27" t="n">
        <v>43800</v>
      </c>
      <c r="H1084" s="24" t="n">
        <v>43803</v>
      </c>
      <c r="I1084" s="0" t="s">
        <v>72</v>
      </c>
    </row>
    <row r="1085" customFormat="false" ht="12.8" hidden="false" customHeight="false" outlineLevel="0" collapsed="false">
      <c r="A1085" s="0" t="s">
        <v>291</v>
      </c>
      <c r="B1085" s="23" t="n">
        <v>10.98</v>
      </c>
      <c r="C1085" s="25" t="n">
        <v>0</v>
      </c>
      <c r="D1085" s="25" t="n">
        <v>1</v>
      </c>
      <c r="E1085" s="25" t="n">
        <v>0</v>
      </c>
      <c r="F1085" s="55" t="n">
        <v>0</v>
      </c>
      <c r="G1085" s="27" t="n">
        <v>43800</v>
      </c>
      <c r="H1085" s="24" t="n">
        <v>43803</v>
      </c>
      <c r="I1085" s="0" t="s">
        <v>72</v>
      </c>
    </row>
    <row r="1086" customFormat="false" ht="12.8" hidden="false" customHeight="false" outlineLevel="0" collapsed="false">
      <c r="A1086" s="0" t="s">
        <v>100</v>
      </c>
      <c r="B1086" s="23" t="n">
        <v>57.9</v>
      </c>
      <c r="C1086" s="25" t="n">
        <v>0</v>
      </c>
      <c r="D1086" s="25" t="n">
        <v>1</v>
      </c>
      <c r="E1086" s="25" t="n">
        <v>0</v>
      </c>
      <c r="F1086" s="55" t="n">
        <v>0</v>
      </c>
      <c r="G1086" s="27" t="n">
        <v>43800</v>
      </c>
      <c r="H1086" s="24" t="n">
        <v>43803</v>
      </c>
      <c r="I1086" s="0" t="s">
        <v>72</v>
      </c>
    </row>
    <row r="1087" customFormat="false" ht="12.8" hidden="false" customHeight="false" outlineLevel="0" collapsed="false">
      <c r="A1087" s="0" t="s">
        <v>103</v>
      </c>
      <c r="B1087" s="23" t="n">
        <v>16.9</v>
      </c>
      <c r="C1087" s="25" t="n">
        <v>0</v>
      </c>
      <c r="D1087" s="25" t="n">
        <v>1</v>
      </c>
      <c r="E1087" s="25" t="n">
        <v>0</v>
      </c>
      <c r="F1087" s="55" t="n">
        <v>0</v>
      </c>
      <c r="G1087" s="27" t="n">
        <v>43800</v>
      </c>
      <c r="H1087" s="24" t="n">
        <v>43803</v>
      </c>
      <c r="I1087" s="0" t="s">
        <v>72</v>
      </c>
    </row>
    <row r="1088" customFormat="false" ht="12.8" hidden="false" customHeight="false" outlineLevel="0" collapsed="false">
      <c r="A1088" s="0" t="s">
        <v>87</v>
      </c>
      <c r="B1088" s="23" t="n">
        <v>78.94</v>
      </c>
      <c r="C1088" s="25" t="n">
        <v>0</v>
      </c>
      <c r="D1088" s="25" t="n">
        <v>1</v>
      </c>
      <c r="E1088" s="25" t="n">
        <v>0</v>
      </c>
      <c r="F1088" s="55" t="n">
        <v>0</v>
      </c>
      <c r="G1088" s="27" t="n">
        <v>43800</v>
      </c>
      <c r="H1088" s="24" t="n">
        <v>43804</v>
      </c>
      <c r="I1088" s="0" t="s">
        <v>88</v>
      </c>
    </row>
    <row r="1089" customFormat="false" ht="12.8" hidden="false" customHeight="false" outlineLevel="0" collapsed="false">
      <c r="A1089" s="0" t="s">
        <v>442</v>
      </c>
      <c r="B1089" s="23" t="n">
        <v>14.52</v>
      </c>
      <c r="C1089" s="25" t="n">
        <v>0</v>
      </c>
      <c r="D1089" s="25" t="n">
        <v>1</v>
      </c>
      <c r="E1089" s="25" t="n">
        <v>0</v>
      </c>
      <c r="F1089" s="55" t="n">
        <v>0</v>
      </c>
      <c r="G1089" s="27" t="n">
        <v>43800</v>
      </c>
      <c r="H1089" s="24" t="n">
        <v>43808</v>
      </c>
      <c r="I1089" s="0" t="s">
        <v>84</v>
      </c>
    </row>
    <row r="1090" customFormat="false" ht="12.8" hidden="false" customHeight="false" outlineLevel="0" collapsed="false">
      <c r="A1090" s="0" t="s">
        <v>84</v>
      </c>
      <c r="B1090" s="23" t="n">
        <v>4.67</v>
      </c>
      <c r="C1090" s="25" t="n">
        <v>0</v>
      </c>
      <c r="D1090" s="25" t="n">
        <v>1</v>
      </c>
      <c r="E1090" s="25" t="n">
        <v>0</v>
      </c>
      <c r="F1090" s="55" t="n">
        <v>0</v>
      </c>
      <c r="G1090" s="27" t="n">
        <v>43800</v>
      </c>
      <c r="H1090" s="24" t="n">
        <v>43808</v>
      </c>
      <c r="I1090" s="0" t="s">
        <v>84</v>
      </c>
    </row>
    <row r="1091" customFormat="false" ht="12.8" hidden="false" customHeight="false" outlineLevel="0" collapsed="false">
      <c r="A1091" s="0" t="s">
        <v>199</v>
      </c>
      <c r="B1091" s="23" t="n">
        <v>34.66</v>
      </c>
      <c r="C1091" s="25" t="n">
        <v>0</v>
      </c>
      <c r="D1091" s="25" t="n">
        <v>1</v>
      </c>
      <c r="E1091" s="25" t="n">
        <v>0</v>
      </c>
      <c r="F1091" s="55" t="n">
        <v>0</v>
      </c>
      <c r="G1091" s="27" t="n">
        <v>43800</v>
      </c>
      <c r="H1091" s="24" t="n">
        <v>43808</v>
      </c>
      <c r="I1091" s="0" t="s">
        <v>116</v>
      </c>
    </row>
    <row r="1092" customFormat="false" ht="12.8" hidden="false" customHeight="false" outlineLevel="0" collapsed="false">
      <c r="A1092" s="0" t="s">
        <v>74</v>
      </c>
      <c r="B1092" s="23" t="n">
        <v>2.99</v>
      </c>
      <c r="C1092" s="25" t="n">
        <v>0</v>
      </c>
      <c r="D1092" s="25" t="n">
        <v>1</v>
      </c>
      <c r="E1092" s="25" t="n">
        <v>0</v>
      </c>
      <c r="F1092" s="55" t="n">
        <v>0</v>
      </c>
      <c r="G1092" s="27" t="n">
        <v>43800</v>
      </c>
      <c r="H1092" s="24" t="n">
        <v>43809</v>
      </c>
      <c r="I1092" s="0" t="s">
        <v>72</v>
      </c>
    </row>
    <row r="1093" customFormat="false" ht="12.8" hidden="false" customHeight="false" outlineLevel="0" collapsed="false">
      <c r="A1093" s="0" t="s">
        <v>112</v>
      </c>
      <c r="B1093" s="23" t="n">
        <v>4.5</v>
      </c>
      <c r="C1093" s="25" t="n">
        <v>0</v>
      </c>
      <c r="D1093" s="25" t="n">
        <v>1</v>
      </c>
      <c r="E1093" s="25" t="n">
        <v>0</v>
      </c>
      <c r="F1093" s="55" t="n">
        <v>0</v>
      </c>
      <c r="G1093" s="27" t="n">
        <v>43800</v>
      </c>
      <c r="H1093" s="24" t="n">
        <v>43810</v>
      </c>
      <c r="I1093" s="0" t="s">
        <v>72</v>
      </c>
    </row>
    <row r="1094" customFormat="false" ht="12.8" hidden="false" customHeight="false" outlineLevel="0" collapsed="false">
      <c r="A1094" s="0" t="s">
        <v>82</v>
      </c>
      <c r="B1094" s="23" t="n">
        <v>5</v>
      </c>
      <c r="C1094" s="25" t="n">
        <v>0</v>
      </c>
      <c r="D1094" s="25" t="n">
        <v>1</v>
      </c>
      <c r="E1094" s="25" t="n">
        <v>0</v>
      </c>
      <c r="F1094" s="55" t="n">
        <v>0</v>
      </c>
      <c r="G1094" s="27" t="n">
        <v>43800</v>
      </c>
      <c r="H1094" s="24" t="n">
        <v>43810</v>
      </c>
      <c r="I1094" s="0" t="s">
        <v>72</v>
      </c>
    </row>
    <row r="1095" customFormat="false" ht="12.8" hidden="false" customHeight="false" outlineLevel="0" collapsed="false">
      <c r="A1095" s="0" t="s">
        <v>357</v>
      </c>
      <c r="B1095" s="23" t="n">
        <v>4.5</v>
      </c>
      <c r="C1095" s="25" t="n">
        <v>0</v>
      </c>
      <c r="D1095" s="25" t="n">
        <v>1</v>
      </c>
      <c r="E1095" s="25" t="n">
        <v>0</v>
      </c>
      <c r="F1095" s="55" t="n">
        <v>0</v>
      </c>
      <c r="G1095" s="27" t="n">
        <v>43800</v>
      </c>
      <c r="H1095" s="24" t="n">
        <v>43810</v>
      </c>
      <c r="I1095" s="0" t="s">
        <v>72</v>
      </c>
    </row>
    <row r="1096" customFormat="false" ht="12.8" hidden="false" customHeight="false" outlineLevel="0" collapsed="false">
      <c r="A1096" s="0" t="s">
        <v>331</v>
      </c>
      <c r="B1096" s="23" t="n">
        <v>17.75</v>
      </c>
      <c r="C1096" s="25" t="n">
        <v>0</v>
      </c>
      <c r="D1096" s="25" t="n">
        <v>1</v>
      </c>
      <c r="E1096" s="25" t="n">
        <v>0</v>
      </c>
      <c r="F1096" s="55" t="n">
        <v>0</v>
      </c>
      <c r="G1096" s="27" t="n">
        <v>43800</v>
      </c>
      <c r="H1096" s="24" t="n">
        <v>43811</v>
      </c>
      <c r="I1096" s="0" t="s">
        <v>84</v>
      </c>
    </row>
    <row r="1097" customFormat="false" ht="12.8" hidden="false" customHeight="false" outlineLevel="0" collapsed="false">
      <c r="A1097" s="0" t="s">
        <v>357</v>
      </c>
      <c r="B1097" s="23" t="n">
        <v>4.5</v>
      </c>
      <c r="C1097" s="25" t="n">
        <v>0</v>
      </c>
      <c r="D1097" s="25" t="n">
        <v>1</v>
      </c>
      <c r="E1097" s="25" t="n">
        <v>0</v>
      </c>
      <c r="F1097" s="55" t="n">
        <v>0</v>
      </c>
      <c r="G1097" s="27" t="n">
        <v>43800</v>
      </c>
      <c r="H1097" s="24" t="n">
        <v>43811</v>
      </c>
      <c r="I1097" s="0" t="s">
        <v>72</v>
      </c>
    </row>
    <row r="1098" customFormat="false" ht="12.8" hidden="false" customHeight="false" outlineLevel="0" collapsed="false">
      <c r="A1098" s="0" t="s">
        <v>443</v>
      </c>
      <c r="B1098" s="23" t="n">
        <v>100</v>
      </c>
      <c r="C1098" s="25" t="n">
        <v>0</v>
      </c>
      <c r="D1098" s="25" t="n">
        <v>1</v>
      </c>
      <c r="E1098" s="25" t="n">
        <v>0</v>
      </c>
      <c r="F1098" s="55" t="n">
        <v>0</v>
      </c>
      <c r="G1098" s="27" t="n">
        <v>43800</v>
      </c>
      <c r="H1098" s="24" t="n">
        <v>43812</v>
      </c>
      <c r="I1098" s="0" t="s">
        <v>81</v>
      </c>
    </row>
    <row r="1099" customFormat="false" ht="12.8" hidden="false" customHeight="false" outlineLevel="0" collapsed="false">
      <c r="A1099" s="0" t="s">
        <v>60</v>
      </c>
      <c r="B1099" s="23" t="n">
        <v>300</v>
      </c>
      <c r="C1099" s="25" t="n">
        <v>0</v>
      </c>
      <c r="D1099" s="25" t="n">
        <v>1</v>
      </c>
      <c r="E1099" s="25" t="n">
        <v>0</v>
      </c>
      <c r="F1099" s="55" t="n">
        <v>0</v>
      </c>
      <c r="G1099" s="27" t="n">
        <v>43800</v>
      </c>
      <c r="H1099" s="24" t="n">
        <v>43812</v>
      </c>
      <c r="I1099" s="0" t="s">
        <v>60</v>
      </c>
    </row>
    <row r="1100" customFormat="false" ht="12.8" hidden="false" customHeight="false" outlineLevel="0" collapsed="false">
      <c r="A1100" s="0" t="s">
        <v>357</v>
      </c>
      <c r="B1100" s="23" t="n">
        <v>9</v>
      </c>
      <c r="C1100" s="25" t="n">
        <v>0</v>
      </c>
      <c r="D1100" s="25" t="n">
        <v>1</v>
      </c>
      <c r="E1100" s="25" t="n">
        <v>0</v>
      </c>
      <c r="F1100" s="55" t="n">
        <v>0</v>
      </c>
      <c r="G1100" s="27" t="n">
        <v>43800</v>
      </c>
      <c r="H1100" s="24" t="n">
        <v>43812</v>
      </c>
      <c r="I1100" s="0" t="s">
        <v>72</v>
      </c>
    </row>
    <row r="1101" customFormat="false" ht="12.8" hidden="false" customHeight="false" outlineLevel="0" collapsed="false">
      <c r="A1101" s="0" t="s">
        <v>105</v>
      </c>
      <c r="B1101" s="23" t="n">
        <v>211.37</v>
      </c>
      <c r="C1101" s="25" t="n">
        <v>0</v>
      </c>
      <c r="D1101" s="25" t="n">
        <v>1</v>
      </c>
      <c r="E1101" s="25" t="n">
        <v>0</v>
      </c>
      <c r="F1101" s="55" t="n">
        <v>0</v>
      </c>
      <c r="G1101" s="27" t="n">
        <v>43800</v>
      </c>
      <c r="H1101" s="24" t="n">
        <v>43813</v>
      </c>
      <c r="I1101" s="0" t="s">
        <v>106</v>
      </c>
    </row>
    <row r="1102" customFormat="false" ht="12.8" hidden="false" customHeight="false" outlineLevel="0" collapsed="false">
      <c r="A1102" s="0" t="s">
        <v>84</v>
      </c>
      <c r="B1102" s="23" t="n">
        <v>27.77</v>
      </c>
      <c r="C1102" s="25" t="n">
        <v>0</v>
      </c>
      <c r="D1102" s="25" t="n">
        <v>1</v>
      </c>
      <c r="E1102" s="25" t="n">
        <v>0</v>
      </c>
      <c r="F1102" s="55" t="n">
        <v>0</v>
      </c>
      <c r="G1102" s="27" t="n">
        <v>43800</v>
      </c>
      <c r="H1102" s="24" t="n">
        <v>43813</v>
      </c>
      <c r="I1102" s="0" t="s">
        <v>84</v>
      </c>
    </row>
    <row r="1103" customFormat="false" ht="12.8" hidden="false" customHeight="false" outlineLevel="0" collapsed="false">
      <c r="A1103" s="0" t="s">
        <v>73</v>
      </c>
      <c r="B1103" s="23" t="n">
        <v>25</v>
      </c>
      <c r="C1103" s="25" t="n">
        <v>0</v>
      </c>
      <c r="D1103" s="25" t="n">
        <v>1</v>
      </c>
      <c r="E1103" s="25" t="n">
        <v>0</v>
      </c>
      <c r="F1103" s="55" t="n">
        <v>0</v>
      </c>
      <c r="G1103" s="27" t="n">
        <v>43800</v>
      </c>
      <c r="H1103" s="24" t="n">
        <v>43813</v>
      </c>
      <c r="I1103" s="0" t="s">
        <v>73</v>
      </c>
    </row>
    <row r="1104" customFormat="false" ht="12.8" hidden="false" customHeight="false" outlineLevel="0" collapsed="false">
      <c r="A1104" s="0" t="s">
        <v>444</v>
      </c>
      <c r="B1104" s="23" t="n">
        <v>74</v>
      </c>
      <c r="C1104" s="25" t="n">
        <v>0</v>
      </c>
      <c r="D1104" s="25" t="n">
        <v>1</v>
      </c>
      <c r="E1104" s="25" t="n">
        <v>0</v>
      </c>
      <c r="F1104" s="55" t="n">
        <v>0</v>
      </c>
      <c r="G1104" s="27" t="n">
        <v>43800</v>
      </c>
      <c r="H1104" s="24" t="n">
        <v>43813</v>
      </c>
      <c r="I1104" s="0" t="s">
        <v>73</v>
      </c>
    </row>
    <row r="1105" customFormat="false" ht="12.8" hidden="false" customHeight="false" outlineLevel="0" collapsed="false">
      <c r="A1105" s="0" t="s">
        <v>445</v>
      </c>
      <c r="B1105" s="23" t="n">
        <v>15.7</v>
      </c>
      <c r="C1105" s="25" t="n">
        <v>0</v>
      </c>
      <c r="D1105" s="25" t="n">
        <v>1</v>
      </c>
      <c r="E1105" s="25" t="n">
        <v>0</v>
      </c>
      <c r="F1105" s="55" t="n">
        <v>0</v>
      </c>
      <c r="G1105" s="27" t="n">
        <v>43800</v>
      </c>
      <c r="H1105" s="24" t="n">
        <v>43814</v>
      </c>
      <c r="I1105" s="0" t="s">
        <v>72</v>
      </c>
    </row>
    <row r="1106" customFormat="false" ht="12.8" hidden="false" customHeight="false" outlineLevel="0" collapsed="false">
      <c r="A1106" s="0" t="s">
        <v>192</v>
      </c>
      <c r="B1106" s="23" t="n">
        <v>17.98</v>
      </c>
      <c r="C1106" s="25" t="n">
        <v>0</v>
      </c>
      <c r="D1106" s="25" t="n">
        <v>1</v>
      </c>
      <c r="E1106" s="25" t="n">
        <v>0</v>
      </c>
      <c r="F1106" s="55" t="n">
        <v>0</v>
      </c>
      <c r="G1106" s="27" t="n">
        <v>43800</v>
      </c>
      <c r="H1106" s="24" t="n">
        <v>43815</v>
      </c>
      <c r="I1106" s="0" t="s">
        <v>116</v>
      </c>
    </row>
    <row r="1107" customFormat="false" ht="12.8" hidden="false" customHeight="false" outlineLevel="0" collapsed="false">
      <c r="A1107" s="0" t="s">
        <v>73</v>
      </c>
      <c r="B1107" s="23" t="n">
        <v>9.9</v>
      </c>
      <c r="C1107" s="25" t="n">
        <v>0</v>
      </c>
      <c r="D1107" s="25" t="n">
        <v>1</v>
      </c>
      <c r="E1107" s="25" t="n">
        <v>0</v>
      </c>
      <c r="F1107" s="55" t="n">
        <v>0</v>
      </c>
      <c r="G1107" s="27" t="n">
        <v>43800</v>
      </c>
      <c r="H1107" s="24" t="n">
        <v>43816</v>
      </c>
      <c r="I1107" s="0" t="s">
        <v>73</v>
      </c>
    </row>
    <row r="1108" customFormat="false" ht="12.8" hidden="false" customHeight="false" outlineLevel="0" collapsed="false">
      <c r="A1108" s="0" t="s">
        <v>79</v>
      </c>
      <c r="B1108" s="23" t="n">
        <v>164.49</v>
      </c>
      <c r="C1108" s="25" t="n">
        <v>0</v>
      </c>
      <c r="D1108" s="25" t="n">
        <v>1</v>
      </c>
      <c r="E1108" s="25" t="n">
        <v>0</v>
      </c>
      <c r="F1108" s="55" t="n">
        <v>0</v>
      </c>
      <c r="G1108" s="27" t="n">
        <v>43800</v>
      </c>
      <c r="H1108" s="24" t="n">
        <v>43816</v>
      </c>
      <c r="I1108" s="0" t="s">
        <v>79</v>
      </c>
    </row>
    <row r="1109" customFormat="false" ht="12.8" hidden="false" customHeight="false" outlineLevel="0" collapsed="false">
      <c r="A1109" s="0" t="s">
        <v>116</v>
      </c>
      <c r="B1109" s="23" t="n">
        <v>28.67</v>
      </c>
      <c r="C1109" s="25" t="n">
        <v>0</v>
      </c>
      <c r="D1109" s="25" t="n">
        <v>1</v>
      </c>
      <c r="E1109" s="25" t="n">
        <v>0</v>
      </c>
      <c r="F1109" s="55" t="n">
        <v>0</v>
      </c>
      <c r="G1109" s="27" t="n">
        <v>43800</v>
      </c>
      <c r="H1109" s="24" t="n">
        <v>43816</v>
      </c>
      <c r="I1109" s="0" t="s">
        <v>116</v>
      </c>
    </row>
    <row r="1110" customFormat="false" ht="12.8" hidden="false" customHeight="false" outlineLevel="0" collapsed="false">
      <c r="A1110" s="0" t="s">
        <v>35</v>
      </c>
      <c r="B1110" s="23" t="n">
        <v>710</v>
      </c>
      <c r="C1110" s="25" t="n">
        <v>0</v>
      </c>
      <c r="D1110" s="25" t="n">
        <v>1</v>
      </c>
      <c r="E1110" s="25" t="n">
        <v>0</v>
      </c>
      <c r="F1110" s="55" t="n">
        <v>0</v>
      </c>
      <c r="G1110" s="27" t="n">
        <v>43800</v>
      </c>
      <c r="H1110" s="24" t="n">
        <v>43817</v>
      </c>
      <c r="I1110" s="0" t="s">
        <v>35</v>
      </c>
    </row>
    <row r="1111" customFormat="false" ht="12.8" hidden="false" customHeight="false" outlineLevel="0" collapsed="false">
      <c r="A1111" s="0" t="s">
        <v>307</v>
      </c>
      <c r="B1111" s="23" t="n">
        <v>500</v>
      </c>
      <c r="C1111" s="25" t="n">
        <v>0</v>
      </c>
      <c r="D1111" s="25" t="n">
        <v>1</v>
      </c>
      <c r="E1111" s="25" t="n">
        <v>0</v>
      </c>
      <c r="F1111" s="55" t="n">
        <v>0</v>
      </c>
      <c r="G1111" s="27" t="n">
        <v>43800</v>
      </c>
      <c r="H1111" s="24" t="n">
        <v>43817</v>
      </c>
      <c r="I1111" s="0" t="s">
        <v>307</v>
      </c>
    </row>
    <row r="1112" customFormat="false" ht="12.8" hidden="false" customHeight="false" outlineLevel="0" collapsed="false">
      <c r="A1112" s="0" t="s">
        <v>82</v>
      </c>
      <c r="B1112" s="23" t="n">
        <v>8</v>
      </c>
      <c r="C1112" s="25" t="n">
        <v>0</v>
      </c>
      <c r="D1112" s="25" t="n">
        <v>1</v>
      </c>
      <c r="E1112" s="25" t="n">
        <v>0</v>
      </c>
      <c r="F1112" s="55" t="n">
        <v>0</v>
      </c>
      <c r="G1112" s="27" t="n">
        <v>43800</v>
      </c>
      <c r="H1112" s="24" t="n">
        <v>43818</v>
      </c>
      <c r="I1112" s="0" t="s">
        <v>72</v>
      </c>
    </row>
    <row r="1113" customFormat="false" ht="12.8" hidden="false" customHeight="false" outlineLevel="0" collapsed="false">
      <c r="A1113" s="0" t="s">
        <v>73</v>
      </c>
      <c r="B1113" s="23" t="n">
        <v>40</v>
      </c>
      <c r="C1113" s="25" t="n">
        <v>0</v>
      </c>
      <c r="D1113" s="25" t="n">
        <v>1</v>
      </c>
      <c r="E1113" s="25" t="n">
        <v>0</v>
      </c>
      <c r="F1113" s="55" t="n">
        <v>0</v>
      </c>
      <c r="G1113" s="27" t="n">
        <v>43800</v>
      </c>
      <c r="H1113" s="24" t="n">
        <v>43818</v>
      </c>
      <c r="I1113" s="0" t="s">
        <v>73</v>
      </c>
    </row>
    <row r="1114" customFormat="false" ht="12.8" hidden="false" customHeight="false" outlineLevel="0" collapsed="false">
      <c r="A1114" s="0" t="s">
        <v>116</v>
      </c>
      <c r="B1114" s="23" t="n">
        <v>17.5</v>
      </c>
      <c r="C1114" s="25" t="n">
        <v>0</v>
      </c>
      <c r="D1114" s="25" t="n">
        <v>1</v>
      </c>
      <c r="E1114" s="25" t="n">
        <v>0</v>
      </c>
      <c r="F1114" s="55" t="n">
        <v>0</v>
      </c>
      <c r="G1114" s="27" t="n">
        <v>43800</v>
      </c>
      <c r="H1114" s="24" t="n">
        <v>43818</v>
      </c>
      <c r="I1114" s="0" t="s">
        <v>116</v>
      </c>
    </row>
    <row r="1115" customFormat="false" ht="12.8" hidden="false" customHeight="false" outlineLevel="0" collapsed="false">
      <c r="A1115" s="0" t="s">
        <v>446</v>
      </c>
      <c r="B1115" s="23" t="n">
        <v>9</v>
      </c>
      <c r="C1115" s="25" t="n">
        <v>0</v>
      </c>
      <c r="D1115" s="25" t="n">
        <v>1</v>
      </c>
      <c r="E1115" s="25" t="n">
        <v>0</v>
      </c>
      <c r="F1115" s="55" t="n">
        <v>0</v>
      </c>
      <c r="G1115" s="27" t="n">
        <v>43800</v>
      </c>
      <c r="H1115" s="24" t="n">
        <v>43818</v>
      </c>
      <c r="I1115" s="0" t="s">
        <v>72</v>
      </c>
    </row>
    <row r="1116" customFormat="false" ht="12.8" hidden="false" customHeight="false" outlineLevel="0" collapsed="false">
      <c r="A1116" s="0" t="s">
        <v>447</v>
      </c>
      <c r="B1116" s="23" t="n">
        <v>3</v>
      </c>
      <c r="C1116" s="25" t="n">
        <v>0</v>
      </c>
      <c r="D1116" s="25" t="n">
        <v>1</v>
      </c>
      <c r="E1116" s="25" t="n">
        <v>0</v>
      </c>
      <c r="F1116" s="55" t="n">
        <v>0</v>
      </c>
      <c r="G1116" s="27" t="n">
        <v>43800</v>
      </c>
      <c r="H1116" s="24" t="n">
        <v>43818</v>
      </c>
      <c r="I1116" s="0" t="s">
        <v>72</v>
      </c>
    </row>
    <row r="1117" customFormat="false" ht="12.8" hidden="false" customHeight="false" outlineLevel="0" collapsed="false">
      <c r="A1117" s="0" t="s">
        <v>448</v>
      </c>
      <c r="B1117" s="23" t="n">
        <v>2</v>
      </c>
      <c r="C1117" s="25" t="n">
        <v>0</v>
      </c>
      <c r="D1117" s="25" t="n">
        <v>1</v>
      </c>
      <c r="E1117" s="25" t="n">
        <v>0</v>
      </c>
      <c r="F1117" s="55" t="n">
        <v>0</v>
      </c>
      <c r="G1117" s="27" t="n">
        <v>43800</v>
      </c>
      <c r="H1117" s="24" t="n">
        <v>43818</v>
      </c>
      <c r="I1117" s="0" t="s">
        <v>72</v>
      </c>
    </row>
    <row r="1118" customFormat="false" ht="12.8" hidden="false" customHeight="false" outlineLevel="0" collapsed="false">
      <c r="A1118" s="0" t="s">
        <v>449</v>
      </c>
      <c r="B1118" s="23" t="n">
        <v>61.21</v>
      </c>
      <c r="C1118" s="25" t="n">
        <v>0</v>
      </c>
      <c r="D1118" s="25" t="n">
        <v>1</v>
      </c>
      <c r="E1118" s="25" t="n">
        <v>0</v>
      </c>
      <c r="F1118" s="55" t="n">
        <v>0</v>
      </c>
      <c r="G1118" s="27" t="n">
        <v>43800</v>
      </c>
      <c r="H1118" s="24" t="n">
        <v>43819</v>
      </c>
      <c r="I1118" s="0" t="s">
        <v>325</v>
      </c>
    </row>
    <row r="1119" customFormat="false" ht="12.8" hidden="false" customHeight="false" outlineLevel="0" collapsed="false">
      <c r="A1119" s="0" t="s">
        <v>264</v>
      </c>
      <c r="B1119" s="23" t="n">
        <v>90</v>
      </c>
      <c r="C1119" s="25" t="n">
        <v>0</v>
      </c>
      <c r="D1119" s="25" t="n">
        <v>1</v>
      </c>
      <c r="E1119" s="25" t="n">
        <v>0</v>
      </c>
      <c r="F1119" s="55" t="n">
        <v>0</v>
      </c>
      <c r="G1119" s="27" t="n">
        <v>43800</v>
      </c>
      <c r="H1119" s="24" t="n">
        <v>43819</v>
      </c>
      <c r="I1119" s="0" t="s">
        <v>325</v>
      </c>
    </row>
    <row r="1120" customFormat="false" ht="12.8" hidden="false" customHeight="false" outlineLevel="0" collapsed="false">
      <c r="A1120" s="0" t="s">
        <v>73</v>
      </c>
      <c r="B1120" s="23" t="n">
        <v>15.51</v>
      </c>
      <c r="C1120" s="25" t="n">
        <v>0</v>
      </c>
      <c r="D1120" s="25" t="n">
        <v>1</v>
      </c>
      <c r="E1120" s="25" t="n">
        <v>0</v>
      </c>
      <c r="F1120" s="55" t="n">
        <v>0</v>
      </c>
      <c r="G1120" s="27" t="n">
        <v>43800</v>
      </c>
      <c r="H1120" s="24" t="n">
        <v>43819</v>
      </c>
      <c r="I1120" s="0" t="s">
        <v>73</v>
      </c>
    </row>
    <row r="1121" customFormat="false" ht="12.8" hidden="false" customHeight="false" outlineLevel="0" collapsed="false">
      <c r="A1121" s="0" t="s">
        <v>450</v>
      </c>
      <c r="B1121" s="23" t="n">
        <v>15.88</v>
      </c>
      <c r="C1121" s="25" t="n">
        <v>0</v>
      </c>
      <c r="D1121" s="25" t="n">
        <v>1</v>
      </c>
      <c r="E1121" s="25" t="n">
        <v>0</v>
      </c>
      <c r="F1121" s="55" t="n">
        <v>0</v>
      </c>
      <c r="G1121" s="27" t="n">
        <v>43800</v>
      </c>
      <c r="H1121" s="24" t="n">
        <v>43819</v>
      </c>
      <c r="I1121" s="0" t="s">
        <v>68</v>
      </c>
    </row>
    <row r="1122" customFormat="false" ht="12.8" hidden="false" customHeight="false" outlineLevel="0" collapsed="false">
      <c r="A1122" s="0" t="s">
        <v>112</v>
      </c>
      <c r="B1122" s="23" t="n">
        <v>5</v>
      </c>
      <c r="C1122" s="25" t="n">
        <v>0</v>
      </c>
      <c r="D1122" s="25" t="n">
        <v>1</v>
      </c>
      <c r="E1122" s="25" t="n">
        <v>0</v>
      </c>
      <c r="F1122" s="55" t="n">
        <v>0</v>
      </c>
      <c r="G1122" s="27" t="n">
        <v>43800</v>
      </c>
      <c r="H1122" s="24" t="n">
        <v>43819</v>
      </c>
      <c r="I1122" s="0" t="s">
        <v>72</v>
      </c>
    </row>
    <row r="1123" customFormat="false" ht="12.8" hidden="false" customHeight="false" outlineLevel="0" collapsed="false">
      <c r="A1123" s="0" t="s">
        <v>451</v>
      </c>
      <c r="B1123" s="23" t="n">
        <v>198</v>
      </c>
      <c r="C1123" s="25" t="n">
        <v>0</v>
      </c>
      <c r="D1123" s="25" t="n">
        <v>1</v>
      </c>
      <c r="E1123" s="25" t="n">
        <v>0</v>
      </c>
      <c r="F1123" s="55" t="n">
        <v>0</v>
      </c>
      <c r="G1123" s="27" t="n">
        <v>43800</v>
      </c>
      <c r="H1123" s="24" t="n">
        <v>43819</v>
      </c>
      <c r="I1123" s="0" t="s">
        <v>68</v>
      </c>
    </row>
    <row r="1124" customFormat="false" ht="12.8" hidden="false" customHeight="false" outlineLevel="0" collapsed="false">
      <c r="A1124" s="0" t="s">
        <v>452</v>
      </c>
      <c r="B1124" s="23" t="n">
        <v>13.93</v>
      </c>
      <c r="C1124" s="25" t="n">
        <v>0</v>
      </c>
      <c r="D1124" s="25" t="n">
        <v>1</v>
      </c>
      <c r="E1124" s="25" t="n">
        <v>0</v>
      </c>
      <c r="F1124" s="55" t="n">
        <v>0</v>
      </c>
      <c r="G1124" s="27" t="n">
        <v>43800</v>
      </c>
      <c r="H1124" s="24" t="n">
        <v>43819</v>
      </c>
      <c r="I1124" s="0" t="s">
        <v>68</v>
      </c>
    </row>
    <row r="1125" customFormat="false" ht="13.8" hidden="false" customHeight="false" outlineLevel="0" collapsed="false">
      <c r="A1125" s="62" t="s">
        <v>453</v>
      </c>
      <c r="B1125" s="63" t="n">
        <v>16.21</v>
      </c>
      <c r="C1125" s="25" t="n">
        <v>0</v>
      </c>
      <c r="D1125" s="25" t="n">
        <v>1</v>
      </c>
      <c r="E1125" s="25" t="n">
        <v>0</v>
      </c>
      <c r="F1125" s="55" t="n">
        <v>0</v>
      </c>
      <c r="G1125" s="27" t="n">
        <v>43800</v>
      </c>
      <c r="H1125" s="24" t="n">
        <v>43822</v>
      </c>
      <c r="I1125" s="0" t="s">
        <v>106</v>
      </c>
    </row>
    <row r="1126" customFormat="false" ht="13.8" hidden="false" customHeight="false" outlineLevel="0" collapsed="false">
      <c r="A1126" s="62" t="s">
        <v>454</v>
      </c>
      <c r="B1126" s="63" t="n">
        <v>1858.88</v>
      </c>
      <c r="C1126" s="25" t="n">
        <v>0</v>
      </c>
      <c r="D1126" s="25" t="n">
        <v>1</v>
      </c>
      <c r="E1126" s="25" t="n">
        <v>0</v>
      </c>
      <c r="F1126" s="55" t="n">
        <v>0</v>
      </c>
      <c r="G1126" s="27" t="n">
        <v>43800</v>
      </c>
      <c r="H1126" s="24" t="n">
        <v>43822</v>
      </c>
      <c r="I1126" s="0" t="s">
        <v>106</v>
      </c>
    </row>
    <row r="1127" customFormat="false" ht="13.8" hidden="false" customHeight="false" outlineLevel="0" collapsed="false">
      <c r="A1127" s="62" t="s">
        <v>455</v>
      </c>
      <c r="B1127" s="63" t="n">
        <v>416.63</v>
      </c>
      <c r="C1127" s="25" t="n">
        <v>0</v>
      </c>
      <c r="D1127" s="25" t="n">
        <v>1</v>
      </c>
      <c r="E1127" s="25" t="n">
        <v>0</v>
      </c>
      <c r="F1127" s="55" t="n">
        <v>0</v>
      </c>
      <c r="G1127" s="27" t="n">
        <v>43800</v>
      </c>
      <c r="H1127" s="24" t="n">
        <v>43822</v>
      </c>
      <c r="I1127" s="0" t="s">
        <v>106</v>
      </c>
    </row>
    <row r="1128" customFormat="false" ht="13.8" hidden="false" customHeight="false" outlineLevel="0" collapsed="false">
      <c r="A1128" s="62" t="s">
        <v>456</v>
      </c>
      <c r="B1128" s="63" t="n">
        <v>842.93</v>
      </c>
      <c r="C1128" s="25" t="n">
        <v>0</v>
      </c>
      <c r="D1128" s="25" t="n">
        <v>1</v>
      </c>
      <c r="E1128" s="25" t="n">
        <v>0</v>
      </c>
      <c r="F1128" s="55" t="n">
        <v>0</v>
      </c>
      <c r="G1128" s="27" t="n">
        <v>43800</v>
      </c>
      <c r="H1128" s="24" t="n">
        <v>43822</v>
      </c>
      <c r="I1128" s="0" t="s">
        <v>106</v>
      </c>
    </row>
    <row r="1129" customFormat="false" ht="12.8" hidden="false" customHeight="false" outlineLevel="0" collapsed="false">
      <c r="A1129" s="0" t="s">
        <v>245</v>
      </c>
      <c r="B1129" s="64" t="n">
        <v>17</v>
      </c>
      <c r="C1129" s="25" t="n">
        <v>0</v>
      </c>
      <c r="D1129" s="25" t="n">
        <v>1</v>
      </c>
      <c r="E1129" s="25" t="n">
        <v>0</v>
      </c>
      <c r="F1129" s="55" t="n">
        <v>0</v>
      </c>
      <c r="G1129" s="27" t="n">
        <v>43800</v>
      </c>
      <c r="H1129" s="24" t="n">
        <v>43822</v>
      </c>
      <c r="I1129" s="0" t="s">
        <v>72</v>
      </c>
    </row>
    <row r="1130" customFormat="false" ht="12.8" hidden="false" customHeight="false" outlineLevel="0" collapsed="false">
      <c r="A1130" s="0" t="s">
        <v>73</v>
      </c>
      <c r="B1130" s="23" t="n">
        <v>31</v>
      </c>
      <c r="C1130" s="25" t="n">
        <v>0</v>
      </c>
      <c r="D1130" s="25" t="n">
        <v>1</v>
      </c>
      <c r="E1130" s="25" t="n">
        <v>0</v>
      </c>
      <c r="F1130" s="55" t="n">
        <v>0</v>
      </c>
      <c r="G1130" s="27" t="n">
        <v>43800</v>
      </c>
      <c r="H1130" s="24" t="n">
        <v>43822</v>
      </c>
      <c r="I1130" s="0" t="s">
        <v>73</v>
      </c>
    </row>
    <row r="1131" customFormat="false" ht="12.8" hidden="false" customHeight="false" outlineLevel="0" collapsed="false">
      <c r="A1131" s="0" t="s">
        <v>73</v>
      </c>
      <c r="B1131" s="23" t="n">
        <v>5.5</v>
      </c>
      <c r="C1131" s="25" t="n">
        <v>0</v>
      </c>
      <c r="D1131" s="25" t="n">
        <v>1</v>
      </c>
      <c r="E1131" s="25" t="n">
        <v>0</v>
      </c>
      <c r="F1131" s="55" t="n">
        <v>0</v>
      </c>
      <c r="G1131" s="27" t="n">
        <v>43800</v>
      </c>
      <c r="H1131" s="24" t="n">
        <v>43822</v>
      </c>
      <c r="I1131" s="0" t="s">
        <v>73</v>
      </c>
    </row>
    <row r="1132" customFormat="false" ht="12.8" hidden="false" customHeight="false" outlineLevel="0" collapsed="false">
      <c r="A1132" s="0" t="s">
        <v>73</v>
      </c>
      <c r="B1132" s="23" t="n">
        <v>18.9</v>
      </c>
      <c r="C1132" s="25" t="n">
        <v>0</v>
      </c>
      <c r="D1132" s="25" t="n">
        <v>1</v>
      </c>
      <c r="E1132" s="25" t="n">
        <v>0</v>
      </c>
      <c r="F1132" s="55" t="n">
        <v>0</v>
      </c>
      <c r="G1132" s="27" t="n">
        <v>43800</v>
      </c>
      <c r="H1132" s="24" t="n">
        <v>43822</v>
      </c>
      <c r="I1132" s="0" t="s">
        <v>73</v>
      </c>
    </row>
    <row r="1133" customFormat="false" ht="12.8" hidden="false" customHeight="false" outlineLevel="0" collapsed="false">
      <c r="A1133" s="0" t="s">
        <v>158</v>
      </c>
      <c r="B1133" s="23" t="n">
        <v>19.9</v>
      </c>
      <c r="C1133" s="25" t="n">
        <v>0</v>
      </c>
      <c r="D1133" s="25" t="n">
        <v>1</v>
      </c>
      <c r="E1133" s="25" t="n">
        <v>0</v>
      </c>
      <c r="F1133" s="55" t="n">
        <v>0</v>
      </c>
      <c r="G1133" s="27" t="n">
        <v>43800</v>
      </c>
      <c r="H1133" s="24" t="n">
        <v>43822</v>
      </c>
      <c r="I1133" s="0" t="s">
        <v>72</v>
      </c>
    </row>
    <row r="1134" customFormat="false" ht="12.8" hidden="false" customHeight="false" outlineLevel="0" collapsed="false">
      <c r="A1134" s="0" t="s">
        <v>457</v>
      </c>
      <c r="B1134" s="23" t="n">
        <v>8</v>
      </c>
      <c r="C1134" s="25" t="n">
        <v>0</v>
      </c>
      <c r="D1134" s="25" t="n">
        <v>1</v>
      </c>
      <c r="E1134" s="25" t="n">
        <v>0</v>
      </c>
      <c r="F1134" s="55" t="n">
        <v>0</v>
      </c>
      <c r="G1134" s="27" t="n">
        <v>43800</v>
      </c>
      <c r="H1134" s="24" t="n">
        <v>43822</v>
      </c>
      <c r="I1134" s="0" t="s">
        <v>81</v>
      </c>
    </row>
    <row r="1135" customFormat="false" ht="12.8" hidden="false" customHeight="false" outlineLevel="0" collapsed="false">
      <c r="A1135" s="0" t="s">
        <v>457</v>
      </c>
      <c r="B1135" s="23" t="n">
        <v>16</v>
      </c>
      <c r="C1135" s="25" t="n">
        <v>0</v>
      </c>
      <c r="D1135" s="25" t="n">
        <v>1</v>
      </c>
      <c r="E1135" s="25" t="n">
        <v>0</v>
      </c>
      <c r="F1135" s="55" t="n">
        <v>0</v>
      </c>
      <c r="G1135" s="27" t="n">
        <v>43800</v>
      </c>
      <c r="H1135" s="24" t="n">
        <v>43822</v>
      </c>
      <c r="I1135" s="0" t="s">
        <v>81</v>
      </c>
    </row>
    <row r="1136" customFormat="false" ht="12.8" hidden="false" customHeight="false" outlineLevel="0" collapsed="false">
      <c r="A1136" s="0" t="s">
        <v>84</v>
      </c>
      <c r="B1136" s="23" t="n">
        <v>5.5</v>
      </c>
      <c r="C1136" s="25" t="n">
        <v>0</v>
      </c>
      <c r="D1136" s="25" t="n">
        <v>1</v>
      </c>
      <c r="E1136" s="25" t="n">
        <v>0</v>
      </c>
      <c r="F1136" s="55" t="n">
        <v>0</v>
      </c>
      <c r="G1136" s="27" t="n">
        <v>43800</v>
      </c>
      <c r="H1136" s="24" t="n">
        <v>43823</v>
      </c>
      <c r="I1136" s="0" t="s">
        <v>84</v>
      </c>
    </row>
    <row r="1137" customFormat="false" ht="12.8" hidden="false" customHeight="false" outlineLevel="0" collapsed="false">
      <c r="A1137" s="0" t="s">
        <v>85</v>
      </c>
      <c r="B1137" s="23" t="n">
        <v>100</v>
      </c>
      <c r="C1137" s="25" t="n">
        <v>0</v>
      </c>
      <c r="D1137" s="25" t="n">
        <v>1</v>
      </c>
      <c r="E1137" s="25" t="n">
        <v>0</v>
      </c>
      <c r="F1137" s="55" t="n">
        <v>0</v>
      </c>
      <c r="G1137" s="27" t="n">
        <v>43800</v>
      </c>
      <c r="H1137" s="24" t="n">
        <v>43829</v>
      </c>
      <c r="I1137" s="0" t="s">
        <v>85</v>
      </c>
    </row>
    <row r="1138" customFormat="false" ht="12.8" hidden="false" customHeight="false" outlineLevel="0" collapsed="false">
      <c r="A1138" s="0" t="s">
        <v>264</v>
      </c>
      <c r="B1138" s="23" t="n">
        <v>60</v>
      </c>
      <c r="C1138" s="25" t="n">
        <v>0</v>
      </c>
      <c r="D1138" s="25" t="n">
        <v>1</v>
      </c>
      <c r="E1138" s="25" t="n">
        <v>0</v>
      </c>
      <c r="F1138" s="55" t="n">
        <v>0</v>
      </c>
      <c r="G1138" s="27" t="n">
        <v>43800</v>
      </c>
      <c r="H1138" s="24" t="n">
        <v>43829</v>
      </c>
      <c r="I1138" s="0" t="s">
        <v>81</v>
      </c>
    </row>
    <row r="1139" customFormat="false" ht="12.8" hidden="false" customHeight="false" outlineLevel="0" collapsed="false">
      <c r="A1139" s="0" t="s">
        <v>264</v>
      </c>
      <c r="B1139" s="23" t="n">
        <v>91.53</v>
      </c>
      <c r="C1139" s="25" t="n">
        <v>0</v>
      </c>
      <c r="D1139" s="25" t="n">
        <v>1</v>
      </c>
      <c r="E1139" s="25" t="n">
        <v>0</v>
      </c>
      <c r="F1139" s="55" t="n">
        <v>0</v>
      </c>
      <c r="G1139" s="27" t="n">
        <v>43800</v>
      </c>
      <c r="H1139" s="24" t="n">
        <v>43829</v>
      </c>
      <c r="I1139" s="0" t="s">
        <v>81</v>
      </c>
    </row>
    <row r="1140" customFormat="false" ht="12.8" hidden="false" customHeight="false" outlineLevel="0" collapsed="false">
      <c r="A1140" s="0" t="s">
        <v>458</v>
      </c>
      <c r="B1140" s="23" t="n">
        <v>20</v>
      </c>
      <c r="C1140" s="25" t="n">
        <v>0</v>
      </c>
      <c r="D1140" s="25" t="n">
        <v>1</v>
      </c>
      <c r="E1140" s="25" t="n">
        <v>0</v>
      </c>
      <c r="F1140" s="55" t="n">
        <v>0</v>
      </c>
      <c r="G1140" s="27" t="n">
        <v>43800</v>
      </c>
      <c r="H1140" s="24" t="n">
        <v>43829</v>
      </c>
      <c r="I1140" s="0" t="s">
        <v>72</v>
      </c>
    </row>
    <row r="1141" customFormat="false" ht="12.8" hidden="false" customHeight="false" outlineLevel="0" collapsed="false">
      <c r="A1141" s="0" t="s">
        <v>459</v>
      </c>
      <c r="B1141" s="23" t="n">
        <v>120</v>
      </c>
      <c r="C1141" s="25" t="n">
        <v>0</v>
      </c>
      <c r="D1141" s="25" t="n">
        <v>1</v>
      </c>
      <c r="E1141" s="25" t="n">
        <v>0</v>
      </c>
      <c r="F1141" s="55" t="n">
        <v>0</v>
      </c>
      <c r="G1141" s="27" t="n">
        <v>43800</v>
      </c>
      <c r="H1141" s="24" t="n">
        <v>43829</v>
      </c>
      <c r="I1141" s="0" t="s">
        <v>138</v>
      </c>
    </row>
    <row r="1142" customFormat="false" ht="12.8" hidden="false" customHeight="false" outlineLevel="0" collapsed="false">
      <c r="A1142" s="0" t="s">
        <v>460</v>
      </c>
      <c r="B1142" s="23" t="n">
        <v>7.5</v>
      </c>
      <c r="C1142" s="25" t="n">
        <v>0</v>
      </c>
      <c r="D1142" s="25" t="n">
        <v>1</v>
      </c>
      <c r="E1142" s="25" t="n">
        <v>0</v>
      </c>
      <c r="F1142" s="55" t="n">
        <v>0</v>
      </c>
      <c r="G1142" s="27" t="n">
        <v>43800</v>
      </c>
      <c r="H1142" s="24" t="n">
        <v>43829</v>
      </c>
      <c r="I1142" s="0" t="s">
        <v>116</v>
      </c>
    </row>
    <row r="1143" customFormat="false" ht="12.8" hidden="false" customHeight="false" outlineLevel="0" collapsed="false">
      <c r="A1143" s="0" t="s">
        <v>461</v>
      </c>
      <c r="B1143" s="23" t="n">
        <v>50.81</v>
      </c>
      <c r="C1143" s="25" t="n">
        <v>0</v>
      </c>
      <c r="D1143" s="25" t="n">
        <v>1</v>
      </c>
      <c r="E1143" s="25" t="n">
        <v>0</v>
      </c>
      <c r="F1143" s="55" t="n">
        <v>0</v>
      </c>
      <c r="G1143" s="27" t="n">
        <v>43800</v>
      </c>
      <c r="H1143" s="24" t="n">
        <v>43829</v>
      </c>
      <c r="I1143" s="0" t="s">
        <v>81</v>
      </c>
    </row>
    <row r="1144" customFormat="false" ht="12.8" hidden="false" customHeight="false" outlineLevel="0" collapsed="false">
      <c r="A1144" s="0" t="s">
        <v>82</v>
      </c>
      <c r="B1144" s="23" t="n">
        <v>6</v>
      </c>
      <c r="C1144" s="25" t="n">
        <v>0</v>
      </c>
      <c r="D1144" s="25" t="n">
        <v>1</v>
      </c>
      <c r="E1144" s="25" t="n">
        <v>0</v>
      </c>
      <c r="F1144" s="55" t="n">
        <v>0</v>
      </c>
      <c r="G1144" s="27" t="n">
        <v>43800</v>
      </c>
      <c r="H1144" s="24" t="n">
        <v>43829</v>
      </c>
      <c r="I1144" s="0" t="s">
        <v>72</v>
      </c>
    </row>
    <row r="1145" customFormat="false" ht="12.8" hidden="false" customHeight="false" outlineLevel="0" collapsed="false">
      <c r="A1145" s="0" t="s">
        <v>73</v>
      </c>
      <c r="B1145" s="23" t="n">
        <v>27.5</v>
      </c>
      <c r="C1145" s="25" t="n">
        <v>0</v>
      </c>
      <c r="D1145" s="25" t="n">
        <v>1</v>
      </c>
      <c r="E1145" s="25" t="n">
        <v>0</v>
      </c>
      <c r="F1145" s="55" t="n">
        <v>0</v>
      </c>
      <c r="G1145" s="27" t="n">
        <v>43800</v>
      </c>
      <c r="H1145" s="24" t="n">
        <v>43829</v>
      </c>
      <c r="I1145" s="0" t="s">
        <v>73</v>
      </c>
    </row>
    <row r="1146" customFormat="false" ht="12.8" hidden="false" customHeight="false" outlineLevel="0" collapsed="false">
      <c r="A1146" s="0" t="s">
        <v>116</v>
      </c>
      <c r="B1146" s="23" t="n">
        <v>38.09</v>
      </c>
      <c r="C1146" s="25" t="n">
        <v>0</v>
      </c>
      <c r="D1146" s="25" t="n">
        <v>1</v>
      </c>
      <c r="E1146" s="25" t="n">
        <v>0</v>
      </c>
      <c r="F1146" s="55" t="n">
        <v>0</v>
      </c>
      <c r="G1146" s="27" t="n">
        <v>43800</v>
      </c>
      <c r="H1146" s="24" t="n">
        <v>43829</v>
      </c>
      <c r="I1146" s="0" t="s">
        <v>116</v>
      </c>
    </row>
    <row r="1147" customFormat="false" ht="12.8" hidden="false" customHeight="false" outlineLevel="0" collapsed="false">
      <c r="A1147" s="0" t="s">
        <v>74</v>
      </c>
      <c r="B1147" s="23" t="n">
        <v>2.99</v>
      </c>
      <c r="C1147" s="25" t="n">
        <v>0</v>
      </c>
      <c r="D1147" s="25" t="n">
        <v>1</v>
      </c>
      <c r="E1147" s="25" t="n">
        <v>0</v>
      </c>
      <c r="F1147" s="55" t="n">
        <v>0</v>
      </c>
      <c r="G1147" s="27" t="n">
        <v>43800</v>
      </c>
      <c r="H1147" s="24" t="n">
        <v>43829</v>
      </c>
      <c r="I1147" s="0" t="s">
        <v>72</v>
      </c>
    </row>
    <row r="1148" customFormat="false" ht="12.8" hidden="false" customHeight="false" outlineLevel="0" collapsed="false">
      <c r="A1148" s="0" t="s">
        <v>169</v>
      </c>
      <c r="B1148" s="23" t="n">
        <v>9</v>
      </c>
      <c r="C1148" s="25" t="n">
        <v>0</v>
      </c>
      <c r="D1148" s="25" t="n">
        <v>1</v>
      </c>
      <c r="E1148" s="25" t="n">
        <v>0</v>
      </c>
      <c r="F1148" s="55" t="n">
        <v>0</v>
      </c>
      <c r="G1148" s="27" t="n">
        <v>43800</v>
      </c>
      <c r="H1148" s="24" t="n">
        <v>43829</v>
      </c>
      <c r="I1148" s="0" t="s">
        <v>72</v>
      </c>
    </row>
    <row r="1149" customFormat="false" ht="12.8" hidden="false" customHeight="false" outlineLevel="0" collapsed="false">
      <c r="A1149" s="0" t="s">
        <v>84</v>
      </c>
      <c r="B1149" s="23" t="n">
        <v>4.27</v>
      </c>
      <c r="C1149" s="25" t="n">
        <v>0</v>
      </c>
      <c r="D1149" s="25" t="n">
        <v>1</v>
      </c>
      <c r="E1149" s="25" t="n">
        <v>0</v>
      </c>
      <c r="F1149" s="55" t="n">
        <v>0</v>
      </c>
      <c r="G1149" s="27" t="n">
        <v>43800</v>
      </c>
      <c r="H1149" s="24" t="n">
        <v>43830</v>
      </c>
      <c r="I1149" s="0" t="s">
        <v>84</v>
      </c>
    </row>
    <row r="1150" customFormat="false" ht="12.8" hidden="false" customHeight="false" outlineLevel="0" collapsed="false">
      <c r="A1150" s="0" t="s">
        <v>462</v>
      </c>
      <c r="B1150" s="23" t="n">
        <v>13.4</v>
      </c>
      <c r="C1150" s="25" t="n">
        <v>0</v>
      </c>
      <c r="D1150" s="25" t="n">
        <v>1</v>
      </c>
      <c r="E1150" s="25" t="n">
        <v>0</v>
      </c>
      <c r="F1150" s="55" t="n">
        <v>0</v>
      </c>
      <c r="G1150" s="27" t="n">
        <v>43800</v>
      </c>
      <c r="H1150" s="24" t="n">
        <v>43830</v>
      </c>
      <c r="I1150" s="0" t="s">
        <v>73</v>
      </c>
    </row>
    <row r="1151" customFormat="false" ht="12.8" hidden="false" customHeight="false" outlineLevel="0" collapsed="false">
      <c r="A1151" s="0" t="s">
        <v>463</v>
      </c>
      <c r="B1151" s="23" t="n">
        <v>4.5</v>
      </c>
      <c r="C1151" s="25" t="n">
        <v>0</v>
      </c>
      <c r="D1151" s="25" t="n">
        <v>1</v>
      </c>
      <c r="E1151" s="25" t="n">
        <v>0</v>
      </c>
      <c r="F1151" s="55" t="n">
        <v>0</v>
      </c>
      <c r="G1151" s="27" t="n">
        <v>43800</v>
      </c>
      <c r="H1151" s="24" t="n">
        <v>43830</v>
      </c>
      <c r="I1151" s="0" t="s">
        <v>73</v>
      </c>
    </row>
    <row r="1152" customFormat="false" ht="12.8" hidden="false" customHeight="false" outlineLevel="0" collapsed="false">
      <c r="A1152" s="0" t="s">
        <v>464</v>
      </c>
      <c r="B1152" s="23" t="n">
        <v>19.25</v>
      </c>
      <c r="C1152" s="25" t="n">
        <v>0</v>
      </c>
      <c r="D1152" s="25" t="n">
        <v>1</v>
      </c>
      <c r="E1152" s="25" t="n">
        <v>0</v>
      </c>
      <c r="F1152" s="55" t="n">
        <v>0</v>
      </c>
      <c r="G1152" s="27" t="n">
        <v>43800</v>
      </c>
      <c r="H1152" s="24" t="n">
        <v>43830</v>
      </c>
      <c r="I1152" s="0" t="s">
        <v>73</v>
      </c>
    </row>
    <row r="1153" customFormat="false" ht="12.8" hidden="false" customHeight="false" outlineLevel="0" collapsed="false">
      <c r="A1153" s="0" t="s">
        <v>465</v>
      </c>
      <c r="B1153" s="23" t="n">
        <v>25</v>
      </c>
      <c r="C1153" s="25" t="n">
        <v>0</v>
      </c>
      <c r="D1153" s="25" t="n">
        <v>1</v>
      </c>
      <c r="E1153" s="25" t="n">
        <v>0</v>
      </c>
      <c r="F1153" s="55" t="n">
        <v>0</v>
      </c>
      <c r="G1153" s="27" t="n">
        <v>43800</v>
      </c>
      <c r="H1153" s="24" t="n">
        <v>43830</v>
      </c>
      <c r="I1153" s="0" t="s">
        <v>73</v>
      </c>
      <c r="J1153" s="23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304"/>
  <sheetViews>
    <sheetView showFormulas="false" showGridLines="true" showRowColHeaders="true" showZeros="true" rightToLeft="false" tabSelected="false" showOutlineSymbols="true" defaultGridColor="true" view="normal" topLeftCell="A226" colorId="64" zoomScale="100" zoomScaleNormal="100" zoomScalePageLayoutView="100" workbookViewId="0">
      <selection pane="topLeft" activeCell="C278" activeCellId="1" sqref="A1:I15 C278"/>
    </sheetView>
  </sheetViews>
  <sheetFormatPr defaultRowHeight="12.8" zeroHeight="false" outlineLevelRow="0" outlineLevelCol="0"/>
  <cols>
    <col collapsed="false" customWidth="true" hidden="false" outlineLevel="0" max="1" min="1" style="65" width="29.57"/>
    <col collapsed="false" customWidth="true" hidden="false" outlineLevel="0" max="2" min="2" style="19" width="13.86"/>
    <col collapsed="false" customWidth="true" hidden="false" outlineLevel="0" max="3" min="3" style="0" width="17.4"/>
    <col collapsed="false" customWidth="true" hidden="false" outlineLevel="0" max="4" min="4" style="0" width="21.29"/>
    <col collapsed="false" customWidth="true" hidden="false" outlineLevel="0" max="5" min="5" style="0" width="16.41"/>
    <col collapsed="false" customWidth="true" hidden="false" outlineLevel="0" max="6" min="6" style="1" width="18"/>
    <col collapsed="false" customWidth="true" hidden="false" outlineLevel="0" max="7" min="7" style="0" width="15.29"/>
    <col collapsed="false" customWidth="true" hidden="false" outlineLevel="0" max="8" min="8" style="66" width="22.86"/>
    <col collapsed="false" customWidth="true" hidden="false" outlineLevel="0" max="9" min="9" style="0" width="11.3"/>
    <col collapsed="false" customWidth="true" hidden="false" outlineLevel="0" max="10" min="10" style="0" width="18.58"/>
    <col collapsed="false" customWidth="true" hidden="false" outlineLevel="0" max="11" min="11" style="0" width="9.85"/>
    <col collapsed="false" customWidth="true" hidden="false" outlineLevel="0" max="12" min="12" style="0" width="18.58"/>
    <col collapsed="false" customWidth="true" hidden="false" outlineLevel="0" max="1025" min="13" style="0" width="9.85"/>
  </cols>
  <sheetData>
    <row r="1" customFormat="false" ht="12.8" hidden="false" customHeight="false" outlineLevel="0" collapsed="false">
      <c r="A1" s="67" t="s">
        <v>466</v>
      </c>
      <c r="B1" s="7" t="s">
        <v>467</v>
      </c>
      <c r="C1" s="25" t="s">
        <v>468</v>
      </c>
      <c r="D1" s="25" t="s">
        <v>469</v>
      </c>
      <c r="E1" s="25" t="s">
        <v>470</v>
      </c>
      <c r="F1" s="27" t="s">
        <v>54</v>
      </c>
      <c r="G1" s="25" t="s">
        <v>471</v>
      </c>
      <c r="H1" s="68" t="s">
        <v>472</v>
      </c>
      <c r="I1" s="25" t="s">
        <v>473</v>
      </c>
      <c r="K1" s="7"/>
      <c r="Q1" s="1"/>
    </row>
    <row r="2" customFormat="false" ht="12.8" hidden="false" customHeight="false" outlineLevel="0" collapsed="false">
      <c r="A2" s="65" t="s">
        <v>61</v>
      </c>
      <c r="B2" s="7" t="n">
        <v>0</v>
      </c>
      <c r="C2" s="0" t="n">
        <v>1</v>
      </c>
      <c r="D2" s="0" t="n">
        <v>0</v>
      </c>
      <c r="E2" s="0" t="n">
        <v>1</v>
      </c>
      <c r="F2" s="1" t="n">
        <v>43466</v>
      </c>
      <c r="G2" s="0" t="n">
        <v>1</v>
      </c>
      <c r="I2" s="0" t="s">
        <v>60</v>
      </c>
    </row>
    <row r="3" customFormat="false" ht="12.8" hidden="false" customHeight="false" outlineLevel="0" collapsed="false">
      <c r="A3" s="65" t="s">
        <v>411</v>
      </c>
      <c r="B3" s="7" t="n">
        <v>0</v>
      </c>
      <c r="C3" s="0" t="n">
        <v>1</v>
      </c>
      <c r="D3" s="0" t="n">
        <v>0</v>
      </c>
      <c r="E3" s="0" t="n">
        <v>1</v>
      </c>
      <c r="F3" s="1" t="n">
        <v>43466</v>
      </c>
      <c r="G3" s="0" t="n">
        <v>1</v>
      </c>
      <c r="I3" s="0" t="s">
        <v>60</v>
      </c>
      <c r="L3" s="69"/>
    </row>
    <row r="4" customFormat="false" ht="12.8" hidden="false" customHeight="false" outlineLevel="0" collapsed="false">
      <c r="A4" s="65" t="s">
        <v>474</v>
      </c>
      <c r="B4" s="7" t="n">
        <v>1469.9</v>
      </c>
      <c r="C4" s="0" t="n">
        <v>1</v>
      </c>
      <c r="D4" s="0" t="n">
        <v>0</v>
      </c>
      <c r="E4" s="0" t="n">
        <v>1</v>
      </c>
      <c r="F4" s="1" t="n">
        <v>43466</v>
      </c>
      <c r="G4" s="0" t="n">
        <v>1</v>
      </c>
      <c r="H4" s="70" t="n">
        <v>43441</v>
      </c>
    </row>
    <row r="5" customFormat="false" ht="12.8" hidden="false" customHeight="false" outlineLevel="0" collapsed="false">
      <c r="A5" s="65" t="s">
        <v>475</v>
      </c>
      <c r="B5" s="7" t="n">
        <v>184.97</v>
      </c>
      <c r="C5" s="0" t="n">
        <v>1</v>
      </c>
      <c r="D5" s="0" t="n">
        <v>0</v>
      </c>
      <c r="E5" s="0" t="n">
        <v>1</v>
      </c>
      <c r="F5" s="1" t="n">
        <v>43466</v>
      </c>
      <c r="G5" s="0" t="n">
        <v>1</v>
      </c>
      <c r="H5" s="71" t="n">
        <v>43442</v>
      </c>
      <c r="J5" s="72"/>
    </row>
    <row r="6" customFormat="false" ht="12.8" hidden="false" customHeight="false" outlineLevel="0" collapsed="false">
      <c r="A6" s="65" t="s">
        <v>476</v>
      </c>
      <c r="B6" s="7" t="n">
        <v>250</v>
      </c>
      <c r="C6" s="0" t="n">
        <v>1</v>
      </c>
      <c r="D6" s="0" t="n">
        <v>0</v>
      </c>
      <c r="E6" s="0" t="n">
        <v>1</v>
      </c>
      <c r="F6" s="1" t="n">
        <v>43466</v>
      </c>
      <c r="G6" s="0" t="n">
        <v>1</v>
      </c>
      <c r="H6" s="70" t="n">
        <v>43442</v>
      </c>
      <c r="J6" s="72"/>
    </row>
    <row r="7" customFormat="false" ht="12.8" hidden="false" customHeight="false" outlineLevel="0" collapsed="false">
      <c r="A7" s="65" t="s">
        <v>477</v>
      </c>
      <c r="B7" s="7" t="n">
        <v>259.99</v>
      </c>
      <c r="C7" s="0" t="n">
        <v>1</v>
      </c>
      <c r="D7" s="0" t="n">
        <v>0</v>
      </c>
      <c r="E7" s="0" t="n">
        <v>1</v>
      </c>
      <c r="F7" s="1" t="n">
        <v>43466</v>
      </c>
      <c r="G7" s="0" t="n">
        <v>1</v>
      </c>
      <c r="H7" s="71" t="n">
        <v>43442</v>
      </c>
      <c r="J7" s="72"/>
    </row>
    <row r="8" customFormat="false" ht="12.8" hidden="false" customHeight="false" outlineLevel="0" collapsed="false">
      <c r="A8" s="65" t="s">
        <v>478</v>
      </c>
      <c r="B8" s="7" t="n">
        <v>143.95</v>
      </c>
      <c r="C8" s="0" t="n">
        <v>1</v>
      </c>
      <c r="D8" s="0" t="n">
        <v>0</v>
      </c>
      <c r="E8" s="0" t="n">
        <v>1</v>
      </c>
      <c r="F8" s="1" t="n">
        <v>43466</v>
      </c>
      <c r="G8" s="0" t="n">
        <v>1</v>
      </c>
      <c r="H8" s="71" t="n">
        <v>43442</v>
      </c>
    </row>
    <row r="9" customFormat="false" ht="12.8" hidden="false" customHeight="false" outlineLevel="0" collapsed="false">
      <c r="A9" s="65" t="s">
        <v>479</v>
      </c>
      <c r="B9" s="7" t="n">
        <v>100</v>
      </c>
      <c r="C9" s="0" t="n">
        <v>1</v>
      </c>
      <c r="D9" s="0" t="n">
        <v>0</v>
      </c>
      <c r="E9" s="0" t="n">
        <v>1</v>
      </c>
      <c r="F9" s="1" t="n">
        <v>43466</v>
      </c>
      <c r="G9" s="0" t="n">
        <v>1</v>
      </c>
      <c r="H9" s="71" t="n">
        <v>43449</v>
      </c>
      <c r="J9" s="72"/>
    </row>
    <row r="10" customFormat="false" ht="12.8" hidden="false" customHeight="false" outlineLevel="0" collapsed="false">
      <c r="A10" s="65" t="s">
        <v>480</v>
      </c>
      <c r="B10" s="7" t="n">
        <v>16.9</v>
      </c>
      <c r="C10" s="0" t="n">
        <v>1</v>
      </c>
      <c r="D10" s="0" t="n">
        <v>0</v>
      </c>
      <c r="E10" s="0" t="n">
        <v>1</v>
      </c>
      <c r="F10" s="1" t="n">
        <v>43466</v>
      </c>
      <c r="G10" s="0" t="n">
        <v>1</v>
      </c>
      <c r="H10" s="71" t="n">
        <v>43454</v>
      </c>
      <c r="L10" s="69"/>
    </row>
    <row r="11" customFormat="false" ht="12.8" hidden="false" customHeight="false" outlineLevel="0" collapsed="false">
      <c r="A11" s="65" t="s">
        <v>481</v>
      </c>
      <c r="B11" s="7" t="n">
        <v>259.96</v>
      </c>
      <c r="C11" s="0" t="n">
        <v>1</v>
      </c>
      <c r="D11" s="0" t="n">
        <v>0</v>
      </c>
      <c r="E11" s="0" t="n">
        <v>1</v>
      </c>
      <c r="F11" s="1" t="n">
        <v>43466</v>
      </c>
      <c r="G11" s="0" t="n">
        <v>1</v>
      </c>
      <c r="H11" s="71" t="n">
        <v>43455</v>
      </c>
    </row>
    <row r="12" customFormat="false" ht="12.8" hidden="false" customHeight="false" outlineLevel="0" collapsed="false">
      <c r="A12" s="65" t="s">
        <v>482</v>
      </c>
      <c r="B12" s="7" t="n">
        <v>130.48</v>
      </c>
      <c r="C12" s="0" t="n">
        <v>1</v>
      </c>
      <c r="D12" s="0" t="n">
        <v>0</v>
      </c>
      <c r="E12" s="0" t="n">
        <v>1</v>
      </c>
      <c r="F12" s="1" t="n">
        <v>43466</v>
      </c>
      <c r="G12" s="0" t="n">
        <v>1</v>
      </c>
      <c r="H12" s="71" t="n">
        <v>43455</v>
      </c>
    </row>
    <row r="13" customFormat="false" ht="12.8" hidden="false" customHeight="false" outlineLevel="0" collapsed="false">
      <c r="A13" s="65" t="s">
        <v>483</v>
      </c>
      <c r="B13" s="7" t="n">
        <v>91.18</v>
      </c>
      <c r="C13" s="0" t="n">
        <v>1</v>
      </c>
      <c r="D13" s="0" t="n">
        <v>0</v>
      </c>
      <c r="E13" s="0" t="n">
        <v>1</v>
      </c>
      <c r="F13" s="1" t="n">
        <v>43466</v>
      </c>
      <c r="G13" s="0" t="n">
        <v>1</v>
      </c>
      <c r="H13" s="71" t="n">
        <v>43458</v>
      </c>
    </row>
    <row r="14" customFormat="false" ht="12.8" hidden="false" customHeight="false" outlineLevel="0" collapsed="false">
      <c r="A14" s="65" t="s">
        <v>484</v>
      </c>
      <c r="B14" s="7" t="n">
        <v>70</v>
      </c>
      <c r="C14" s="0" t="n">
        <v>1</v>
      </c>
      <c r="D14" s="0" t="n">
        <v>0</v>
      </c>
      <c r="E14" s="0" t="n">
        <v>1</v>
      </c>
      <c r="F14" s="1" t="n">
        <v>43466</v>
      </c>
      <c r="G14" s="0" t="n">
        <v>1</v>
      </c>
      <c r="H14" s="71" t="n">
        <v>43458</v>
      </c>
    </row>
    <row r="15" customFormat="false" ht="12.8" hidden="false" customHeight="false" outlineLevel="0" collapsed="false">
      <c r="A15" s="65" t="s">
        <v>485</v>
      </c>
      <c r="B15" s="7" t="n">
        <v>52</v>
      </c>
      <c r="C15" s="0" t="n">
        <v>1</v>
      </c>
      <c r="D15" s="0" t="n">
        <v>0</v>
      </c>
      <c r="E15" s="0" t="n">
        <v>1</v>
      </c>
      <c r="F15" s="1" t="n">
        <v>43466</v>
      </c>
      <c r="G15" s="0" t="n">
        <v>1</v>
      </c>
      <c r="H15" s="71" t="n">
        <v>43458</v>
      </c>
    </row>
    <row r="16" customFormat="false" ht="12.8" hidden="false" customHeight="false" outlineLevel="0" collapsed="false">
      <c r="A16" s="65" t="s">
        <v>486</v>
      </c>
      <c r="B16" s="7" t="n">
        <v>161.02</v>
      </c>
      <c r="C16" s="0" t="n">
        <v>1</v>
      </c>
      <c r="D16" s="0" t="n">
        <v>0</v>
      </c>
      <c r="E16" s="0" t="n">
        <v>1</v>
      </c>
      <c r="F16" s="1" t="n">
        <v>43466</v>
      </c>
      <c r="G16" s="0" t="n">
        <v>1</v>
      </c>
      <c r="H16" s="71" t="n">
        <v>43458</v>
      </c>
    </row>
    <row r="17" customFormat="false" ht="12.8" hidden="false" customHeight="false" outlineLevel="0" collapsed="false">
      <c r="A17" s="65" t="s">
        <v>487</v>
      </c>
      <c r="B17" s="7" t="n">
        <v>155</v>
      </c>
      <c r="C17" s="0" t="n">
        <v>1</v>
      </c>
      <c r="D17" s="0" t="n">
        <v>0</v>
      </c>
      <c r="E17" s="0" t="n">
        <v>1</v>
      </c>
      <c r="F17" s="1" t="n">
        <v>43466</v>
      </c>
      <c r="G17" s="0" t="n">
        <v>1</v>
      </c>
      <c r="H17" s="71" t="n">
        <v>43458</v>
      </c>
    </row>
    <row r="18" customFormat="false" ht="12.8" hidden="false" customHeight="false" outlineLevel="0" collapsed="false">
      <c r="A18" s="65" t="s">
        <v>488</v>
      </c>
      <c r="B18" s="7" t="n">
        <v>86.82</v>
      </c>
      <c r="C18" s="0" t="n">
        <v>1</v>
      </c>
      <c r="D18" s="0" t="n">
        <v>0</v>
      </c>
      <c r="E18" s="0" t="n">
        <v>1</v>
      </c>
      <c r="F18" s="1" t="n">
        <v>43466</v>
      </c>
      <c r="G18" s="0" t="n">
        <v>1</v>
      </c>
      <c r="H18" s="71" t="n">
        <v>43458</v>
      </c>
    </row>
    <row r="19" customFormat="false" ht="12.8" hidden="false" customHeight="false" outlineLevel="0" collapsed="false">
      <c r="A19" s="65" t="s">
        <v>489</v>
      </c>
      <c r="B19" s="7" t="n">
        <v>10.66</v>
      </c>
      <c r="C19" s="0" t="n">
        <v>1</v>
      </c>
      <c r="D19" s="0" t="n">
        <v>0</v>
      </c>
      <c r="E19" s="0" t="n">
        <v>1</v>
      </c>
      <c r="F19" s="1" t="n">
        <v>43466</v>
      </c>
      <c r="G19" s="0" t="n">
        <v>1</v>
      </c>
      <c r="H19" s="70" t="n">
        <v>43442</v>
      </c>
    </row>
    <row r="20" customFormat="false" ht="12.8" hidden="false" customHeight="false" outlineLevel="0" collapsed="false">
      <c r="A20" s="73" t="s">
        <v>88</v>
      </c>
      <c r="B20" s="19" t="n">
        <v>60.07</v>
      </c>
      <c r="C20" s="0" t="n">
        <v>1</v>
      </c>
      <c r="D20" s="0" t="n">
        <v>0</v>
      </c>
      <c r="E20" s="0" t="n">
        <v>1</v>
      </c>
      <c r="F20" s="1" t="n">
        <v>43466</v>
      </c>
      <c r="G20" s="0" t="n">
        <v>1</v>
      </c>
      <c r="H20" s="66" t="n">
        <v>43472</v>
      </c>
    </row>
    <row r="21" customFormat="false" ht="12.8" hidden="false" customHeight="false" outlineLevel="0" collapsed="false">
      <c r="A21" s="74" t="s">
        <v>490</v>
      </c>
      <c r="B21" s="19" t="n">
        <v>85.1</v>
      </c>
      <c r="C21" s="0" t="n">
        <v>1</v>
      </c>
      <c r="D21" s="0" t="n">
        <v>0</v>
      </c>
      <c r="E21" s="0" t="n">
        <v>1</v>
      </c>
      <c r="F21" s="1" t="n">
        <v>43466</v>
      </c>
      <c r="G21" s="0" t="n">
        <v>1</v>
      </c>
      <c r="H21" s="66" t="n">
        <v>43466</v>
      </c>
    </row>
    <row r="22" customFormat="false" ht="12.8" hidden="false" customHeight="false" outlineLevel="0" collapsed="false">
      <c r="A22" s="65" t="s">
        <v>491</v>
      </c>
      <c r="B22" s="19" t="n">
        <v>7.5</v>
      </c>
      <c r="C22" s="0" t="n">
        <v>1</v>
      </c>
      <c r="D22" s="0" t="n">
        <v>0</v>
      </c>
      <c r="E22" s="0" t="n">
        <v>1</v>
      </c>
      <c r="F22" s="1" t="n">
        <v>43466</v>
      </c>
      <c r="G22" s="0" t="n">
        <v>1</v>
      </c>
      <c r="H22" s="66" t="n">
        <v>43468</v>
      </c>
    </row>
    <row r="23" customFormat="false" ht="12.8" hidden="false" customHeight="false" outlineLevel="0" collapsed="false">
      <c r="A23" s="65" t="s">
        <v>492</v>
      </c>
      <c r="B23" s="19" t="n">
        <v>34</v>
      </c>
      <c r="C23" s="0" t="n">
        <v>1</v>
      </c>
      <c r="D23" s="0" t="n">
        <v>0</v>
      </c>
      <c r="E23" s="0" t="n">
        <v>1</v>
      </c>
      <c r="F23" s="1" t="n">
        <v>43466</v>
      </c>
      <c r="G23" s="0" t="n">
        <v>1</v>
      </c>
      <c r="H23" s="66" t="n">
        <v>43468</v>
      </c>
    </row>
    <row r="24" customFormat="false" ht="12.8" hidden="false" customHeight="false" outlineLevel="0" collapsed="false">
      <c r="A24" s="73" t="s">
        <v>493</v>
      </c>
      <c r="B24" s="19" t="n">
        <v>604.55</v>
      </c>
      <c r="C24" s="0" t="n">
        <v>1</v>
      </c>
      <c r="D24" s="0" t="n">
        <v>0</v>
      </c>
      <c r="E24" s="0" t="n">
        <v>1</v>
      </c>
      <c r="F24" s="1" t="n">
        <v>43466</v>
      </c>
      <c r="G24" s="0" t="n">
        <v>0</v>
      </c>
      <c r="H24" s="66" t="n">
        <v>43500</v>
      </c>
      <c r="I24" s="0" t="s">
        <v>494</v>
      </c>
    </row>
    <row r="25" customFormat="false" ht="12.8" hidden="false" customHeight="false" outlineLevel="0" collapsed="false">
      <c r="A25" s="65" t="s">
        <v>495</v>
      </c>
      <c r="B25" s="7" t="n">
        <v>0</v>
      </c>
      <c r="C25" s="0" t="n">
        <v>1</v>
      </c>
      <c r="D25" s="0" t="n">
        <v>0</v>
      </c>
      <c r="E25" s="0" t="n">
        <v>1</v>
      </c>
      <c r="F25" s="1" t="n">
        <v>43497</v>
      </c>
      <c r="G25" s="0" t="n">
        <v>1</v>
      </c>
      <c r="H25" s="75" t="n">
        <v>43512</v>
      </c>
      <c r="I25" s="0" t="s">
        <v>495</v>
      </c>
    </row>
    <row r="26" customFormat="false" ht="12.8" hidden="false" customHeight="false" outlineLevel="0" collapsed="false">
      <c r="A26" s="65" t="s">
        <v>496</v>
      </c>
      <c r="B26" s="7" t="n">
        <v>184.97</v>
      </c>
      <c r="C26" s="0" t="n">
        <v>1</v>
      </c>
      <c r="D26" s="0" t="n">
        <v>0</v>
      </c>
      <c r="E26" s="0" t="n">
        <v>1</v>
      </c>
      <c r="F26" s="1" t="n">
        <v>43497</v>
      </c>
      <c r="G26" s="0" t="n">
        <v>1</v>
      </c>
      <c r="H26" s="75" t="n">
        <v>43820</v>
      </c>
      <c r="I26" s="0" t="s">
        <v>81</v>
      </c>
    </row>
    <row r="27" customFormat="false" ht="12.8" hidden="false" customHeight="false" outlineLevel="0" collapsed="false">
      <c r="A27" s="76" t="s">
        <v>497</v>
      </c>
      <c r="B27" s="7" t="n">
        <v>250</v>
      </c>
      <c r="C27" s="0" t="n">
        <v>1</v>
      </c>
      <c r="D27" s="0" t="n">
        <v>0</v>
      </c>
      <c r="E27" s="0" t="n">
        <v>1</v>
      </c>
      <c r="F27" s="1" t="n">
        <v>43497</v>
      </c>
      <c r="G27" s="0" t="n">
        <v>1</v>
      </c>
      <c r="H27" s="75" t="n">
        <v>43820</v>
      </c>
      <c r="I27" s="0" t="s">
        <v>81</v>
      </c>
    </row>
    <row r="28" customFormat="false" ht="12.8" hidden="false" customHeight="false" outlineLevel="0" collapsed="false">
      <c r="A28" s="65" t="s">
        <v>498</v>
      </c>
      <c r="B28" s="7" t="n">
        <v>155</v>
      </c>
      <c r="C28" s="0" t="n">
        <v>1</v>
      </c>
      <c r="D28" s="0" t="n">
        <v>0</v>
      </c>
      <c r="E28" s="0" t="n">
        <v>1</v>
      </c>
      <c r="F28" s="1" t="n">
        <v>43497</v>
      </c>
      <c r="G28" s="0" t="n">
        <v>1</v>
      </c>
      <c r="H28" s="71" t="n">
        <v>43458</v>
      </c>
      <c r="I28" s="0" t="s">
        <v>81</v>
      </c>
    </row>
    <row r="29" customFormat="false" ht="12.8" hidden="false" customHeight="false" outlineLevel="0" collapsed="false">
      <c r="A29" s="65" t="s">
        <v>499</v>
      </c>
      <c r="B29" s="19" t="n">
        <v>58.56</v>
      </c>
      <c r="C29" s="0" t="n">
        <v>1</v>
      </c>
      <c r="D29" s="0" t="n">
        <v>0</v>
      </c>
      <c r="E29" s="0" t="n">
        <v>1</v>
      </c>
      <c r="F29" s="1" t="n">
        <v>43497</v>
      </c>
      <c r="G29" s="0" t="n">
        <v>1</v>
      </c>
      <c r="H29" s="66" t="n">
        <v>43474</v>
      </c>
      <c r="I29" s="0" t="s">
        <v>70</v>
      </c>
    </row>
    <row r="30" customFormat="false" ht="12.8" hidden="false" customHeight="false" outlineLevel="0" collapsed="false">
      <c r="A30" s="74" t="s">
        <v>490</v>
      </c>
      <c r="B30" s="19" t="n">
        <v>199.18</v>
      </c>
      <c r="C30" s="0" t="n">
        <v>1</v>
      </c>
      <c r="D30" s="0" t="n">
        <v>0</v>
      </c>
      <c r="E30" s="0" t="n">
        <v>1</v>
      </c>
      <c r="F30" s="1" t="n">
        <v>43497</v>
      </c>
      <c r="G30" s="0" t="n">
        <v>1</v>
      </c>
      <c r="H30" s="66" t="n">
        <v>43477</v>
      </c>
      <c r="I30" s="0" t="s">
        <v>106</v>
      </c>
    </row>
    <row r="31" customFormat="false" ht="12.8" hidden="false" customHeight="false" outlineLevel="0" collapsed="false">
      <c r="A31" s="73" t="s">
        <v>500</v>
      </c>
      <c r="B31" s="19" t="n">
        <v>2.99</v>
      </c>
      <c r="C31" s="0" t="n">
        <v>1</v>
      </c>
      <c r="D31" s="0" t="n">
        <v>0</v>
      </c>
      <c r="E31" s="0" t="n">
        <v>1</v>
      </c>
      <c r="F31" s="1" t="n">
        <v>43497</v>
      </c>
      <c r="G31" s="0" t="n">
        <v>1</v>
      </c>
      <c r="H31" s="66" t="n">
        <v>43474</v>
      </c>
      <c r="I31" s="0" t="s">
        <v>72</v>
      </c>
    </row>
    <row r="32" customFormat="false" ht="12.8" hidden="false" customHeight="false" outlineLevel="0" collapsed="false">
      <c r="A32" s="25" t="s">
        <v>501</v>
      </c>
      <c r="B32" s="19" t="n">
        <v>125</v>
      </c>
      <c r="C32" s="0" t="n">
        <v>1</v>
      </c>
      <c r="D32" s="0" t="n">
        <v>0</v>
      </c>
      <c r="E32" s="0" t="n">
        <v>1</v>
      </c>
      <c r="F32" s="1" t="n">
        <v>43497</v>
      </c>
      <c r="G32" s="0" t="n">
        <v>1</v>
      </c>
      <c r="H32" s="77" t="n">
        <v>43479</v>
      </c>
      <c r="I32" s="0" t="s">
        <v>81</v>
      </c>
    </row>
    <row r="33" customFormat="false" ht="12.8" hidden="false" customHeight="false" outlineLevel="0" collapsed="false">
      <c r="A33" s="65" t="s">
        <v>502</v>
      </c>
      <c r="B33" s="19" t="n">
        <v>553.34</v>
      </c>
      <c r="C33" s="0" t="n">
        <v>1</v>
      </c>
      <c r="D33" s="0" t="n">
        <v>0</v>
      </c>
      <c r="E33" s="0" t="n">
        <v>1</v>
      </c>
      <c r="F33" s="1" t="n">
        <v>43497</v>
      </c>
      <c r="G33" s="0" t="n">
        <v>1</v>
      </c>
      <c r="H33" s="77" t="n">
        <v>43479</v>
      </c>
      <c r="I33" s="0" t="s">
        <v>81</v>
      </c>
    </row>
    <row r="34" customFormat="false" ht="12.8" hidden="false" customHeight="false" outlineLevel="0" collapsed="false">
      <c r="A34" s="65" t="s">
        <v>503</v>
      </c>
      <c r="B34" s="19" t="n">
        <v>92.13</v>
      </c>
      <c r="C34" s="0" t="n">
        <v>1</v>
      </c>
      <c r="D34" s="0" t="n">
        <v>0</v>
      </c>
      <c r="E34" s="0" t="n">
        <v>1</v>
      </c>
      <c r="F34" s="1" t="n">
        <v>43497</v>
      </c>
      <c r="G34" s="0" t="n">
        <v>1</v>
      </c>
      <c r="H34" s="77" t="n">
        <v>43482</v>
      </c>
      <c r="I34" s="0" t="s">
        <v>79</v>
      </c>
    </row>
    <row r="35" customFormat="false" ht="12.8" hidden="false" customHeight="false" outlineLevel="0" collapsed="false">
      <c r="A35" s="65" t="s">
        <v>504</v>
      </c>
      <c r="B35" s="19" t="n">
        <v>143.95</v>
      </c>
      <c r="C35" s="0" t="n">
        <v>1</v>
      </c>
      <c r="D35" s="0" t="n">
        <v>0</v>
      </c>
      <c r="E35" s="0" t="n">
        <v>1</v>
      </c>
      <c r="F35" s="1" t="n">
        <v>43497</v>
      </c>
      <c r="G35" s="0" t="n">
        <v>1</v>
      </c>
      <c r="H35" s="77" t="n">
        <v>43482</v>
      </c>
      <c r="I35" s="0" t="s">
        <v>81</v>
      </c>
    </row>
    <row r="36" customFormat="false" ht="12.8" hidden="false" customHeight="false" outlineLevel="0" collapsed="false">
      <c r="A36" s="65" t="s">
        <v>505</v>
      </c>
      <c r="B36" s="19" t="n">
        <v>908.79</v>
      </c>
      <c r="C36" s="0" t="n">
        <v>1</v>
      </c>
      <c r="D36" s="0" t="n">
        <v>0</v>
      </c>
      <c r="E36" s="0" t="n">
        <v>1</v>
      </c>
      <c r="F36" s="1" t="n">
        <v>43497</v>
      </c>
      <c r="G36" s="0" t="n">
        <v>1</v>
      </c>
      <c r="H36" s="77" t="n">
        <v>43498</v>
      </c>
      <c r="I36" s="0" t="s">
        <v>506</v>
      </c>
    </row>
    <row r="37" customFormat="false" ht="12.8" hidden="false" customHeight="false" outlineLevel="0" collapsed="false">
      <c r="A37" s="65" t="s">
        <v>507</v>
      </c>
      <c r="B37" s="19" t="n">
        <v>12.66</v>
      </c>
      <c r="C37" s="0" t="n">
        <v>1</v>
      </c>
      <c r="D37" s="0" t="n">
        <v>0</v>
      </c>
      <c r="E37" s="0" t="n">
        <v>1</v>
      </c>
      <c r="F37" s="1" t="n">
        <v>43497</v>
      </c>
      <c r="G37" s="0" t="n">
        <v>1</v>
      </c>
      <c r="H37" s="77" t="n">
        <v>43498</v>
      </c>
      <c r="I37" s="0" t="s">
        <v>88</v>
      </c>
    </row>
    <row r="38" customFormat="false" ht="12.8" hidden="false" customHeight="false" outlineLevel="0" collapsed="false">
      <c r="A38" s="78" t="s">
        <v>508</v>
      </c>
      <c r="B38" s="19" t="n">
        <v>1.92</v>
      </c>
      <c r="C38" s="0" t="n">
        <v>1</v>
      </c>
      <c r="D38" s="0" t="n">
        <v>0</v>
      </c>
      <c r="E38" s="0" t="n">
        <v>1</v>
      </c>
      <c r="F38" s="1" t="n">
        <v>43497</v>
      </c>
      <c r="G38" s="0" t="n">
        <v>1</v>
      </c>
      <c r="H38" s="77" t="n">
        <v>43498</v>
      </c>
      <c r="I38" s="0" t="s">
        <v>88</v>
      </c>
    </row>
    <row r="39" customFormat="false" ht="12.8" hidden="false" customHeight="false" outlineLevel="0" collapsed="false">
      <c r="A39" s="78" t="s">
        <v>509</v>
      </c>
      <c r="B39" s="19" t="n">
        <v>72.59</v>
      </c>
      <c r="C39" s="0" t="n">
        <v>1</v>
      </c>
      <c r="D39" s="0" t="n">
        <v>0</v>
      </c>
      <c r="E39" s="0" t="n">
        <v>1</v>
      </c>
      <c r="F39" s="1" t="n">
        <v>43497</v>
      </c>
      <c r="G39" s="0" t="n">
        <v>1</v>
      </c>
      <c r="H39" s="66" t="n">
        <v>43503</v>
      </c>
      <c r="I39" s="0" t="s">
        <v>88</v>
      </c>
    </row>
    <row r="40" customFormat="false" ht="12.8" hidden="false" customHeight="false" outlineLevel="0" collapsed="false">
      <c r="A40" s="78" t="s">
        <v>510</v>
      </c>
      <c r="B40" s="19" t="n">
        <v>8.12</v>
      </c>
      <c r="C40" s="0" t="n">
        <v>1</v>
      </c>
      <c r="D40" s="0" t="n">
        <v>0</v>
      </c>
      <c r="E40" s="0" t="n">
        <v>1</v>
      </c>
      <c r="F40" s="1" t="n">
        <v>43497</v>
      </c>
      <c r="G40" s="0" t="n">
        <v>1</v>
      </c>
      <c r="H40" s="66" t="n">
        <v>43503</v>
      </c>
      <c r="I40" s="0" t="s">
        <v>88</v>
      </c>
    </row>
    <row r="41" customFormat="false" ht="12.8" hidden="false" customHeight="false" outlineLevel="0" collapsed="false">
      <c r="A41" s="78" t="s">
        <v>510</v>
      </c>
      <c r="B41" s="19" t="n">
        <v>4.4</v>
      </c>
      <c r="C41" s="0" t="n">
        <v>1</v>
      </c>
      <c r="D41" s="0" t="n">
        <v>0</v>
      </c>
      <c r="E41" s="0" t="n">
        <v>1</v>
      </c>
      <c r="F41" s="1" t="n">
        <v>43497</v>
      </c>
      <c r="G41" s="0" t="n">
        <v>1</v>
      </c>
      <c r="H41" s="66" t="n">
        <v>43503</v>
      </c>
      <c r="I41" s="0" t="s">
        <v>88</v>
      </c>
    </row>
    <row r="42" customFormat="false" ht="12.8" hidden="false" customHeight="false" outlineLevel="0" collapsed="false">
      <c r="A42" s="78" t="s">
        <v>510</v>
      </c>
      <c r="B42" s="19" t="n">
        <v>0.01</v>
      </c>
      <c r="C42" s="0" t="n">
        <v>1</v>
      </c>
      <c r="D42" s="0" t="n">
        <v>0</v>
      </c>
      <c r="E42" s="0" t="n">
        <v>1</v>
      </c>
      <c r="F42" s="1" t="n">
        <v>43497</v>
      </c>
      <c r="G42" s="0" t="n">
        <v>1</v>
      </c>
      <c r="H42" s="66" t="n">
        <v>43503</v>
      </c>
      <c r="I42" s="0" t="s">
        <v>88</v>
      </c>
    </row>
    <row r="43" customFormat="false" ht="12.8" hidden="false" customHeight="false" outlineLevel="0" collapsed="false">
      <c r="A43" s="78" t="s">
        <v>510</v>
      </c>
      <c r="B43" s="19" t="n">
        <v>9.23</v>
      </c>
      <c r="C43" s="0" t="n">
        <v>1</v>
      </c>
      <c r="D43" s="0" t="n">
        <v>0</v>
      </c>
      <c r="E43" s="0" t="n">
        <v>1</v>
      </c>
      <c r="F43" s="1" t="n">
        <v>43497</v>
      </c>
      <c r="G43" s="0" t="n">
        <v>1</v>
      </c>
      <c r="H43" s="66" t="n">
        <v>43503</v>
      </c>
      <c r="I43" s="0" t="s">
        <v>88</v>
      </c>
    </row>
    <row r="44" customFormat="false" ht="12.8" hidden="false" customHeight="false" outlineLevel="0" collapsed="false">
      <c r="A44" s="65" t="s">
        <v>511</v>
      </c>
      <c r="B44" s="19" t="n">
        <v>248.78</v>
      </c>
      <c r="C44" s="0" t="n">
        <v>1</v>
      </c>
      <c r="D44" s="0" t="n">
        <v>0</v>
      </c>
      <c r="E44" s="0" t="n">
        <v>1</v>
      </c>
      <c r="F44" s="1" t="n">
        <v>43497</v>
      </c>
      <c r="G44" s="0" t="n">
        <v>1</v>
      </c>
      <c r="H44" s="66" t="n">
        <v>43503</v>
      </c>
      <c r="I44" s="0" t="s">
        <v>88</v>
      </c>
    </row>
    <row r="45" customFormat="false" ht="12.8" hidden="false" customHeight="false" outlineLevel="0" collapsed="false">
      <c r="A45" s="78" t="s">
        <v>512</v>
      </c>
      <c r="B45" s="19" t="n">
        <v>16.63</v>
      </c>
      <c r="C45" s="0" t="n">
        <v>1</v>
      </c>
      <c r="D45" s="0" t="n">
        <v>0</v>
      </c>
      <c r="E45" s="0" t="n">
        <v>1</v>
      </c>
      <c r="F45" s="1" t="n">
        <v>43497</v>
      </c>
      <c r="G45" s="0" t="n">
        <v>1</v>
      </c>
      <c r="H45" s="66" t="n">
        <v>43503</v>
      </c>
      <c r="I45" s="0" t="s">
        <v>88</v>
      </c>
    </row>
    <row r="46" customFormat="false" ht="12.8" hidden="false" customHeight="false" outlineLevel="0" collapsed="false">
      <c r="A46" s="78" t="s">
        <v>513</v>
      </c>
      <c r="B46" s="19" t="n">
        <v>34</v>
      </c>
      <c r="C46" s="0" t="n">
        <v>1</v>
      </c>
      <c r="D46" s="0" t="n">
        <v>0</v>
      </c>
      <c r="E46" s="0" t="n">
        <v>1</v>
      </c>
      <c r="F46" s="1" t="n">
        <v>43497</v>
      </c>
      <c r="G46" s="0" t="n">
        <v>1</v>
      </c>
      <c r="H46" s="66" t="n">
        <v>43501</v>
      </c>
      <c r="I46" s="0" t="s">
        <v>68</v>
      </c>
    </row>
    <row r="47" customFormat="false" ht="12.8" hidden="false" customHeight="false" outlineLevel="0" collapsed="false">
      <c r="A47" s="65" t="s">
        <v>493</v>
      </c>
      <c r="B47" s="19" t="n">
        <v>1553</v>
      </c>
      <c r="C47" s="0" t="n">
        <v>1</v>
      </c>
      <c r="D47" s="0" t="n">
        <v>0</v>
      </c>
      <c r="E47" s="0" t="n">
        <v>1</v>
      </c>
      <c r="F47" s="1" t="n">
        <v>43497</v>
      </c>
      <c r="G47" s="0" t="n">
        <v>0</v>
      </c>
      <c r="H47" s="77" t="n">
        <v>43514</v>
      </c>
      <c r="I47" s="0" t="s">
        <v>506</v>
      </c>
    </row>
    <row r="48" customFormat="false" ht="12.8" hidden="false" customHeight="false" outlineLevel="0" collapsed="false">
      <c r="A48" s="25" t="s">
        <v>514</v>
      </c>
      <c r="B48" s="19" t="n">
        <v>125</v>
      </c>
      <c r="C48" s="0" t="n">
        <v>1</v>
      </c>
      <c r="D48" s="0" t="n">
        <v>0</v>
      </c>
      <c r="E48" s="0" t="n">
        <v>1</v>
      </c>
      <c r="F48" s="1" t="n">
        <v>43525</v>
      </c>
      <c r="G48" s="0" t="n">
        <v>1</v>
      </c>
      <c r="H48" s="77" t="n">
        <v>43479</v>
      </c>
      <c r="I48" s="0" t="s">
        <v>81</v>
      </c>
    </row>
    <row r="49" customFormat="false" ht="12.8" hidden="false" customHeight="false" outlineLevel="0" collapsed="false">
      <c r="A49" s="65" t="s">
        <v>515</v>
      </c>
      <c r="B49" s="19" t="n">
        <v>553.34</v>
      </c>
      <c r="C49" s="0" t="n">
        <v>1</v>
      </c>
      <c r="D49" s="0" t="n">
        <v>0</v>
      </c>
      <c r="E49" s="0" t="n">
        <v>1</v>
      </c>
      <c r="F49" s="1" t="n">
        <v>43525</v>
      </c>
      <c r="G49" s="0" t="n">
        <v>1</v>
      </c>
      <c r="H49" s="77" t="n">
        <v>43479</v>
      </c>
      <c r="I49" s="0" t="s">
        <v>81</v>
      </c>
    </row>
    <row r="50" customFormat="false" ht="12.8" hidden="false" customHeight="false" outlineLevel="0" collapsed="false">
      <c r="A50" s="65" t="s">
        <v>516</v>
      </c>
      <c r="B50" s="19" t="n">
        <v>908.79</v>
      </c>
      <c r="C50" s="0" t="n">
        <v>1</v>
      </c>
      <c r="D50" s="0" t="n">
        <v>0</v>
      </c>
      <c r="E50" s="0" t="n">
        <v>1</v>
      </c>
      <c r="F50" s="1" t="n">
        <v>43525</v>
      </c>
      <c r="G50" s="0" t="n">
        <v>1</v>
      </c>
      <c r="H50" s="77" t="n">
        <v>43498</v>
      </c>
      <c r="I50" s="0" t="s">
        <v>506</v>
      </c>
    </row>
    <row r="51" customFormat="false" ht="12.8" hidden="false" customHeight="false" outlineLevel="0" collapsed="false">
      <c r="A51" s="65" t="s">
        <v>517</v>
      </c>
      <c r="B51" s="19" t="n">
        <v>553.34</v>
      </c>
      <c r="C51" s="0" t="n">
        <v>1</v>
      </c>
      <c r="D51" s="0" t="n">
        <v>0</v>
      </c>
      <c r="E51" s="0" t="n">
        <v>1</v>
      </c>
      <c r="F51" s="1" t="n">
        <v>43556</v>
      </c>
      <c r="G51" s="0" t="n">
        <v>1</v>
      </c>
      <c r="H51" s="77" t="n">
        <v>43479</v>
      </c>
      <c r="I51" s="0" t="s">
        <v>81</v>
      </c>
    </row>
    <row r="52" customFormat="false" ht="12.8" hidden="false" customHeight="false" outlineLevel="0" collapsed="false">
      <c r="A52" s="65" t="s">
        <v>518</v>
      </c>
      <c r="B52" s="19" t="n">
        <v>908.79</v>
      </c>
      <c r="C52" s="0" t="n">
        <v>1</v>
      </c>
      <c r="D52" s="0" t="n">
        <v>0</v>
      </c>
      <c r="E52" s="0" t="n">
        <v>1</v>
      </c>
      <c r="F52" s="1" t="n">
        <v>43556</v>
      </c>
      <c r="G52" s="0" t="n">
        <v>1</v>
      </c>
      <c r="H52" s="77" t="n">
        <v>43498</v>
      </c>
      <c r="I52" s="0" t="s">
        <v>506</v>
      </c>
    </row>
    <row r="53" customFormat="false" ht="12.8" hidden="false" customHeight="false" outlineLevel="0" collapsed="false">
      <c r="A53" s="65" t="s">
        <v>505</v>
      </c>
      <c r="B53" s="19" t="n">
        <v>529.41</v>
      </c>
      <c r="C53" s="0" t="n">
        <v>1</v>
      </c>
      <c r="D53" s="0" t="n">
        <v>0</v>
      </c>
      <c r="E53" s="0" t="n">
        <v>1</v>
      </c>
      <c r="F53" s="1" t="n">
        <v>43556</v>
      </c>
      <c r="G53" s="0" t="n">
        <v>1</v>
      </c>
      <c r="H53" s="77" t="n">
        <v>43514</v>
      </c>
      <c r="I53" s="0" t="s">
        <v>506</v>
      </c>
    </row>
    <row r="54" customFormat="false" ht="12.8" hidden="false" customHeight="false" outlineLevel="0" collapsed="false">
      <c r="A54" s="65" t="s">
        <v>519</v>
      </c>
      <c r="B54" s="19" t="n">
        <v>908.79</v>
      </c>
      <c r="C54" s="0" t="n">
        <v>1</v>
      </c>
      <c r="D54" s="0" t="n">
        <v>0</v>
      </c>
      <c r="E54" s="0" t="n">
        <v>1</v>
      </c>
      <c r="F54" s="1" t="n">
        <v>43586</v>
      </c>
      <c r="G54" s="0" t="n">
        <v>0</v>
      </c>
      <c r="H54" s="77" t="n">
        <v>43498</v>
      </c>
      <c r="I54" s="0" t="s">
        <v>506</v>
      </c>
    </row>
    <row r="55" customFormat="false" ht="12.8" hidden="false" customHeight="false" outlineLevel="0" collapsed="false">
      <c r="A55" s="65" t="s">
        <v>516</v>
      </c>
      <c r="B55" s="19" t="n">
        <v>529.41</v>
      </c>
      <c r="C55" s="0" t="n">
        <v>1</v>
      </c>
      <c r="D55" s="0" t="n">
        <v>0</v>
      </c>
      <c r="E55" s="0" t="n">
        <v>1</v>
      </c>
      <c r="F55" s="1" t="n">
        <v>43586</v>
      </c>
      <c r="G55" s="0" t="n">
        <v>0</v>
      </c>
      <c r="H55" s="77" t="n">
        <v>43514</v>
      </c>
      <c r="I55" s="0" t="s">
        <v>506</v>
      </c>
    </row>
    <row r="56" customFormat="false" ht="12.8" hidden="false" customHeight="false" outlineLevel="0" collapsed="false">
      <c r="A56" s="65" t="s">
        <v>518</v>
      </c>
      <c r="B56" s="19" t="n">
        <v>529.41</v>
      </c>
      <c r="C56" s="0" t="n">
        <v>1</v>
      </c>
      <c r="D56" s="0" t="n">
        <v>0</v>
      </c>
      <c r="E56" s="0" t="n">
        <v>1</v>
      </c>
      <c r="F56" s="1" t="n">
        <v>43617</v>
      </c>
      <c r="G56" s="0" t="n">
        <v>1</v>
      </c>
      <c r="H56" s="77" t="n">
        <v>43514</v>
      </c>
      <c r="I56" s="0" t="s">
        <v>506</v>
      </c>
    </row>
    <row r="57" customFormat="false" ht="12.8" hidden="false" customHeight="false" outlineLevel="0" collapsed="false">
      <c r="A57" s="65" t="s">
        <v>519</v>
      </c>
      <c r="B57" s="19" t="n">
        <v>529.41</v>
      </c>
      <c r="C57" s="0" t="n">
        <v>1</v>
      </c>
      <c r="D57" s="0" t="n">
        <v>0</v>
      </c>
      <c r="E57" s="0" t="n">
        <v>1</v>
      </c>
      <c r="F57" s="1" t="n">
        <v>43647</v>
      </c>
      <c r="G57" s="0" t="n">
        <v>0</v>
      </c>
      <c r="H57" s="77" t="n">
        <v>43514</v>
      </c>
      <c r="I57" s="0" t="s">
        <v>506</v>
      </c>
    </row>
    <row r="58" customFormat="false" ht="12.8" hidden="false" customHeight="false" outlineLevel="0" collapsed="false">
      <c r="A58" s="74" t="s">
        <v>181</v>
      </c>
      <c r="B58" s="19" t="n">
        <v>50</v>
      </c>
      <c r="C58" s="0" t="n">
        <v>1</v>
      </c>
      <c r="D58" s="0" t="n">
        <v>0</v>
      </c>
      <c r="E58" s="0" t="n">
        <v>1</v>
      </c>
      <c r="F58" s="1" t="n">
        <v>43525</v>
      </c>
      <c r="G58" s="0" t="n">
        <v>1</v>
      </c>
      <c r="H58" s="66" t="n">
        <v>43522</v>
      </c>
      <c r="I58" s="0" t="s">
        <v>81</v>
      </c>
    </row>
    <row r="59" customFormat="false" ht="12.8" hidden="false" customHeight="false" outlineLevel="0" collapsed="false">
      <c r="A59" s="67" t="s">
        <v>520</v>
      </c>
      <c r="B59" s="19" t="n">
        <v>97.07</v>
      </c>
      <c r="C59" s="0" t="n">
        <v>1</v>
      </c>
      <c r="D59" s="0" t="n">
        <v>0</v>
      </c>
      <c r="E59" s="0" t="n">
        <v>1</v>
      </c>
      <c r="F59" s="1" t="n">
        <v>43525</v>
      </c>
      <c r="G59" s="0" t="n">
        <v>1</v>
      </c>
      <c r="H59" s="77" t="n">
        <v>43498</v>
      </c>
      <c r="I59" s="0" t="s">
        <v>79</v>
      </c>
    </row>
    <row r="60" customFormat="false" ht="12.8" hidden="false" customHeight="false" outlineLevel="0" collapsed="false">
      <c r="A60" s="67" t="s">
        <v>521</v>
      </c>
      <c r="B60" s="19" t="n">
        <v>35</v>
      </c>
      <c r="C60" s="0" t="n">
        <v>1</v>
      </c>
      <c r="D60" s="0" t="n">
        <v>0</v>
      </c>
      <c r="E60" s="0" t="n">
        <v>1</v>
      </c>
      <c r="F60" s="1" t="n">
        <v>43525</v>
      </c>
      <c r="G60" s="0" t="n">
        <v>1</v>
      </c>
      <c r="H60" s="77" t="n">
        <v>43498</v>
      </c>
      <c r="I60" s="0" t="s">
        <v>72</v>
      </c>
    </row>
    <row r="61" customFormat="false" ht="12.8" hidden="false" customHeight="false" outlineLevel="0" collapsed="false">
      <c r="A61" s="67" t="s">
        <v>74</v>
      </c>
      <c r="B61" s="19" t="n">
        <v>6.99</v>
      </c>
      <c r="C61" s="0" t="n">
        <v>1</v>
      </c>
      <c r="D61" s="0" t="n">
        <v>0</v>
      </c>
      <c r="E61" s="0" t="n">
        <v>1</v>
      </c>
      <c r="F61" s="1" t="n">
        <v>43525</v>
      </c>
      <c r="G61" s="0" t="n">
        <v>1</v>
      </c>
      <c r="H61" s="77" t="n">
        <v>43522</v>
      </c>
      <c r="I61" s="0" t="s">
        <v>72</v>
      </c>
    </row>
    <row r="62" customFormat="false" ht="12.8" hidden="false" customHeight="false" outlineLevel="0" collapsed="false">
      <c r="A62" s="74" t="s">
        <v>522</v>
      </c>
      <c r="B62" s="19" t="n">
        <v>29.4</v>
      </c>
      <c r="C62" s="0" t="n">
        <v>1</v>
      </c>
      <c r="D62" s="0" t="n">
        <v>0</v>
      </c>
      <c r="E62" s="0" t="n">
        <v>1</v>
      </c>
      <c r="F62" s="1" t="n">
        <v>43525</v>
      </c>
      <c r="G62" s="0" t="n">
        <v>1</v>
      </c>
      <c r="H62" s="71" t="n">
        <v>43525</v>
      </c>
      <c r="I62" s="0" t="s">
        <v>73</v>
      </c>
    </row>
    <row r="63" customFormat="false" ht="12.8" hidden="false" customHeight="false" outlineLevel="0" collapsed="false">
      <c r="A63" s="67" t="s">
        <v>112</v>
      </c>
      <c r="B63" s="19" t="n">
        <v>4</v>
      </c>
      <c r="C63" s="0" t="n">
        <v>1</v>
      </c>
      <c r="D63" s="0" t="n">
        <v>0</v>
      </c>
      <c r="E63" s="0" t="n">
        <v>1</v>
      </c>
      <c r="F63" s="1" t="n">
        <v>43525</v>
      </c>
      <c r="G63" s="0" t="n">
        <v>1</v>
      </c>
      <c r="H63" s="71" t="n">
        <v>43525</v>
      </c>
      <c r="I63" s="0" t="s">
        <v>72</v>
      </c>
    </row>
    <row r="64" customFormat="false" ht="12.8" hidden="false" customHeight="false" outlineLevel="0" collapsed="false">
      <c r="A64" s="65" t="s">
        <v>492</v>
      </c>
      <c r="B64" s="19" t="n">
        <v>35</v>
      </c>
      <c r="C64" s="0" t="n">
        <v>1</v>
      </c>
      <c r="D64" s="0" t="n">
        <v>0</v>
      </c>
      <c r="E64" s="0" t="n">
        <v>1</v>
      </c>
      <c r="F64" s="1" t="n">
        <v>43525</v>
      </c>
      <c r="G64" s="0" t="n">
        <v>1</v>
      </c>
      <c r="H64" s="66" t="n">
        <v>43525</v>
      </c>
      <c r="I64" s="0" t="s">
        <v>64</v>
      </c>
    </row>
    <row r="65" customFormat="false" ht="12.8" hidden="false" customHeight="false" outlineLevel="0" collapsed="false">
      <c r="A65" s="74" t="s">
        <v>95</v>
      </c>
      <c r="B65" s="19" t="n">
        <v>0.88</v>
      </c>
      <c r="C65" s="0" t="n">
        <v>1</v>
      </c>
      <c r="D65" s="0" t="n">
        <v>0</v>
      </c>
      <c r="E65" s="0" t="n">
        <v>1</v>
      </c>
      <c r="F65" s="1" t="n">
        <v>43525</v>
      </c>
      <c r="G65" s="0" t="n">
        <v>1</v>
      </c>
      <c r="H65" s="66" t="n">
        <v>43525</v>
      </c>
      <c r="I65" s="0" t="s">
        <v>88</v>
      </c>
    </row>
    <row r="66" customFormat="false" ht="12.8" hidden="false" customHeight="false" outlineLevel="0" collapsed="false">
      <c r="A66" s="65" t="s">
        <v>505</v>
      </c>
      <c r="B66" s="19" t="n">
        <v>537.94</v>
      </c>
      <c r="C66" s="0" t="n">
        <v>1</v>
      </c>
      <c r="D66" s="0" t="n">
        <v>0</v>
      </c>
      <c r="E66" s="0" t="n">
        <v>1</v>
      </c>
      <c r="F66" s="1" t="n">
        <v>43525</v>
      </c>
      <c r="G66" s="0" t="n">
        <v>0</v>
      </c>
      <c r="H66" s="77" t="n">
        <v>43539</v>
      </c>
      <c r="I66" s="0" t="s">
        <v>506</v>
      </c>
    </row>
    <row r="67" customFormat="false" ht="12.8" hidden="false" customHeight="false" outlineLevel="0" collapsed="false">
      <c r="A67" s="65" t="s">
        <v>516</v>
      </c>
      <c r="B67" s="19" t="n">
        <v>537.94</v>
      </c>
      <c r="C67" s="0" t="n">
        <v>1</v>
      </c>
      <c r="D67" s="0" t="n">
        <v>0</v>
      </c>
      <c r="E67" s="0" t="n">
        <v>1</v>
      </c>
      <c r="F67" s="1" t="n">
        <v>43556</v>
      </c>
      <c r="G67" s="0" t="n">
        <v>1</v>
      </c>
      <c r="H67" s="77" t="n">
        <v>43498</v>
      </c>
      <c r="I67" s="0" t="s">
        <v>506</v>
      </c>
    </row>
    <row r="68" customFormat="false" ht="12.8" hidden="false" customHeight="false" outlineLevel="0" collapsed="false">
      <c r="A68" s="65" t="s">
        <v>518</v>
      </c>
      <c r="B68" s="19" t="n">
        <v>537.94</v>
      </c>
      <c r="C68" s="0" t="n">
        <v>1</v>
      </c>
      <c r="D68" s="0" t="n">
        <v>0</v>
      </c>
      <c r="E68" s="0" t="n">
        <v>1</v>
      </c>
      <c r="F68" s="1" t="n">
        <v>43586</v>
      </c>
      <c r="G68" s="0" t="n">
        <v>0</v>
      </c>
      <c r="H68" s="77" t="n">
        <v>43498</v>
      </c>
      <c r="I68" s="0" t="s">
        <v>506</v>
      </c>
    </row>
    <row r="69" customFormat="false" ht="12.8" hidden="false" customHeight="false" outlineLevel="0" collapsed="false">
      <c r="A69" s="65" t="s">
        <v>519</v>
      </c>
      <c r="B69" s="19" t="n">
        <v>537.94</v>
      </c>
      <c r="C69" s="0" t="n">
        <v>1</v>
      </c>
      <c r="D69" s="0" t="n">
        <v>0</v>
      </c>
      <c r="E69" s="0" t="n">
        <v>1</v>
      </c>
      <c r="F69" s="1" t="n">
        <v>43617</v>
      </c>
      <c r="G69" s="0" t="n">
        <v>1</v>
      </c>
      <c r="H69" s="77" t="n">
        <v>43498</v>
      </c>
      <c r="I69" s="0" t="s">
        <v>506</v>
      </c>
    </row>
    <row r="70" customFormat="false" ht="12.8" hidden="false" customHeight="false" outlineLevel="0" collapsed="false">
      <c r="A70" s="65" t="s">
        <v>523</v>
      </c>
      <c r="B70" s="19" t="n">
        <v>12</v>
      </c>
      <c r="C70" s="0" t="n">
        <v>1</v>
      </c>
      <c r="D70" s="0" t="n">
        <v>0</v>
      </c>
      <c r="E70" s="0" t="n">
        <v>1</v>
      </c>
      <c r="F70" s="1" t="n">
        <v>43556</v>
      </c>
      <c r="G70" s="0" t="n">
        <v>1</v>
      </c>
      <c r="H70" s="77" t="n">
        <v>43538</v>
      </c>
      <c r="I70" s="0" t="s">
        <v>138</v>
      </c>
    </row>
    <row r="71" customFormat="false" ht="12.8" hidden="false" customHeight="false" outlineLevel="0" collapsed="false">
      <c r="A71" s="74" t="s">
        <v>524</v>
      </c>
      <c r="B71" s="7" t="n">
        <v>21.39</v>
      </c>
      <c r="C71" s="0" t="n">
        <v>1</v>
      </c>
      <c r="D71" s="0" t="n">
        <v>0</v>
      </c>
      <c r="E71" s="0" t="n">
        <v>1</v>
      </c>
      <c r="F71" s="1" t="n">
        <v>43556</v>
      </c>
      <c r="G71" s="0" t="n">
        <v>1</v>
      </c>
      <c r="H71" s="79" t="n">
        <v>43538</v>
      </c>
      <c r="I71" s="25" t="s">
        <v>116</v>
      </c>
    </row>
    <row r="72" customFormat="false" ht="12.8" hidden="false" customHeight="false" outlineLevel="0" collapsed="false">
      <c r="A72" s="74" t="s">
        <v>215</v>
      </c>
      <c r="B72" s="7" t="n">
        <v>18.84</v>
      </c>
      <c r="C72" s="0" t="n">
        <v>1</v>
      </c>
      <c r="D72" s="0" t="n">
        <v>0</v>
      </c>
      <c r="E72" s="0" t="n">
        <v>1</v>
      </c>
      <c r="F72" s="1" t="n">
        <v>43556</v>
      </c>
      <c r="G72" s="0" t="n">
        <v>1</v>
      </c>
      <c r="H72" s="79" t="n">
        <v>43540</v>
      </c>
      <c r="I72" s="25" t="s">
        <v>70</v>
      </c>
    </row>
    <row r="73" customFormat="false" ht="12.8" hidden="false" customHeight="false" outlineLevel="0" collapsed="false">
      <c r="A73" s="74" t="s">
        <v>525</v>
      </c>
      <c r="B73" s="7" t="n">
        <v>100</v>
      </c>
      <c r="C73" s="0" t="n">
        <v>1</v>
      </c>
      <c r="D73" s="0" t="n">
        <v>0</v>
      </c>
      <c r="E73" s="0" t="n">
        <v>1</v>
      </c>
      <c r="F73" s="1" t="n">
        <v>43556</v>
      </c>
      <c r="G73" s="0" t="n">
        <v>1</v>
      </c>
      <c r="H73" s="79" t="n">
        <v>43542</v>
      </c>
      <c r="I73" s="25" t="s">
        <v>106</v>
      </c>
    </row>
    <row r="74" customFormat="false" ht="12.8" hidden="false" customHeight="false" outlineLevel="0" collapsed="false">
      <c r="A74" s="74" t="s">
        <v>526</v>
      </c>
      <c r="B74" s="7" t="n">
        <v>781.68</v>
      </c>
      <c r="C74" s="0" t="n">
        <v>1</v>
      </c>
      <c r="D74" s="0" t="n">
        <v>0</v>
      </c>
      <c r="E74" s="0" t="n">
        <v>1</v>
      </c>
      <c r="F74" s="1" t="n">
        <v>43556</v>
      </c>
      <c r="G74" s="0" t="n">
        <v>0</v>
      </c>
      <c r="H74" s="79" t="n">
        <v>43542</v>
      </c>
      <c r="I74" s="25" t="s">
        <v>506</v>
      </c>
    </row>
    <row r="75" customFormat="false" ht="12.8" hidden="false" customHeight="false" outlineLevel="0" collapsed="false">
      <c r="A75" s="74" t="s">
        <v>527</v>
      </c>
      <c r="B75" s="7" t="n">
        <v>781.68</v>
      </c>
      <c r="C75" s="0" t="n">
        <v>1</v>
      </c>
      <c r="D75" s="0" t="n">
        <v>0</v>
      </c>
      <c r="E75" s="0" t="n">
        <v>1</v>
      </c>
      <c r="F75" s="1" t="n">
        <v>43586</v>
      </c>
      <c r="G75" s="0" t="n">
        <v>0</v>
      </c>
      <c r="H75" s="79" t="n">
        <v>43542</v>
      </c>
      <c r="I75" s="25" t="s">
        <v>506</v>
      </c>
    </row>
    <row r="76" customFormat="false" ht="12.8" hidden="false" customHeight="false" outlineLevel="0" collapsed="false">
      <c r="A76" s="74" t="s">
        <v>528</v>
      </c>
      <c r="B76" s="7" t="n">
        <v>781.68</v>
      </c>
      <c r="C76" s="0" t="n">
        <v>1</v>
      </c>
      <c r="D76" s="0" t="n">
        <v>0</v>
      </c>
      <c r="E76" s="0" t="n">
        <v>1</v>
      </c>
      <c r="F76" s="1" t="n">
        <v>43617</v>
      </c>
      <c r="G76" s="0" t="n">
        <v>1</v>
      </c>
      <c r="H76" s="79" t="n">
        <v>43542</v>
      </c>
      <c r="I76" s="25" t="s">
        <v>506</v>
      </c>
    </row>
    <row r="77" customFormat="false" ht="12.8" hidden="false" customHeight="false" outlineLevel="0" collapsed="false">
      <c r="A77" s="74" t="s">
        <v>529</v>
      </c>
      <c r="B77" s="7" t="n">
        <v>781.68</v>
      </c>
      <c r="C77" s="0" t="n">
        <v>1</v>
      </c>
      <c r="D77" s="0" t="n">
        <v>0</v>
      </c>
      <c r="E77" s="0" t="n">
        <v>1</v>
      </c>
      <c r="F77" s="1" t="n">
        <v>43647</v>
      </c>
      <c r="G77" s="0" t="n">
        <v>0</v>
      </c>
      <c r="H77" s="79" t="n">
        <v>43542</v>
      </c>
      <c r="I77" s="25" t="s">
        <v>506</v>
      </c>
    </row>
    <row r="78" customFormat="false" ht="12.8" hidden="false" customHeight="false" outlineLevel="0" collapsed="false">
      <c r="A78" s="74" t="s">
        <v>530</v>
      </c>
      <c r="B78" s="19" t="n">
        <v>153.04</v>
      </c>
      <c r="C78" s="0" t="n">
        <v>1</v>
      </c>
      <c r="D78" s="0" t="n">
        <v>0</v>
      </c>
      <c r="E78" s="0" t="n">
        <v>1</v>
      </c>
      <c r="F78" s="27" t="n">
        <v>43586</v>
      </c>
      <c r="G78" s="0" t="n">
        <v>0</v>
      </c>
      <c r="H78" s="68" t="n">
        <v>43568</v>
      </c>
      <c r="I78" s="25" t="s">
        <v>231</v>
      </c>
    </row>
    <row r="79" customFormat="false" ht="12.8" hidden="false" customHeight="false" outlineLevel="0" collapsed="false">
      <c r="A79" s="74" t="s">
        <v>531</v>
      </c>
      <c r="B79" s="19" t="n">
        <v>153.04</v>
      </c>
      <c r="C79" s="0" t="n">
        <v>1</v>
      </c>
      <c r="D79" s="0" t="n">
        <v>0</v>
      </c>
      <c r="E79" s="0" t="n">
        <v>1</v>
      </c>
      <c r="F79" s="27" t="n">
        <v>43617</v>
      </c>
      <c r="G79" s="0" t="n">
        <v>1</v>
      </c>
      <c r="H79" s="68" t="n">
        <v>43568</v>
      </c>
      <c r="I79" s="25" t="s">
        <v>231</v>
      </c>
    </row>
    <row r="80" customFormat="false" ht="12.8" hidden="false" customHeight="false" outlineLevel="0" collapsed="false">
      <c r="A80" s="74" t="s">
        <v>532</v>
      </c>
      <c r="B80" s="19" t="n">
        <v>153.04</v>
      </c>
      <c r="C80" s="0" t="n">
        <v>1</v>
      </c>
      <c r="D80" s="0" t="n">
        <v>0</v>
      </c>
      <c r="E80" s="0" t="n">
        <v>1</v>
      </c>
      <c r="F80" s="27" t="n">
        <v>43647</v>
      </c>
      <c r="G80" s="0" t="n">
        <v>0</v>
      </c>
      <c r="H80" s="68" t="n">
        <v>43568</v>
      </c>
      <c r="I80" s="25" t="s">
        <v>231</v>
      </c>
      <c r="J80" s="80"/>
    </row>
    <row r="81" customFormat="false" ht="12.8" hidden="false" customHeight="false" outlineLevel="0" collapsed="false">
      <c r="A81" s="74" t="s">
        <v>492</v>
      </c>
      <c r="B81" s="19" t="n">
        <v>35</v>
      </c>
      <c r="C81" s="0" t="n">
        <v>1</v>
      </c>
      <c r="D81" s="0" t="n">
        <v>0</v>
      </c>
      <c r="E81" s="0" t="n">
        <v>1</v>
      </c>
      <c r="F81" s="27" t="n">
        <v>43586</v>
      </c>
      <c r="G81" s="0" t="n">
        <v>0</v>
      </c>
      <c r="H81" s="68" t="n">
        <v>43563</v>
      </c>
      <c r="I81" s="25" t="s">
        <v>64</v>
      </c>
      <c r="J81" s="80"/>
    </row>
    <row r="82" customFormat="false" ht="12.8" hidden="false" customHeight="false" outlineLevel="0" collapsed="false">
      <c r="A82" s="74" t="s">
        <v>492</v>
      </c>
      <c r="B82" s="19" t="n">
        <v>35</v>
      </c>
      <c r="C82" s="0" t="n">
        <v>1</v>
      </c>
      <c r="D82" s="0" t="n">
        <v>0</v>
      </c>
      <c r="E82" s="0" t="n">
        <v>1</v>
      </c>
      <c r="F82" s="27" t="n">
        <v>43617</v>
      </c>
      <c r="G82" s="0" t="n">
        <v>1</v>
      </c>
      <c r="H82" s="68" t="n">
        <v>43563</v>
      </c>
      <c r="I82" s="25" t="s">
        <v>64</v>
      </c>
      <c r="J82" s="80"/>
    </row>
    <row r="83" customFormat="false" ht="12.8" hidden="false" customHeight="false" outlineLevel="0" collapsed="false">
      <c r="A83" s="74" t="s">
        <v>533</v>
      </c>
      <c r="B83" s="19" t="n">
        <v>28.5</v>
      </c>
      <c r="C83" s="0" t="n">
        <v>1</v>
      </c>
      <c r="D83" s="0" t="n">
        <v>0</v>
      </c>
      <c r="E83" s="0" t="n">
        <v>1</v>
      </c>
      <c r="F83" s="27" t="n">
        <v>43617</v>
      </c>
      <c r="G83" s="0" t="n">
        <v>1</v>
      </c>
      <c r="H83" s="81" t="n">
        <v>43601</v>
      </c>
      <c r="I83" s="25" t="s">
        <v>81</v>
      </c>
      <c r="J83" s="80"/>
    </row>
    <row r="84" customFormat="false" ht="12.8" hidden="false" customHeight="false" outlineLevel="0" collapsed="false">
      <c r="A84" s="74" t="s">
        <v>534</v>
      </c>
      <c r="B84" s="19" t="n">
        <v>290.83</v>
      </c>
      <c r="C84" s="0" t="n">
        <v>1</v>
      </c>
      <c r="D84" s="0" t="n">
        <v>0</v>
      </c>
      <c r="E84" s="0" t="n">
        <v>1</v>
      </c>
      <c r="F84" s="27" t="n">
        <v>43617</v>
      </c>
      <c r="G84" s="0" t="n">
        <v>1</v>
      </c>
      <c r="H84" s="81" t="n">
        <v>43601</v>
      </c>
      <c r="I84" s="25" t="s">
        <v>535</v>
      </c>
      <c r="J84" s="80"/>
    </row>
    <row r="85" customFormat="false" ht="12.8" hidden="false" customHeight="false" outlineLevel="0" collapsed="false">
      <c r="A85" s="74" t="s">
        <v>199</v>
      </c>
      <c r="B85" s="19" t="n">
        <v>68.92</v>
      </c>
      <c r="C85" s="0" t="n">
        <v>1</v>
      </c>
      <c r="D85" s="0" t="n">
        <v>0</v>
      </c>
      <c r="E85" s="0" t="n">
        <v>1</v>
      </c>
      <c r="F85" s="27" t="n">
        <v>43617</v>
      </c>
      <c r="G85" s="0" t="n">
        <v>1</v>
      </c>
      <c r="H85" s="81" t="n">
        <v>43602</v>
      </c>
      <c r="I85" s="25" t="s">
        <v>116</v>
      </c>
      <c r="J85" s="80"/>
    </row>
    <row r="86" customFormat="false" ht="12.8" hidden="false" customHeight="false" outlineLevel="0" collapsed="false">
      <c r="A86" s="74" t="s">
        <v>536</v>
      </c>
      <c r="B86" s="19" t="n">
        <v>46.21</v>
      </c>
      <c r="C86" s="0" t="n">
        <v>1</v>
      </c>
      <c r="D86" s="0" t="n">
        <v>0</v>
      </c>
      <c r="E86" s="0" t="n">
        <v>1</v>
      </c>
      <c r="F86" s="27" t="n">
        <v>43617</v>
      </c>
      <c r="G86" s="0" t="n">
        <v>1</v>
      </c>
      <c r="H86" s="81" t="n">
        <v>43603</v>
      </c>
      <c r="I86" s="25" t="s">
        <v>70</v>
      </c>
      <c r="J86" s="80"/>
    </row>
    <row r="87" customFormat="false" ht="12.8" hidden="false" customHeight="false" outlineLevel="0" collapsed="false">
      <c r="A87" s="74" t="s">
        <v>537</v>
      </c>
      <c r="B87" s="19" t="n">
        <v>290.83</v>
      </c>
      <c r="C87" s="0" t="n">
        <v>1</v>
      </c>
      <c r="D87" s="0" t="n">
        <v>0</v>
      </c>
      <c r="E87" s="0" t="n">
        <v>1</v>
      </c>
      <c r="F87" s="27" t="n">
        <v>43647</v>
      </c>
      <c r="G87" s="0" t="n">
        <v>0</v>
      </c>
      <c r="H87" s="81" t="n">
        <v>43601</v>
      </c>
      <c r="I87" s="25" t="s">
        <v>535</v>
      </c>
      <c r="J87" s="80"/>
    </row>
    <row r="88" customFormat="false" ht="12.8" hidden="false" customHeight="false" outlineLevel="0" collapsed="false">
      <c r="A88" s="74" t="s">
        <v>538</v>
      </c>
      <c r="B88" s="19" t="n">
        <v>290.83</v>
      </c>
      <c r="C88" s="0" t="n">
        <v>1</v>
      </c>
      <c r="D88" s="0" t="n">
        <v>0</v>
      </c>
      <c r="E88" s="0" t="n">
        <v>1</v>
      </c>
      <c r="F88" s="27" t="n">
        <v>43678</v>
      </c>
      <c r="G88" s="0" t="n">
        <v>0</v>
      </c>
      <c r="H88" s="81" t="n">
        <v>43601</v>
      </c>
      <c r="I88" s="25" t="s">
        <v>535</v>
      </c>
      <c r="J88" s="80"/>
    </row>
    <row r="89" customFormat="false" ht="12.8" hidden="false" customHeight="false" outlineLevel="0" collapsed="false">
      <c r="A89" s="74" t="s">
        <v>539</v>
      </c>
      <c r="B89" s="19" t="n">
        <v>290.83</v>
      </c>
      <c r="C89" s="0" t="n">
        <v>1</v>
      </c>
      <c r="D89" s="0" t="n">
        <v>0</v>
      </c>
      <c r="E89" s="0" t="n">
        <v>1</v>
      </c>
      <c r="F89" s="27" t="n">
        <v>43709</v>
      </c>
      <c r="G89" s="0" t="n">
        <v>1</v>
      </c>
      <c r="H89" s="81" t="n">
        <v>43601</v>
      </c>
      <c r="I89" s="25" t="s">
        <v>535</v>
      </c>
      <c r="J89" s="80"/>
    </row>
    <row r="90" customFormat="false" ht="12.8" hidden="false" customHeight="false" outlineLevel="0" collapsed="false">
      <c r="A90" s="74" t="s">
        <v>540</v>
      </c>
      <c r="B90" s="19" t="n">
        <v>290.83</v>
      </c>
      <c r="C90" s="0" t="n">
        <v>1</v>
      </c>
      <c r="D90" s="0" t="n">
        <v>0</v>
      </c>
      <c r="E90" s="0" t="n">
        <v>1</v>
      </c>
      <c r="F90" s="27" t="n">
        <v>43739</v>
      </c>
      <c r="G90" s="0" t="n">
        <v>0</v>
      </c>
      <c r="H90" s="81" t="n">
        <v>43601</v>
      </c>
      <c r="I90" s="25" t="s">
        <v>535</v>
      </c>
      <c r="J90" s="80"/>
    </row>
    <row r="91" customFormat="false" ht="12.8" hidden="false" customHeight="false" outlineLevel="0" collapsed="false">
      <c r="A91" s="74" t="s">
        <v>541</v>
      </c>
      <c r="B91" s="82" t="n">
        <v>290.83</v>
      </c>
      <c r="C91" s="0" t="n">
        <v>1</v>
      </c>
      <c r="D91" s="0" t="n">
        <v>0</v>
      </c>
      <c r="E91" s="0" t="n">
        <v>1</v>
      </c>
      <c r="F91" s="27" t="n">
        <v>43770</v>
      </c>
      <c r="G91" s="0" t="n">
        <v>0</v>
      </c>
      <c r="H91" s="81" t="n">
        <v>43601</v>
      </c>
      <c r="I91" s="25" t="s">
        <v>535</v>
      </c>
      <c r="J91" s="80"/>
    </row>
    <row r="92" customFormat="false" ht="12.8" hidden="false" customHeight="false" outlineLevel="0" collapsed="false">
      <c r="A92" s="74" t="s">
        <v>192</v>
      </c>
      <c r="B92" s="82" t="n">
        <v>18.31</v>
      </c>
      <c r="C92" s="0" t="n">
        <v>1</v>
      </c>
      <c r="D92" s="0" t="n">
        <v>0</v>
      </c>
      <c r="E92" s="0" t="n">
        <v>1</v>
      </c>
      <c r="F92" s="27" t="n">
        <v>43617</v>
      </c>
      <c r="G92" s="0" t="n">
        <v>1</v>
      </c>
      <c r="H92" s="81" t="n">
        <v>43607</v>
      </c>
      <c r="I92" s="25" t="s">
        <v>116</v>
      </c>
      <c r="J92" s="80"/>
    </row>
    <row r="93" customFormat="false" ht="12.8" hidden="false" customHeight="false" outlineLevel="0" collapsed="false">
      <c r="A93" s="74" t="s">
        <v>244</v>
      </c>
      <c r="B93" s="82" t="n">
        <v>85.11</v>
      </c>
      <c r="C93" s="0" t="n">
        <v>1</v>
      </c>
      <c r="D93" s="0" t="n">
        <v>0</v>
      </c>
      <c r="E93" s="0" t="n">
        <v>1</v>
      </c>
      <c r="F93" s="27" t="n">
        <v>43617</v>
      </c>
      <c r="G93" s="0" t="n">
        <v>1</v>
      </c>
      <c r="H93" s="81" t="n">
        <v>43612</v>
      </c>
      <c r="I93" s="25" t="s">
        <v>116</v>
      </c>
      <c r="J93" s="80"/>
    </row>
    <row r="94" customFormat="false" ht="12.8" hidden="false" customHeight="false" outlineLevel="0" collapsed="false">
      <c r="A94" s="74" t="s">
        <v>84</v>
      </c>
      <c r="B94" s="82" t="n">
        <v>12.3</v>
      </c>
      <c r="C94" s="0" t="n">
        <v>1</v>
      </c>
      <c r="D94" s="0" t="n">
        <v>0</v>
      </c>
      <c r="E94" s="0" t="n">
        <v>1</v>
      </c>
      <c r="F94" s="27" t="n">
        <v>43617</v>
      </c>
      <c r="G94" s="0" t="n">
        <v>1</v>
      </c>
      <c r="H94" s="81"/>
      <c r="I94" s="25"/>
      <c r="J94" s="80"/>
    </row>
    <row r="95" customFormat="false" ht="12.8" hidden="false" customHeight="false" outlineLevel="0" collapsed="false">
      <c r="A95" s="74" t="s">
        <v>542</v>
      </c>
      <c r="B95" s="82" t="n">
        <v>64.89</v>
      </c>
      <c r="C95" s="0" t="n">
        <v>1</v>
      </c>
      <c r="D95" s="0" t="n">
        <v>0</v>
      </c>
      <c r="E95" s="0" t="n">
        <v>1</v>
      </c>
      <c r="F95" s="27" t="n">
        <v>43617</v>
      </c>
      <c r="G95" s="0" t="n">
        <v>1</v>
      </c>
      <c r="H95" s="81"/>
      <c r="I95" s="25"/>
      <c r="J95" s="80"/>
    </row>
    <row r="96" customFormat="false" ht="12.8" hidden="false" customHeight="false" outlineLevel="0" collapsed="false">
      <c r="A96" s="74" t="s">
        <v>105</v>
      </c>
      <c r="B96" s="82" t="n">
        <v>87</v>
      </c>
      <c r="C96" s="0" t="n">
        <v>1</v>
      </c>
      <c r="D96" s="0" t="n">
        <v>0</v>
      </c>
      <c r="E96" s="0" t="n">
        <v>1</v>
      </c>
      <c r="F96" s="27" t="n">
        <v>43617</v>
      </c>
      <c r="G96" s="0" t="n">
        <v>1</v>
      </c>
      <c r="H96" s="81"/>
      <c r="I96" s="25"/>
      <c r="J96" s="80"/>
    </row>
    <row r="97" customFormat="false" ht="12.8" hidden="false" customHeight="false" outlineLevel="0" collapsed="false">
      <c r="A97" s="74" t="s">
        <v>543</v>
      </c>
      <c r="B97" s="82" t="n">
        <v>99.96</v>
      </c>
      <c r="C97" s="0" t="n">
        <v>1</v>
      </c>
      <c r="D97" s="0" t="n">
        <v>0</v>
      </c>
      <c r="E97" s="0" t="n">
        <v>1</v>
      </c>
      <c r="F97" s="27" t="n">
        <v>43617</v>
      </c>
      <c r="G97" s="0" t="n">
        <v>1</v>
      </c>
      <c r="H97" s="81"/>
      <c r="I97" s="25"/>
    </row>
    <row r="98" customFormat="false" ht="12.8" hidden="false" customHeight="false" outlineLevel="0" collapsed="false">
      <c r="A98" s="74" t="s">
        <v>492</v>
      </c>
      <c r="B98" s="82" t="n">
        <v>35</v>
      </c>
      <c r="C98" s="0" t="n">
        <v>1</v>
      </c>
      <c r="D98" s="0" t="n">
        <v>0</v>
      </c>
      <c r="E98" s="0" t="n">
        <v>1</v>
      </c>
      <c r="F98" s="27" t="n">
        <v>43617</v>
      </c>
      <c r="G98" s="0" t="n">
        <v>1</v>
      </c>
      <c r="H98" s="68" t="n">
        <v>43563</v>
      </c>
      <c r="I98" s="25" t="s">
        <v>64</v>
      </c>
    </row>
    <row r="99" customFormat="false" ht="12.8" hidden="false" customHeight="false" outlineLevel="0" collapsed="false">
      <c r="A99" s="74" t="s">
        <v>534</v>
      </c>
      <c r="B99" s="82" t="n">
        <v>-149.99</v>
      </c>
      <c r="C99" s="0" t="n">
        <v>1</v>
      </c>
      <c r="D99" s="0" t="n">
        <v>0</v>
      </c>
      <c r="E99" s="0" t="n">
        <v>1</v>
      </c>
      <c r="F99" s="27" t="n">
        <v>43617</v>
      </c>
      <c r="G99" s="0" t="n">
        <v>1</v>
      </c>
      <c r="H99" s="71"/>
      <c r="I99" s="25"/>
    </row>
    <row r="100" customFormat="false" ht="12.8" hidden="false" customHeight="false" outlineLevel="0" collapsed="false">
      <c r="A100" s="65" t="s">
        <v>544</v>
      </c>
      <c r="B100" s="82" t="n">
        <v>570.95</v>
      </c>
      <c r="C100" s="0" t="n">
        <v>1</v>
      </c>
      <c r="D100" s="0" t="n">
        <v>0</v>
      </c>
      <c r="E100" s="0" t="n">
        <v>1</v>
      </c>
      <c r="F100" s="27" t="n">
        <v>43617</v>
      </c>
      <c r="G100" s="0" t="n">
        <v>0</v>
      </c>
      <c r="H100" s="71"/>
      <c r="I100" s="25"/>
    </row>
    <row r="101" customFormat="false" ht="12.8" hidden="false" customHeight="false" outlineLevel="0" collapsed="false">
      <c r="A101" s="65" t="s">
        <v>105</v>
      </c>
      <c r="B101" s="82" t="n">
        <v>89.98</v>
      </c>
      <c r="C101" s="0" t="n">
        <v>1</v>
      </c>
      <c r="D101" s="0" t="n">
        <v>0</v>
      </c>
      <c r="E101" s="0" t="n">
        <v>1</v>
      </c>
      <c r="F101" s="27" t="n">
        <v>43647</v>
      </c>
      <c r="G101" s="0" t="n">
        <v>0</v>
      </c>
      <c r="H101" s="71" t="n">
        <v>43632</v>
      </c>
      <c r="I101" s="25" t="s">
        <v>106</v>
      </c>
    </row>
    <row r="102" customFormat="false" ht="12.8" hidden="false" customHeight="false" outlineLevel="0" collapsed="false">
      <c r="A102" s="65" t="s">
        <v>215</v>
      </c>
      <c r="B102" s="82" t="n">
        <v>49.8</v>
      </c>
      <c r="C102" s="0" t="n">
        <v>1</v>
      </c>
      <c r="D102" s="0" t="n">
        <v>0</v>
      </c>
      <c r="E102" s="0" t="n">
        <v>1</v>
      </c>
      <c r="F102" s="27" t="n">
        <v>43647</v>
      </c>
      <c r="G102" s="0" t="n">
        <v>0</v>
      </c>
      <c r="H102" s="71" t="n">
        <v>43631</v>
      </c>
      <c r="I102" s="25" t="s">
        <v>70</v>
      </c>
    </row>
    <row r="103" customFormat="false" ht="12.8" hidden="false" customHeight="false" outlineLevel="0" collapsed="false">
      <c r="A103" s="65" t="s">
        <v>545</v>
      </c>
      <c r="B103" s="82" t="n">
        <v>7.98</v>
      </c>
      <c r="C103" s="0" t="n">
        <v>1</v>
      </c>
      <c r="D103" s="0" t="n">
        <v>0</v>
      </c>
      <c r="E103" s="0" t="n">
        <v>1</v>
      </c>
      <c r="F103" s="27" t="n">
        <v>43647</v>
      </c>
      <c r="G103" s="0" t="n">
        <v>0</v>
      </c>
      <c r="H103" s="81" t="n">
        <v>43630</v>
      </c>
      <c r="I103" s="25" t="s">
        <v>72</v>
      </c>
    </row>
    <row r="104" customFormat="false" ht="12.8" hidden="false" customHeight="false" outlineLevel="0" collapsed="false">
      <c r="A104" s="65" t="s">
        <v>105</v>
      </c>
      <c r="B104" s="82" t="n">
        <v>20</v>
      </c>
      <c r="C104" s="0" t="n">
        <v>1</v>
      </c>
      <c r="D104" s="0" t="n">
        <v>0</v>
      </c>
      <c r="E104" s="0" t="n">
        <v>1</v>
      </c>
      <c r="F104" s="27" t="n">
        <v>43647</v>
      </c>
      <c r="G104" s="0" t="n">
        <v>0</v>
      </c>
      <c r="H104" s="71" t="n">
        <v>43630</v>
      </c>
      <c r="I104" s="25" t="s">
        <v>106</v>
      </c>
    </row>
    <row r="105" customFormat="false" ht="12.8" hidden="false" customHeight="false" outlineLevel="0" collapsed="false">
      <c r="A105" s="65" t="s">
        <v>546</v>
      </c>
      <c r="B105" s="82" t="n">
        <v>30</v>
      </c>
      <c r="C105" s="0" t="n">
        <v>1</v>
      </c>
      <c r="D105" s="0" t="n">
        <v>0</v>
      </c>
      <c r="E105" s="0" t="n">
        <v>1</v>
      </c>
      <c r="F105" s="27" t="n">
        <v>43647</v>
      </c>
      <c r="G105" s="0" t="n">
        <v>0</v>
      </c>
      <c r="H105" s="71" t="n">
        <v>43630</v>
      </c>
      <c r="I105" s="25" t="s">
        <v>81</v>
      </c>
    </row>
    <row r="106" customFormat="false" ht="12.8" hidden="false" customHeight="false" outlineLevel="0" collapsed="false">
      <c r="A106" s="67" t="s">
        <v>547</v>
      </c>
      <c r="B106" s="82" t="n">
        <v>124.99</v>
      </c>
      <c r="C106" s="0" t="n">
        <v>1</v>
      </c>
      <c r="D106" s="0" t="n">
        <v>0</v>
      </c>
      <c r="E106" s="0" t="n">
        <v>1</v>
      </c>
      <c r="F106" s="27" t="n">
        <v>43647</v>
      </c>
      <c r="G106" s="0" t="n">
        <v>0</v>
      </c>
      <c r="H106" s="71" t="n">
        <v>43630</v>
      </c>
      <c r="I106" s="25" t="s">
        <v>81</v>
      </c>
    </row>
    <row r="107" customFormat="false" ht="12.8" hidden="false" customHeight="false" outlineLevel="0" collapsed="false">
      <c r="A107" s="67" t="s">
        <v>548</v>
      </c>
      <c r="B107" s="82" t="n">
        <v>124.99</v>
      </c>
      <c r="C107" s="0" t="n">
        <v>1</v>
      </c>
      <c r="D107" s="0" t="n">
        <v>0</v>
      </c>
      <c r="E107" s="0" t="n">
        <v>1</v>
      </c>
      <c r="F107" s="27" t="n">
        <v>43678</v>
      </c>
      <c r="G107" s="0" t="n">
        <v>0</v>
      </c>
      <c r="H107" s="71" t="n">
        <v>43630</v>
      </c>
      <c r="I107" s="25" t="s">
        <v>81</v>
      </c>
    </row>
    <row r="108" customFormat="false" ht="12.8" hidden="false" customHeight="false" outlineLevel="0" collapsed="false">
      <c r="A108" s="78" t="s">
        <v>549</v>
      </c>
      <c r="B108" s="82" t="n">
        <v>60.97</v>
      </c>
      <c r="C108" s="0" t="n">
        <v>1</v>
      </c>
      <c r="D108" s="0" t="n">
        <v>0</v>
      </c>
      <c r="E108" s="0" t="n">
        <v>1</v>
      </c>
      <c r="F108" s="27" t="n">
        <v>43647</v>
      </c>
      <c r="G108" s="0" t="n">
        <v>0</v>
      </c>
      <c r="H108" s="71" t="n">
        <v>43630</v>
      </c>
      <c r="I108" s="25" t="s">
        <v>81</v>
      </c>
    </row>
    <row r="109" customFormat="false" ht="12.8" hidden="false" customHeight="false" outlineLevel="0" collapsed="false">
      <c r="A109" s="78" t="s">
        <v>550</v>
      </c>
      <c r="B109" s="82" t="n">
        <v>60.97</v>
      </c>
      <c r="C109" s="0" t="n">
        <v>1</v>
      </c>
      <c r="D109" s="0" t="n">
        <v>0</v>
      </c>
      <c r="E109" s="0" t="n">
        <v>1</v>
      </c>
      <c r="F109" s="27" t="n">
        <v>43678</v>
      </c>
      <c r="G109" s="0" t="n">
        <v>0</v>
      </c>
      <c r="H109" s="71" t="n">
        <v>43630</v>
      </c>
      <c r="I109" s="25" t="s">
        <v>81</v>
      </c>
    </row>
    <row r="110" customFormat="false" ht="12.8" hidden="false" customHeight="false" outlineLevel="0" collapsed="false">
      <c r="A110" s="78" t="s">
        <v>199</v>
      </c>
      <c r="B110" s="82" t="n">
        <v>181.74</v>
      </c>
      <c r="C110" s="0" t="n">
        <v>1</v>
      </c>
      <c r="D110" s="0" t="n">
        <v>0</v>
      </c>
      <c r="E110" s="0" t="n">
        <v>1</v>
      </c>
      <c r="F110" s="27" t="n">
        <v>43647</v>
      </c>
      <c r="G110" s="0" t="n">
        <v>0</v>
      </c>
      <c r="H110" s="71" t="n">
        <v>43629</v>
      </c>
      <c r="I110" s="25" t="s">
        <v>116</v>
      </c>
    </row>
    <row r="111" customFormat="false" ht="12.8" hidden="false" customHeight="false" outlineLevel="0" collapsed="false">
      <c r="A111" s="67" t="s">
        <v>551</v>
      </c>
      <c r="B111" s="82" t="n">
        <v>29</v>
      </c>
      <c r="C111" s="0" t="n">
        <v>1</v>
      </c>
      <c r="D111" s="0" t="n">
        <v>0</v>
      </c>
      <c r="E111" s="0" t="n">
        <v>1</v>
      </c>
      <c r="F111" s="27" t="n">
        <v>43647</v>
      </c>
      <c r="G111" s="0" t="n">
        <v>0</v>
      </c>
      <c r="H111" s="71" t="n">
        <v>43629</v>
      </c>
      <c r="I111" s="25" t="s">
        <v>72</v>
      </c>
    </row>
    <row r="112" customFormat="false" ht="12.8" hidden="false" customHeight="false" outlineLevel="0" collapsed="false">
      <c r="A112" s="78" t="s">
        <v>199</v>
      </c>
      <c r="B112" s="82" t="n">
        <v>7.78</v>
      </c>
      <c r="C112" s="0" t="n">
        <v>1</v>
      </c>
      <c r="D112" s="0" t="n">
        <v>0</v>
      </c>
      <c r="E112" s="0" t="n">
        <v>1</v>
      </c>
      <c r="F112" s="27" t="n">
        <v>43647</v>
      </c>
      <c r="G112" s="0" t="n">
        <v>0</v>
      </c>
      <c r="H112" s="71" t="n">
        <v>43629</v>
      </c>
      <c r="I112" s="25" t="s">
        <v>116</v>
      </c>
      <c r="J112" s="25"/>
    </row>
    <row r="113" customFormat="false" ht="12.8" hidden="false" customHeight="false" outlineLevel="0" collapsed="false">
      <c r="A113" s="67" t="s">
        <v>552</v>
      </c>
      <c r="B113" s="82" t="n">
        <v>148.19</v>
      </c>
      <c r="C113" s="0" t="n">
        <v>1</v>
      </c>
      <c r="D113" s="0" t="n">
        <v>0</v>
      </c>
      <c r="E113" s="0" t="n">
        <v>1</v>
      </c>
      <c r="F113" s="27" t="n">
        <v>43647</v>
      </c>
      <c r="G113" s="0" t="n">
        <v>0</v>
      </c>
      <c r="H113" s="71" t="n">
        <v>43628</v>
      </c>
      <c r="I113" s="25" t="s">
        <v>72</v>
      </c>
    </row>
    <row r="114" customFormat="false" ht="12.8" hidden="false" customHeight="false" outlineLevel="0" collapsed="false">
      <c r="A114" s="67" t="s">
        <v>199</v>
      </c>
      <c r="B114" s="82" t="n">
        <v>121.7</v>
      </c>
      <c r="C114" s="0" t="n">
        <v>1</v>
      </c>
      <c r="D114" s="0" t="n">
        <v>0</v>
      </c>
      <c r="E114" s="0" t="n">
        <v>1</v>
      </c>
      <c r="F114" s="27" t="n">
        <v>43647</v>
      </c>
      <c r="G114" s="0" t="n">
        <v>0</v>
      </c>
      <c r="H114" s="71" t="n">
        <v>43625</v>
      </c>
      <c r="I114" s="25" t="s">
        <v>116</v>
      </c>
    </row>
    <row r="115" customFormat="false" ht="12.8" hidden="false" customHeight="false" outlineLevel="0" collapsed="false">
      <c r="A115" s="67" t="s">
        <v>199</v>
      </c>
      <c r="B115" s="82" t="n">
        <v>68.92</v>
      </c>
      <c r="C115" s="0" t="n">
        <v>1</v>
      </c>
      <c r="D115" s="0" t="n">
        <v>0</v>
      </c>
      <c r="E115" s="0" t="n">
        <v>1</v>
      </c>
      <c r="F115" s="27" t="n">
        <v>43647</v>
      </c>
      <c r="G115" s="0" t="n">
        <v>0</v>
      </c>
      <c r="H115" s="71" t="n">
        <v>43602</v>
      </c>
      <c r="I115" s="25" t="s">
        <v>116</v>
      </c>
    </row>
    <row r="116" customFormat="false" ht="12.8" hidden="false" customHeight="false" outlineLevel="0" collapsed="false">
      <c r="A116" s="67" t="s">
        <v>553</v>
      </c>
      <c r="B116" s="82" t="n">
        <v>570.95</v>
      </c>
      <c r="C116" s="0" t="n">
        <v>1</v>
      </c>
      <c r="D116" s="0" t="n">
        <v>0</v>
      </c>
      <c r="E116" s="0" t="n">
        <v>1</v>
      </c>
      <c r="F116" s="27" t="n">
        <v>43647</v>
      </c>
      <c r="G116" s="0" t="n">
        <v>0</v>
      </c>
      <c r="H116" s="71" t="n">
        <v>43633</v>
      </c>
      <c r="I116" s="25" t="s">
        <v>506</v>
      </c>
    </row>
    <row r="117" customFormat="false" ht="12.8" hidden="false" customHeight="false" outlineLevel="0" collapsed="false">
      <c r="A117" s="67" t="s">
        <v>554</v>
      </c>
      <c r="B117" s="82" t="n">
        <v>570.95</v>
      </c>
      <c r="C117" s="0" t="n">
        <v>1</v>
      </c>
      <c r="D117" s="0" t="n">
        <v>0</v>
      </c>
      <c r="E117" s="0" t="n">
        <v>1</v>
      </c>
      <c r="F117" s="27" t="n">
        <v>43678</v>
      </c>
      <c r="G117" s="0" t="n">
        <v>0</v>
      </c>
      <c r="H117" s="71" t="n">
        <v>43633</v>
      </c>
      <c r="I117" s="25" t="s">
        <v>506</v>
      </c>
    </row>
    <row r="118" customFormat="false" ht="12.8" hidden="false" customHeight="false" outlineLevel="0" collapsed="false">
      <c r="A118" s="67" t="s">
        <v>555</v>
      </c>
      <c r="B118" s="82" t="n">
        <v>570.95</v>
      </c>
      <c r="C118" s="0" t="n">
        <v>1</v>
      </c>
      <c r="D118" s="0" t="n">
        <v>0</v>
      </c>
      <c r="E118" s="0" t="n">
        <v>1</v>
      </c>
      <c r="F118" s="27" t="n">
        <v>43709</v>
      </c>
      <c r="G118" s="0" t="n">
        <v>1</v>
      </c>
      <c r="H118" s="66" t="n">
        <v>43694</v>
      </c>
      <c r="I118" s="0" t="s">
        <v>494</v>
      </c>
    </row>
    <row r="119" customFormat="false" ht="12.8" hidden="false" customHeight="false" outlineLevel="0" collapsed="false">
      <c r="A119" s="67" t="s">
        <v>556</v>
      </c>
      <c r="B119" s="82" t="n">
        <v>570.95</v>
      </c>
      <c r="C119" s="0" t="n">
        <v>1</v>
      </c>
      <c r="D119" s="0" t="n">
        <v>0</v>
      </c>
      <c r="E119" s="0" t="n">
        <v>1</v>
      </c>
      <c r="F119" s="27" t="n">
        <v>43739</v>
      </c>
      <c r="G119" s="0" t="n">
        <v>0</v>
      </c>
      <c r="H119" s="83" t="n">
        <v>43633</v>
      </c>
      <c r="I119" s="0" t="s">
        <v>494</v>
      </c>
    </row>
    <row r="120" customFormat="false" ht="12.8" hidden="false" customHeight="false" outlineLevel="0" collapsed="false">
      <c r="A120" s="67" t="s">
        <v>557</v>
      </c>
      <c r="B120" s="82" t="n">
        <v>570.95</v>
      </c>
      <c r="C120" s="0" t="n">
        <v>1</v>
      </c>
      <c r="D120" s="0" t="n">
        <v>0</v>
      </c>
      <c r="E120" s="0" t="n">
        <v>1</v>
      </c>
      <c r="F120" s="27" t="n">
        <v>43770</v>
      </c>
      <c r="G120" s="0" t="n">
        <v>0</v>
      </c>
    </row>
    <row r="121" customFormat="false" ht="12.8" hidden="false" customHeight="false" outlineLevel="0" collapsed="false">
      <c r="A121" s="67" t="s">
        <v>215</v>
      </c>
      <c r="B121" s="82" t="n">
        <v>43.25</v>
      </c>
      <c r="C121" s="0" t="n">
        <v>1</v>
      </c>
      <c r="D121" s="0" t="n">
        <v>0</v>
      </c>
      <c r="E121" s="0" t="n">
        <v>1</v>
      </c>
      <c r="F121" s="27" t="n">
        <v>43678</v>
      </c>
      <c r="G121" s="0" t="n">
        <v>0</v>
      </c>
      <c r="H121" s="68" t="n">
        <v>43666</v>
      </c>
      <c r="I121" s="25" t="s">
        <v>70</v>
      </c>
      <c r="J121" s="80"/>
    </row>
    <row r="122" customFormat="false" ht="12.8" hidden="false" customHeight="false" outlineLevel="0" collapsed="false">
      <c r="A122" s="67" t="s">
        <v>94</v>
      </c>
      <c r="B122" s="82" t="n">
        <v>9.23</v>
      </c>
      <c r="C122" s="0" t="n">
        <v>1</v>
      </c>
      <c r="D122" s="0" t="n">
        <v>0</v>
      </c>
      <c r="E122" s="0" t="n">
        <v>1</v>
      </c>
      <c r="F122" s="27" t="n">
        <v>43678</v>
      </c>
      <c r="G122" s="0" t="n">
        <v>0</v>
      </c>
      <c r="H122" s="68" t="n">
        <v>43667</v>
      </c>
      <c r="I122" s="25" t="s">
        <v>84</v>
      </c>
      <c r="J122" s="80"/>
    </row>
    <row r="123" customFormat="false" ht="12.8" hidden="false" customHeight="false" outlineLevel="0" collapsed="false">
      <c r="A123" s="67" t="s">
        <v>558</v>
      </c>
      <c r="B123" s="82" t="n">
        <v>9.99</v>
      </c>
      <c r="C123" s="0" t="n">
        <v>1</v>
      </c>
      <c r="D123" s="0" t="n">
        <v>0</v>
      </c>
      <c r="E123" s="0" t="n">
        <v>1</v>
      </c>
      <c r="F123" s="27" t="n">
        <v>43678</v>
      </c>
      <c r="G123" s="0" t="n">
        <v>0</v>
      </c>
      <c r="H123" s="68" t="n">
        <v>43668</v>
      </c>
      <c r="I123" s="25" t="s">
        <v>73</v>
      </c>
    </row>
    <row r="124" customFormat="false" ht="12.8" hidden="false" customHeight="false" outlineLevel="0" collapsed="false">
      <c r="A124" s="65" t="s">
        <v>559</v>
      </c>
      <c r="B124" s="82" t="n">
        <v>23.64</v>
      </c>
      <c r="C124" s="0" t="n">
        <v>1</v>
      </c>
      <c r="D124" s="0" t="n">
        <v>0</v>
      </c>
      <c r="E124" s="0" t="n">
        <v>1</v>
      </c>
      <c r="F124" s="27" t="n">
        <v>43678</v>
      </c>
      <c r="G124" s="0" t="n">
        <v>0</v>
      </c>
      <c r="H124" s="66" t="n">
        <v>43672</v>
      </c>
      <c r="I124" s="0" t="s">
        <v>106</v>
      </c>
    </row>
    <row r="125" customFormat="false" ht="12.8" hidden="false" customHeight="false" outlineLevel="0" collapsed="false">
      <c r="A125" s="65" t="s">
        <v>513</v>
      </c>
      <c r="B125" s="82" t="n">
        <v>35</v>
      </c>
      <c r="C125" s="0" t="n">
        <v>1</v>
      </c>
      <c r="D125" s="0" t="n">
        <v>0</v>
      </c>
      <c r="E125" s="0" t="n">
        <v>1</v>
      </c>
      <c r="F125" s="27" t="n">
        <v>43678</v>
      </c>
      <c r="G125" s="0" t="n">
        <v>0</v>
      </c>
      <c r="H125" s="66" t="n">
        <v>43678</v>
      </c>
      <c r="I125" s="0" t="s">
        <v>68</v>
      </c>
    </row>
    <row r="126" customFormat="false" ht="12.8" hidden="false" customHeight="false" outlineLevel="0" collapsed="false">
      <c r="A126" s="65" t="s">
        <v>199</v>
      </c>
      <c r="B126" s="82" t="n">
        <v>19.15</v>
      </c>
      <c r="C126" s="0" t="n">
        <v>1</v>
      </c>
      <c r="D126" s="0" t="n">
        <v>0</v>
      </c>
      <c r="E126" s="0" t="n">
        <v>1</v>
      </c>
      <c r="F126" s="27" t="n">
        <v>43678</v>
      </c>
      <c r="G126" s="0" t="n">
        <v>0</v>
      </c>
      <c r="H126" s="66" t="n">
        <v>43679</v>
      </c>
      <c r="I126" s="0" t="s">
        <v>116</v>
      </c>
    </row>
    <row r="127" customFormat="false" ht="12.8" hidden="false" customHeight="false" outlineLevel="0" collapsed="false">
      <c r="A127" s="65" t="s">
        <v>560</v>
      </c>
      <c r="B127" s="82" t="n">
        <v>2.08</v>
      </c>
      <c r="C127" s="0" t="n">
        <v>1</v>
      </c>
      <c r="D127" s="0" t="n">
        <v>0</v>
      </c>
      <c r="E127" s="0" t="n">
        <v>1</v>
      </c>
      <c r="F127" s="27" t="n">
        <v>43678</v>
      </c>
      <c r="G127" s="0" t="n">
        <v>0</v>
      </c>
      <c r="H127" s="66" t="n">
        <v>43671</v>
      </c>
      <c r="I127" s="0" t="s">
        <v>72</v>
      </c>
    </row>
    <row r="128" customFormat="false" ht="12.8" hidden="false" customHeight="false" outlineLevel="0" collapsed="false">
      <c r="A128" s="65" t="s">
        <v>560</v>
      </c>
      <c r="B128" s="82" t="n">
        <v>2.96</v>
      </c>
      <c r="C128" s="0" t="n">
        <v>1</v>
      </c>
      <c r="D128" s="0" t="n">
        <v>0</v>
      </c>
      <c r="E128" s="0" t="n">
        <v>1</v>
      </c>
      <c r="F128" s="27" t="n">
        <v>43678</v>
      </c>
      <c r="G128" s="0" t="n">
        <v>0</v>
      </c>
      <c r="H128" s="66" t="n">
        <v>43671</v>
      </c>
      <c r="I128" s="0" t="s">
        <v>72</v>
      </c>
    </row>
    <row r="129" customFormat="false" ht="12.8" hidden="false" customHeight="false" outlineLevel="0" collapsed="false">
      <c r="A129" s="65" t="s">
        <v>560</v>
      </c>
      <c r="B129" s="82" t="n">
        <v>2.84</v>
      </c>
      <c r="C129" s="0" t="n">
        <v>1</v>
      </c>
      <c r="D129" s="0" t="n">
        <v>0</v>
      </c>
      <c r="E129" s="0" t="n">
        <v>1</v>
      </c>
      <c r="F129" s="27" t="n">
        <v>43678</v>
      </c>
      <c r="G129" s="0" t="n">
        <v>0</v>
      </c>
      <c r="H129" s="66" t="n">
        <v>43673</v>
      </c>
      <c r="I129" s="0" t="s">
        <v>72</v>
      </c>
    </row>
    <row r="130" customFormat="false" ht="12.8" hidden="false" customHeight="false" outlineLevel="0" collapsed="false">
      <c r="A130" s="65" t="s">
        <v>561</v>
      </c>
      <c r="B130" s="82" t="n">
        <v>-7.89</v>
      </c>
      <c r="C130" s="0" t="n">
        <v>1</v>
      </c>
      <c r="D130" s="0" t="n">
        <v>0</v>
      </c>
      <c r="E130" s="0" t="n">
        <v>1</v>
      </c>
      <c r="F130" s="27" t="n">
        <v>43678</v>
      </c>
      <c r="G130" s="0" t="n">
        <v>0</v>
      </c>
      <c r="H130" s="66" t="n">
        <v>43673</v>
      </c>
      <c r="I130" s="0" t="s">
        <v>561</v>
      </c>
    </row>
    <row r="131" customFormat="false" ht="12.8" hidden="false" customHeight="false" outlineLevel="0" collapsed="false">
      <c r="A131" s="65" t="s">
        <v>562</v>
      </c>
      <c r="B131" s="82" t="n">
        <v>25.9</v>
      </c>
      <c r="C131" s="0" t="n">
        <v>1</v>
      </c>
      <c r="D131" s="0" t="n">
        <v>0</v>
      </c>
      <c r="E131" s="0" t="n">
        <v>1</v>
      </c>
      <c r="F131" s="27" t="n">
        <v>43709</v>
      </c>
      <c r="G131" s="0" t="n">
        <v>1</v>
      </c>
      <c r="H131" s="66" t="n">
        <v>43685</v>
      </c>
      <c r="I131" s="0" t="s">
        <v>72</v>
      </c>
    </row>
    <row r="132" customFormat="false" ht="12.8" hidden="false" customHeight="false" outlineLevel="0" collapsed="false">
      <c r="A132" s="65" t="s">
        <v>563</v>
      </c>
      <c r="B132" s="82" t="n">
        <v>23</v>
      </c>
      <c r="C132" s="0" t="n">
        <v>1</v>
      </c>
      <c r="D132" s="0" t="n">
        <v>0</v>
      </c>
      <c r="E132" s="0" t="n">
        <v>1</v>
      </c>
      <c r="F132" s="27" t="n">
        <v>43709</v>
      </c>
      <c r="G132" s="0" t="n">
        <v>1</v>
      </c>
      <c r="H132" s="66" t="n">
        <v>43686</v>
      </c>
      <c r="I132" s="0" t="s">
        <v>138</v>
      </c>
    </row>
    <row r="133" customFormat="false" ht="12.8" hidden="false" customHeight="false" outlineLevel="0" collapsed="false">
      <c r="A133" s="65" t="s">
        <v>564</v>
      </c>
      <c r="B133" s="82" t="n">
        <v>60.46</v>
      </c>
      <c r="C133" s="0" t="n">
        <v>1</v>
      </c>
      <c r="D133" s="0" t="n">
        <v>0</v>
      </c>
      <c r="E133" s="0" t="n">
        <v>1</v>
      </c>
      <c r="F133" s="27" t="n">
        <v>43709</v>
      </c>
      <c r="G133" s="0" t="n">
        <v>1</v>
      </c>
      <c r="H133" s="66" t="n">
        <v>43686</v>
      </c>
      <c r="I133" s="0" t="s">
        <v>79</v>
      </c>
    </row>
    <row r="134" customFormat="false" ht="12.8" hidden="false" customHeight="false" outlineLevel="0" collapsed="false">
      <c r="A134" s="65" t="s">
        <v>103</v>
      </c>
      <c r="B134" s="82" t="n">
        <v>117.9</v>
      </c>
      <c r="C134" s="0" t="n">
        <v>1</v>
      </c>
      <c r="D134" s="0" t="n">
        <v>0</v>
      </c>
      <c r="E134" s="0" t="n">
        <v>1</v>
      </c>
      <c r="F134" s="27" t="n">
        <v>43709</v>
      </c>
      <c r="G134" s="0" t="n">
        <v>1</v>
      </c>
      <c r="H134" s="66" t="n">
        <v>43686</v>
      </c>
      <c r="I134" s="0" t="s">
        <v>72</v>
      </c>
    </row>
    <row r="135" customFormat="false" ht="12.8" hidden="false" customHeight="false" outlineLevel="0" collapsed="false">
      <c r="A135" s="65" t="s">
        <v>215</v>
      </c>
      <c r="B135" s="82" t="n">
        <v>33.54</v>
      </c>
      <c r="C135" s="0" t="n">
        <v>1</v>
      </c>
      <c r="D135" s="0" t="n">
        <v>0</v>
      </c>
      <c r="E135" s="0" t="n">
        <v>1</v>
      </c>
      <c r="F135" s="27" t="n">
        <v>43709</v>
      </c>
      <c r="G135" s="0" t="n">
        <v>1</v>
      </c>
      <c r="H135" s="66" t="n">
        <v>43686</v>
      </c>
      <c r="I135" s="0" t="s">
        <v>81</v>
      </c>
    </row>
    <row r="136" customFormat="false" ht="12.8" hidden="false" customHeight="false" outlineLevel="0" collapsed="false">
      <c r="A136" s="65" t="s">
        <v>291</v>
      </c>
      <c r="B136" s="82" t="n">
        <v>14.42</v>
      </c>
      <c r="C136" s="0" t="n">
        <v>1</v>
      </c>
      <c r="D136" s="0" t="n">
        <v>0</v>
      </c>
      <c r="E136" s="0" t="n">
        <v>1</v>
      </c>
      <c r="F136" s="27" t="n">
        <v>43709</v>
      </c>
      <c r="G136" s="0" t="n">
        <v>1</v>
      </c>
      <c r="H136" s="66" t="n">
        <v>43687</v>
      </c>
      <c r="I136" s="0" t="s">
        <v>81</v>
      </c>
    </row>
    <row r="137" customFormat="false" ht="12.8" hidden="false" customHeight="false" outlineLevel="0" collapsed="false">
      <c r="A137" s="65" t="s">
        <v>146</v>
      </c>
      <c r="B137" s="82" t="n">
        <v>10</v>
      </c>
      <c r="C137" s="0" t="n">
        <v>1</v>
      </c>
      <c r="D137" s="0" t="n">
        <v>0</v>
      </c>
      <c r="E137" s="0" t="n">
        <v>1</v>
      </c>
      <c r="F137" s="27" t="n">
        <v>43709</v>
      </c>
      <c r="G137" s="0" t="n">
        <v>1</v>
      </c>
      <c r="H137" s="66" t="n">
        <v>43687</v>
      </c>
      <c r="I137" s="0" t="s">
        <v>72</v>
      </c>
    </row>
    <row r="138" customFormat="false" ht="12.8" hidden="false" customHeight="false" outlineLevel="0" collapsed="false">
      <c r="A138" s="65" t="s">
        <v>565</v>
      </c>
      <c r="B138" s="82" t="n">
        <v>15</v>
      </c>
      <c r="C138" s="0" t="n">
        <v>1</v>
      </c>
      <c r="D138" s="0" t="n">
        <v>0</v>
      </c>
      <c r="E138" s="0" t="n">
        <v>1</v>
      </c>
      <c r="F138" s="27" t="n">
        <v>43709</v>
      </c>
      <c r="G138" s="0" t="n">
        <v>1</v>
      </c>
      <c r="H138" s="66" t="n">
        <v>43687</v>
      </c>
      <c r="I138" s="0" t="s">
        <v>72</v>
      </c>
    </row>
    <row r="139" customFormat="false" ht="12.8" hidden="false" customHeight="false" outlineLevel="0" collapsed="false">
      <c r="A139" s="65" t="s">
        <v>566</v>
      </c>
      <c r="B139" s="82" t="n">
        <v>44</v>
      </c>
      <c r="C139" s="0" t="n">
        <v>1</v>
      </c>
      <c r="D139" s="0" t="n">
        <v>0</v>
      </c>
      <c r="E139" s="0" t="n">
        <v>1</v>
      </c>
      <c r="F139" s="27" t="n">
        <v>43709</v>
      </c>
      <c r="G139" s="0" t="n">
        <v>1</v>
      </c>
      <c r="H139" s="66" t="n">
        <v>43687</v>
      </c>
      <c r="I139" s="0" t="s">
        <v>138</v>
      </c>
    </row>
    <row r="140" customFormat="false" ht="12.8" hidden="false" customHeight="false" outlineLevel="0" collapsed="false">
      <c r="A140" s="65" t="s">
        <v>567</v>
      </c>
      <c r="B140" s="82" t="n">
        <v>112</v>
      </c>
      <c r="C140" s="0" t="n">
        <v>1</v>
      </c>
      <c r="D140" s="0" t="n">
        <v>0</v>
      </c>
      <c r="E140" s="0" t="n">
        <v>1</v>
      </c>
      <c r="F140" s="27" t="n">
        <v>43709</v>
      </c>
      <c r="G140" s="0" t="n">
        <v>1</v>
      </c>
      <c r="H140" s="66" t="n">
        <v>43687</v>
      </c>
      <c r="I140" s="0" t="s">
        <v>138</v>
      </c>
    </row>
    <row r="141" customFormat="false" ht="12.8" hidden="false" customHeight="false" outlineLevel="0" collapsed="false">
      <c r="A141" s="65" t="s">
        <v>525</v>
      </c>
      <c r="B141" s="82" t="n">
        <v>70</v>
      </c>
      <c r="C141" s="0" t="n">
        <v>1</v>
      </c>
      <c r="D141" s="0" t="n">
        <v>0</v>
      </c>
      <c r="E141" s="0" t="n">
        <v>1</v>
      </c>
      <c r="F141" s="27" t="n">
        <v>43709</v>
      </c>
      <c r="G141" s="0" t="n">
        <v>1</v>
      </c>
      <c r="H141" s="66" t="n">
        <v>43687</v>
      </c>
      <c r="I141" s="0" t="s">
        <v>106</v>
      </c>
    </row>
    <row r="142" customFormat="false" ht="12.8" hidden="false" customHeight="false" outlineLevel="0" collapsed="false">
      <c r="A142" s="65" t="s">
        <v>525</v>
      </c>
      <c r="B142" s="82" t="n">
        <v>50</v>
      </c>
      <c r="C142" s="0" t="n">
        <v>1</v>
      </c>
      <c r="D142" s="0" t="n">
        <v>0</v>
      </c>
      <c r="E142" s="0" t="n">
        <v>1</v>
      </c>
      <c r="F142" s="27" t="n">
        <v>43709</v>
      </c>
      <c r="G142" s="0" t="n">
        <v>1</v>
      </c>
      <c r="H142" s="66" t="n">
        <v>43687</v>
      </c>
      <c r="I142" s="0" t="s">
        <v>106</v>
      </c>
    </row>
    <row r="143" customFormat="false" ht="12.8" hidden="false" customHeight="false" outlineLevel="0" collapsed="false">
      <c r="A143" s="65" t="s">
        <v>73</v>
      </c>
      <c r="B143" s="82" t="n">
        <v>53.8</v>
      </c>
      <c r="C143" s="0" t="n">
        <v>1</v>
      </c>
      <c r="D143" s="0" t="n">
        <v>0</v>
      </c>
      <c r="E143" s="0" t="n">
        <v>1</v>
      </c>
      <c r="F143" s="27" t="n">
        <v>43709</v>
      </c>
      <c r="G143" s="0" t="n">
        <v>1</v>
      </c>
      <c r="H143" s="66" t="n">
        <v>43687</v>
      </c>
      <c r="I143" s="0" t="s">
        <v>73</v>
      </c>
    </row>
    <row r="144" customFormat="false" ht="12.8" hidden="false" customHeight="false" outlineLevel="0" collapsed="false">
      <c r="A144" s="65" t="s">
        <v>568</v>
      </c>
      <c r="B144" s="82" t="n">
        <v>30</v>
      </c>
      <c r="C144" s="0" t="n">
        <v>1</v>
      </c>
      <c r="D144" s="0" t="n">
        <v>0</v>
      </c>
      <c r="E144" s="0" t="n">
        <v>1</v>
      </c>
      <c r="F144" s="27" t="n">
        <v>43709</v>
      </c>
      <c r="G144" s="0" t="n">
        <v>1</v>
      </c>
      <c r="H144" s="66" t="n">
        <v>43687</v>
      </c>
      <c r="I144" s="0" t="s">
        <v>81</v>
      </c>
    </row>
    <row r="145" customFormat="false" ht="12.8" hidden="false" customHeight="false" outlineLevel="0" collapsed="false">
      <c r="A145" s="65" t="s">
        <v>103</v>
      </c>
      <c r="B145" s="82" t="n">
        <v>53.92</v>
      </c>
      <c r="C145" s="0" t="n">
        <v>1</v>
      </c>
      <c r="D145" s="0" t="n">
        <v>0</v>
      </c>
      <c r="E145" s="0" t="n">
        <v>1</v>
      </c>
      <c r="F145" s="27" t="n">
        <v>43709</v>
      </c>
      <c r="G145" s="0" t="n">
        <v>1</v>
      </c>
      <c r="H145" s="66" t="n">
        <v>43688</v>
      </c>
      <c r="I145" s="0" t="s">
        <v>72</v>
      </c>
    </row>
    <row r="146" customFormat="false" ht="12.8" hidden="false" customHeight="false" outlineLevel="0" collapsed="false">
      <c r="A146" s="65" t="s">
        <v>105</v>
      </c>
      <c r="B146" s="82" t="n">
        <v>175.19</v>
      </c>
      <c r="C146" s="0" t="n">
        <v>1</v>
      </c>
      <c r="D146" s="0" t="n">
        <v>0</v>
      </c>
      <c r="E146" s="0" t="n">
        <v>1</v>
      </c>
      <c r="F146" s="27" t="n">
        <v>43709</v>
      </c>
      <c r="G146" s="0" t="n">
        <v>1</v>
      </c>
      <c r="H146" s="66" t="n">
        <v>43688</v>
      </c>
      <c r="I146" s="0" t="s">
        <v>106</v>
      </c>
    </row>
    <row r="147" customFormat="false" ht="12.8" hidden="false" customHeight="false" outlineLevel="0" collapsed="false">
      <c r="A147" s="65" t="s">
        <v>291</v>
      </c>
      <c r="B147" s="82" t="n">
        <v>45.95</v>
      </c>
      <c r="C147" s="0" t="n">
        <v>1</v>
      </c>
      <c r="D147" s="0" t="n">
        <v>0</v>
      </c>
      <c r="E147" s="0" t="n">
        <v>1</v>
      </c>
      <c r="F147" s="27" t="n">
        <v>43678</v>
      </c>
      <c r="G147" s="0" t="n">
        <v>0</v>
      </c>
      <c r="H147" s="66" t="n">
        <v>43682</v>
      </c>
      <c r="I147" s="0" t="s">
        <v>81</v>
      </c>
    </row>
    <row r="148" customFormat="false" ht="12.8" hidden="false" customHeight="false" outlineLevel="0" collapsed="false">
      <c r="A148" s="65" t="s">
        <v>569</v>
      </c>
      <c r="B148" s="82" t="n">
        <v>44.12</v>
      </c>
      <c r="C148" s="0" t="n">
        <v>1</v>
      </c>
      <c r="D148" s="0" t="n">
        <v>0</v>
      </c>
      <c r="E148" s="0" t="n">
        <v>1</v>
      </c>
      <c r="F148" s="27" t="n">
        <v>43678</v>
      </c>
      <c r="G148" s="0" t="n">
        <v>0</v>
      </c>
      <c r="H148" s="66" t="n">
        <v>43682</v>
      </c>
      <c r="I148" s="0" t="s">
        <v>81</v>
      </c>
    </row>
    <row r="149" customFormat="false" ht="12.8" hidden="false" customHeight="false" outlineLevel="0" collapsed="false">
      <c r="A149" s="65" t="s">
        <v>100</v>
      </c>
      <c r="B149" s="82" t="n">
        <v>19.8</v>
      </c>
      <c r="C149" s="0" t="n">
        <v>1</v>
      </c>
      <c r="D149" s="0" t="n">
        <v>0</v>
      </c>
      <c r="E149" s="0" t="n">
        <v>1</v>
      </c>
      <c r="F149" s="27" t="n">
        <v>43709</v>
      </c>
      <c r="G149" s="0" t="n">
        <v>1</v>
      </c>
      <c r="H149" s="66" t="n">
        <v>43693</v>
      </c>
      <c r="I149" s="0" t="s">
        <v>72</v>
      </c>
    </row>
    <row r="150" customFormat="false" ht="12.8" hidden="false" customHeight="false" outlineLevel="0" collapsed="false">
      <c r="A150" s="65" t="s">
        <v>199</v>
      </c>
      <c r="B150" s="82" t="n">
        <v>55.18</v>
      </c>
      <c r="C150" s="0" t="n">
        <v>1</v>
      </c>
      <c r="D150" s="0" t="n">
        <v>0</v>
      </c>
      <c r="E150" s="0" t="n">
        <v>1</v>
      </c>
      <c r="F150" s="27" t="n">
        <v>43709</v>
      </c>
      <c r="G150" s="0" t="n">
        <v>1</v>
      </c>
      <c r="H150" s="66" t="n">
        <v>43693</v>
      </c>
      <c r="I150" s="0" t="s">
        <v>116</v>
      </c>
    </row>
    <row r="151" customFormat="false" ht="12.8" hidden="false" customHeight="false" outlineLevel="0" collapsed="false">
      <c r="A151" s="65" t="s">
        <v>570</v>
      </c>
      <c r="B151" s="82" t="n">
        <v>31.5</v>
      </c>
      <c r="C151" s="0" t="n">
        <v>1</v>
      </c>
      <c r="D151" s="0" t="n">
        <v>0</v>
      </c>
      <c r="E151" s="0" t="n">
        <v>1</v>
      </c>
      <c r="F151" s="27" t="n">
        <v>43709</v>
      </c>
      <c r="G151" s="0" t="n">
        <v>1</v>
      </c>
      <c r="H151" s="66" t="n">
        <v>43693</v>
      </c>
      <c r="I151" s="0" t="s">
        <v>73</v>
      </c>
    </row>
    <row r="152" customFormat="false" ht="12.8" hidden="false" customHeight="false" outlineLevel="0" collapsed="false">
      <c r="A152" s="65" t="s">
        <v>215</v>
      </c>
      <c r="B152" s="82" t="n">
        <v>44.39</v>
      </c>
      <c r="C152" s="0" t="n">
        <v>1</v>
      </c>
      <c r="D152" s="0" t="n">
        <v>0</v>
      </c>
      <c r="E152" s="0" t="n">
        <v>1</v>
      </c>
      <c r="F152" s="27" t="n">
        <v>43709</v>
      </c>
      <c r="G152" s="0" t="n">
        <v>1</v>
      </c>
      <c r="H152" s="66" t="n">
        <v>43694</v>
      </c>
      <c r="I152" s="0" t="s">
        <v>70</v>
      </c>
    </row>
    <row r="153" customFormat="false" ht="12.8" hidden="false" customHeight="false" outlineLevel="0" collapsed="false">
      <c r="A153" s="65" t="s">
        <v>74</v>
      </c>
      <c r="B153" s="82" t="n">
        <v>2.99</v>
      </c>
      <c r="C153" s="0" t="n">
        <v>1</v>
      </c>
      <c r="D153" s="0" t="n">
        <v>0</v>
      </c>
      <c r="E153" s="0" t="n">
        <v>1</v>
      </c>
      <c r="F153" s="27" t="n">
        <v>43709</v>
      </c>
      <c r="G153" s="0" t="n">
        <v>1</v>
      </c>
      <c r="H153" s="66" t="n">
        <v>43696</v>
      </c>
      <c r="I153" s="0" t="s">
        <v>72</v>
      </c>
    </row>
    <row r="154" customFormat="false" ht="12.8" hidden="false" customHeight="false" outlineLevel="0" collapsed="false">
      <c r="A154" s="65" t="s">
        <v>82</v>
      </c>
      <c r="B154" s="82" t="n">
        <v>6</v>
      </c>
      <c r="C154" s="0" t="n">
        <v>1</v>
      </c>
      <c r="D154" s="0" t="n">
        <v>0</v>
      </c>
      <c r="E154" s="0" t="n">
        <v>1</v>
      </c>
      <c r="F154" s="27" t="n">
        <v>43709</v>
      </c>
      <c r="G154" s="0" t="n">
        <v>1</v>
      </c>
      <c r="H154" s="66" t="n">
        <v>43696</v>
      </c>
      <c r="I154" s="0" t="s">
        <v>72</v>
      </c>
    </row>
    <row r="155" customFormat="false" ht="12.8" hidden="false" customHeight="false" outlineLevel="0" collapsed="false">
      <c r="A155" s="65" t="s">
        <v>570</v>
      </c>
      <c r="B155" s="82" t="n">
        <v>30</v>
      </c>
      <c r="C155" s="0" t="n">
        <v>1</v>
      </c>
      <c r="D155" s="0" t="n">
        <v>0</v>
      </c>
      <c r="E155" s="0" t="n">
        <v>1</v>
      </c>
      <c r="F155" s="27" t="n">
        <v>43709</v>
      </c>
      <c r="G155" s="0" t="n">
        <v>1</v>
      </c>
      <c r="H155" s="66" t="n">
        <v>43697</v>
      </c>
      <c r="I155" s="0" t="s">
        <v>73</v>
      </c>
    </row>
    <row r="156" customFormat="false" ht="12.8" hidden="false" customHeight="false" outlineLevel="0" collapsed="false">
      <c r="A156" s="65" t="s">
        <v>112</v>
      </c>
      <c r="B156" s="82" t="n">
        <v>5.5</v>
      </c>
      <c r="C156" s="0" t="n">
        <v>1</v>
      </c>
      <c r="D156" s="0" t="n">
        <v>0</v>
      </c>
      <c r="E156" s="0" t="n">
        <v>1</v>
      </c>
      <c r="F156" s="27" t="n">
        <v>43709</v>
      </c>
      <c r="G156" s="0" t="n">
        <v>1</v>
      </c>
      <c r="H156" s="66" t="n">
        <v>43697</v>
      </c>
      <c r="I156" s="0" t="s">
        <v>72</v>
      </c>
    </row>
    <row r="157" customFormat="false" ht="12.8" hidden="false" customHeight="false" outlineLevel="0" collapsed="false">
      <c r="A157" s="65" t="s">
        <v>82</v>
      </c>
      <c r="B157" s="82" t="n">
        <v>5</v>
      </c>
      <c r="C157" s="0" t="n">
        <v>1</v>
      </c>
      <c r="D157" s="0" t="n">
        <v>0</v>
      </c>
      <c r="E157" s="0" t="n">
        <v>1</v>
      </c>
      <c r="F157" s="27" t="n">
        <v>43709</v>
      </c>
      <c r="G157" s="0" t="n">
        <v>1</v>
      </c>
      <c r="H157" s="66" t="n">
        <v>43697</v>
      </c>
      <c r="I157" s="0" t="s">
        <v>72</v>
      </c>
    </row>
    <row r="158" customFormat="false" ht="12.8" hidden="false" customHeight="false" outlineLevel="0" collapsed="false">
      <c r="A158" s="65" t="s">
        <v>571</v>
      </c>
      <c r="B158" s="82" t="n">
        <v>20</v>
      </c>
      <c r="C158" s="0" t="n">
        <v>1</v>
      </c>
      <c r="D158" s="0" t="n">
        <v>0</v>
      </c>
      <c r="E158" s="0" t="n">
        <v>1</v>
      </c>
      <c r="F158" s="27" t="n">
        <v>43709</v>
      </c>
      <c r="G158" s="0" t="n">
        <v>1</v>
      </c>
      <c r="H158" s="66" t="n">
        <v>43698</v>
      </c>
      <c r="I158" s="0" t="s">
        <v>72</v>
      </c>
    </row>
    <row r="159" customFormat="false" ht="12.8" hidden="false" customHeight="false" outlineLevel="0" collapsed="false">
      <c r="A159" s="65" t="s">
        <v>169</v>
      </c>
      <c r="B159" s="82" t="n">
        <v>10.5</v>
      </c>
      <c r="C159" s="0" t="n">
        <v>1</v>
      </c>
      <c r="D159" s="0" t="n">
        <v>0</v>
      </c>
      <c r="E159" s="0" t="n">
        <v>1</v>
      </c>
      <c r="F159" s="27" t="n">
        <v>43709</v>
      </c>
      <c r="G159" s="0" t="n">
        <v>1</v>
      </c>
      <c r="H159" s="66" t="n">
        <v>43698</v>
      </c>
      <c r="I159" s="0" t="s">
        <v>72</v>
      </c>
    </row>
    <row r="160" customFormat="false" ht="12.8" hidden="false" customHeight="false" outlineLevel="0" collapsed="false">
      <c r="A160" s="65" t="s">
        <v>570</v>
      </c>
      <c r="B160" s="82" t="n">
        <v>30.9</v>
      </c>
      <c r="C160" s="0" t="n">
        <v>1</v>
      </c>
      <c r="D160" s="0" t="n">
        <v>0</v>
      </c>
      <c r="E160" s="0" t="n">
        <v>1</v>
      </c>
      <c r="F160" s="27" t="n">
        <v>43709</v>
      </c>
      <c r="G160" s="0" t="n">
        <v>1</v>
      </c>
      <c r="H160" s="66" t="n">
        <v>43698</v>
      </c>
      <c r="I160" s="0" t="s">
        <v>73</v>
      </c>
    </row>
    <row r="161" customFormat="false" ht="12.8" hidden="false" customHeight="false" outlineLevel="0" collapsed="false">
      <c r="A161" s="65" t="s">
        <v>572</v>
      </c>
      <c r="B161" s="82" t="n">
        <v>50</v>
      </c>
      <c r="C161" s="0" t="n">
        <v>1</v>
      </c>
      <c r="D161" s="0" t="n">
        <v>0</v>
      </c>
      <c r="E161" s="0" t="n">
        <v>1</v>
      </c>
      <c r="F161" s="27" t="n">
        <v>43709</v>
      </c>
      <c r="G161" s="0" t="n">
        <v>1</v>
      </c>
      <c r="H161" s="66" t="n">
        <v>43699</v>
      </c>
      <c r="I161" s="0" t="s">
        <v>81</v>
      </c>
    </row>
    <row r="162" customFormat="false" ht="12.8" hidden="false" customHeight="false" outlineLevel="0" collapsed="false">
      <c r="A162" s="65" t="s">
        <v>573</v>
      </c>
      <c r="B162" s="82" t="n">
        <v>26</v>
      </c>
      <c r="C162" s="0" t="n">
        <v>1</v>
      </c>
      <c r="D162" s="0" t="n">
        <v>0</v>
      </c>
      <c r="E162" s="0" t="n">
        <v>1</v>
      </c>
      <c r="F162" s="27" t="n">
        <v>43709</v>
      </c>
      <c r="G162" s="0" t="n">
        <v>1</v>
      </c>
      <c r="H162" s="66" t="n">
        <v>43699</v>
      </c>
      <c r="I162" s="0" t="s">
        <v>81</v>
      </c>
    </row>
    <row r="163" customFormat="false" ht="12.8" hidden="false" customHeight="false" outlineLevel="0" collapsed="false">
      <c r="A163" s="65" t="s">
        <v>574</v>
      </c>
      <c r="B163" s="82" t="n">
        <v>7</v>
      </c>
      <c r="C163" s="0" t="n">
        <v>1</v>
      </c>
      <c r="D163" s="0" t="n">
        <v>0</v>
      </c>
      <c r="E163" s="0" t="n">
        <v>1</v>
      </c>
      <c r="F163" s="27" t="n">
        <v>43709</v>
      </c>
      <c r="G163" s="0" t="n">
        <v>1</v>
      </c>
      <c r="H163" s="66" t="n">
        <v>43699</v>
      </c>
      <c r="I163" s="0" t="s">
        <v>72</v>
      </c>
    </row>
    <row r="164" customFormat="false" ht="12.8" hidden="false" customHeight="false" outlineLevel="0" collapsed="false">
      <c r="A164" s="65" t="s">
        <v>74</v>
      </c>
      <c r="B164" s="82" t="n">
        <v>2.99</v>
      </c>
      <c r="C164" s="0" t="n">
        <v>1</v>
      </c>
      <c r="D164" s="0" t="n">
        <v>0</v>
      </c>
      <c r="E164" s="0" t="n">
        <v>1</v>
      </c>
      <c r="F164" s="27" t="n">
        <v>43709</v>
      </c>
      <c r="G164" s="0" t="n">
        <v>1</v>
      </c>
      <c r="H164" s="66" t="n">
        <v>43699</v>
      </c>
      <c r="I164" s="0" t="s">
        <v>72</v>
      </c>
    </row>
    <row r="165" customFormat="false" ht="12.8" hidden="false" customHeight="false" outlineLevel="0" collapsed="false">
      <c r="A165" s="65" t="s">
        <v>558</v>
      </c>
      <c r="B165" s="82" t="n">
        <v>20</v>
      </c>
      <c r="C165" s="0" t="n">
        <v>1</v>
      </c>
      <c r="D165" s="0" t="n">
        <v>0</v>
      </c>
      <c r="E165" s="0" t="n">
        <v>1</v>
      </c>
      <c r="F165" s="27" t="n">
        <v>43709</v>
      </c>
      <c r="G165" s="0" t="n">
        <v>1</v>
      </c>
      <c r="H165" s="66" t="n">
        <v>43707</v>
      </c>
      <c r="I165" s="0" t="s">
        <v>73</v>
      </c>
    </row>
    <row r="166" customFormat="false" ht="12.8" hidden="false" customHeight="false" outlineLevel="0" collapsed="false">
      <c r="A166" s="65" t="s">
        <v>513</v>
      </c>
      <c r="B166" s="82" t="n">
        <v>35</v>
      </c>
      <c r="C166" s="0" t="n">
        <v>1</v>
      </c>
      <c r="D166" s="0" t="n">
        <v>0</v>
      </c>
      <c r="E166" s="0" t="n">
        <v>1</v>
      </c>
      <c r="F166" s="27" t="n">
        <v>43709</v>
      </c>
      <c r="G166" s="0" t="n">
        <v>1</v>
      </c>
      <c r="H166" s="66" t="n">
        <v>43710</v>
      </c>
      <c r="I166" s="0" t="s">
        <v>68</v>
      </c>
    </row>
    <row r="167" customFormat="false" ht="12.8" hidden="false" customHeight="false" outlineLevel="0" collapsed="false">
      <c r="A167" s="65" t="s">
        <v>575</v>
      </c>
      <c r="B167" s="82" t="n">
        <v>809.6</v>
      </c>
      <c r="C167" s="0" t="n">
        <v>1</v>
      </c>
      <c r="D167" s="0" t="n">
        <v>0</v>
      </c>
      <c r="E167" s="0" t="n">
        <v>1</v>
      </c>
      <c r="F167" s="27" t="n">
        <v>43709</v>
      </c>
      <c r="G167" s="0" t="n">
        <v>1</v>
      </c>
      <c r="H167" s="66" t="n">
        <v>43713</v>
      </c>
      <c r="I167" s="0" t="s">
        <v>138</v>
      </c>
    </row>
    <row r="168" customFormat="false" ht="12.8" hidden="false" customHeight="false" outlineLevel="0" collapsed="false">
      <c r="A168" s="65" t="s">
        <v>524</v>
      </c>
      <c r="B168" s="82" t="n">
        <v>55.4</v>
      </c>
      <c r="C168" s="0" t="n">
        <v>1</v>
      </c>
      <c r="D168" s="0" t="n">
        <v>0</v>
      </c>
      <c r="E168" s="0" t="n">
        <v>1</v>
      </c>
      <c r="F168" s="27" t="n">
        <v>43739</v>
      </c>
      <c r="G168" s="0" t="n">
        <v>0</v>
      </c>
      <c r="H168" s="66" t="n">
        <v>43716</v>
      </c>
      <c r="I168" s="0" t="s">
        <v>116</v>
      </c>
    </row>
    <row r="169" customFormat="false" ht="12.8" hidden="false" customHeight="false" outlineLevel="0" collapsed="false">
      <c r="A169" s="65" t="s">
        <v>576</v>
      </c>
      <c r="B169" s="82" t="n">
        <v>85</v>
      </c>
      <c r="C169" s="0" t="n">
        <v>1</v>
      </c>
      <c r="D169" s="0" t="n">
        <v>0</v>
      </c>
      <c r="E169" s="0" t="n">
        <v>1</v>
      </c>
      <c r="F169" s="27" t="n">
        <v>43739</v>
      </c>
      <c r="G169" s="0" t="n">
        <v>0</v>
      </c>
      <c r="H169" s="66" t="n">
        <v>43716</v>
      </c>
      <c r="I169" s="0" t="s">
        <v>81</v>
      </c>
    </row>
    <row r="170" customFormat="false" ht="12.8" hidden="false" customHeight="false" outlineLevel="0" collapsed="false">
      <c r="A170" s="65" t="s">
        <v>577</v>
      </c>
      <c r="B170" s="82" t="n">
        <v>85</v>
      </c>
      <c r="C170" s="0" t="n">
        <v>1</v>
      </c>
      <c r="D170" s="0" t="n">
        <v>0</v>
      </c>
      <c r="E170" s="0" t="n">
        <v>1</v>
      </c>
      <c r="F170" s="27" t="n">
        <v>43770</v>
      </c>
      <c r="G170" s="0" t="n">
        <v>0</v>
      </c>
      <c r="H170" s="66" t="n">
        <v>43716</v>
      </c>
      <c r="I170" s="0" t="s">
        <v>81</v>
      </c>
    </row>
    <row r="171" customFormat="false" ht="12.8" hidden="false" customHeight="false" outlineLevel="0" collapsed="false">
      <c r="A171" s="65" t="s">
        <v>578</v>
      </c>
      <c r="B171" s="82" t="n">
        <v>85</v>
      </c>
      <c r="C171" s="0" t="n">
        <v>1</v>
      </c>
      <c r="D171" s="0" t="n">
        <v>0</v>
      </c>
      <c r="E171" s="0" t="n">
        <v>1</v>
      </c>
      <c r="F171" s="27" t="n">
        <v>43800</v>
      </c>
      <c r="G171" s="0" t="n">
        <v>0</v>
      </c>
      <c r="H171" s="84" t="n">
        <v>43716</v>
      </c>
      <c r="I171" s="0" t="s">
        <v>81</v>
      </c>
    </row>
    <row r="172" customFormat="false" ht="12.8" hidden="false" customHeight="false" outlineLevel="0" collapsed="false">
      <c r="A172" s="65" t="s">
        <v>579</v>
      </c>
      <c r="B172" s="82" t="n">
        <v>23.48</v>
      </c>
      <c r="C172" s="0" t="n">
        <v>1</v>
      </c>
      <c r="D172" s="0" t="n">
        <v>0</v>
      </c>
      <c r="E172" s="0" t="n">
        <v>1</v>
      </c>
      <c r="F172" s="27" t="n">
        <v>43739</v>
      </c>
      <c r="G172" s="0" t="n">
        <v>0</v>
      </c>
      <c r="H172" s="66" t="n">
        <v>43717</v>
      </c>
      <c r="I172" s="0" t="s">
        <v>81</v>
      </c>
    </row>
    <row r="173" customFormat="false" ht="12.8" hidden="false" customHeight="false" outlineLevel="0" collapsed="false">
      <c r="A173" s="65" t="s">
        <v>580</v>
      </c>
      <c r="B173" s="82" t="n">
        <v>35.96</v>
      </c>
      <c r="C173" s="0" t="n">
        <v>1</v>
      </c>
      <c r="D173" s="0" t="n">
        <v>0</v>
      </c>
      <c r="E173" s="0" t="n">
        <v>1</v>
      </c>
      <c r="F173" s="27" t="n">
        <v>43739</v>
      </c>
      <c r="G173" s="0" t="n">
        <v>0</v>
      </c>
      <c r="H173" s="66" t="n">
        <v>43717</v>
      </c>
      <c r="I173" s="0" t="s">
        <v>116</v>
      </c>
    </row>
    <row r="174" customFormat="false" ht="12.8" hidden="false" customHeight="false" outlineLevel="0" collapsed="false">
      <c r="A174" s="65" t="s">
        <v>199</v>
      </c>
      <c r="B174" s="82" t="n">
        <v>43.52</v>
      </c>
      <c r="C174" s="0" t="n">
        <v>1</v>
      </c>
      <c r="D174" s="0" t="n">
        <v>0</v>
      </c>
      <c r="E174" s="0" t="n">
        <v>1</v>
      </c>
      <c r="F174" s="27" t="n">
        <v>43739</v>
      </c>
      <c r="G174" s="0" t="n">
        <v>0</v>
      </c>
      <c r="H174" s="66" t="n">
        <v>43718</v>
      </c>
      <c r="I174" s="0" t="s">
        <v>116</v>
      </c>
    </row>
    <row r="175" customFormat="false" ht="12.8" hidden="false" customHeight="false" outlineLevel="0" collapsed="false">
      <c r="A175" s="65" t="s">
        <v>581</v>
      </c>
      <c r="B175" s="82" t="n">
        <v>33</v>
      </c>
      <c r="C175" s="0" t="n">
        <v>1</v>
      </c>
      <c r="D175" s="0" t="n">
        <v>0</v>
      </c>
      <c r="E175" s="0" t="n">
        <v>1</v>
      </c>
      <c r="F175" s="27" t="n">
        <v>43739</v>
      </c>
      <c r="G175" s="0" t="n">
        <v>0</v>
      </c>
      <c r="H175" s="66" t="n">
        <v>43718</v>
      </c>
      <c r="I175" s="0" t="s">
        <v>81</v>
      </c>
    </row>
    <row r="176" customFormat="false" ht="12.8" hidden="false" customHeight="false" outlineLevel="0" collapsed="false">
      <c r="A176" s="65" t="s">
        <v>582</v>
      </c>
      <c r="B176" s="82" t="n">
        <v>206.65</v>
      </c>
      <c r="C176" s="0" t="n">
        <v>1</v>
      </c>
      <c r="D176" s="0" t="n">
        <v>0</v>
      </c>
      <c r="E176" s="0" t="n">
        <v>1</v>
      </c>
      <c r="F176" s="27" t="n">
        <v>43739</v>
      </c>
      <c r="G176" s="0" t="n">
        <v>0</v>
      </c>
      <c r="H176" s="66" t="n">
        <v>43718</v>
      </c>
      <c r="I176" s="0" t="s">
        <v>106</v>
      </c>
    </row>
    <row r="177" customFormat="false" ht="12.8" hidden="false" customHeight="false" outlineLevel="0" collapsed="false">
      <c r="A177" s="65" t="s">
        <v>583</v>
      </c>
      <c r="B177" s="82" t="n">
        <v>206.65</v>
      </c>
      <c r="C177" s="0" t="n">
        <v>1</v>
      </c>
      <c r="D177" s="0" t="n">
        <v>0</v>
      </c>
      <c r="E177" s="0" t="n">
        <v>1</v>
      </c>
      <c r="F177" s="27" t="n">
        <v>43770</v>
      </c>
      <c r="G177" s="0" t="n">
        <v>0</v>
      </c>
      <c r="H177" s="66" t="n">
        <v>43718</v>
      </c>
      <c r="I177" s="0" t="s">
        <v>106</v>
      </c>
    </row>
    <row r="178" customFormat="false" ht="12.8" hidden="false" customHeight="false" outlineLevel="0" collapsed="false">
      <c r="A178" s="65" t="s">
        <v>584</v>
      </c>
      <c r="B178" s="82" t="n">
        <v>206.65</v>
      </c>
      <c r="C178" s="0" t="n">
        <v>1</v>
      </c>
      <c r="D178" s="0" t="n">
        <v>0</v>
      </c>
      <c r="E178" s="0" t="n">
        <v>1</v>
      </c>
      <c r="F178" s="27" t="n">
        <v>43800</v>
      </c>
      <c r="G178" s="0" t="n">
        <v>0</v>
      </c>
      <c r="H178" s="84" t="n">
        <v>43718</v>
      </c>
      <c r="I178" s="0" t="s">
        <v>106</v>
      </c>
    </row>
    <row r="179" customFormat="false" ht="12.8" hidden="false" customHeight="false" outlineLevel="0" collapsed="false">
      <c r="A179" s="65" t="s">
        <v>585</v>
      </c>
      <c r="B179" s="82" t="n">
        <v>206.65</v>
      </c>
      <c r="C179" s="0" t="n">
        <v>1</v>
      </c>
      <c r="D179" s="0" t="n">
        <v>0</v>
      </c>
      <c r="E179" s="0" t="n">
        <v>1</v>
      </c>
      <c r="F179" s="27" t="n">
        <v>43831</v>
      </c>
      <c r="G179" s="0" t="n">
        <v>0</v>
      </c>
      <c r="H179" s="66" t="n">
        <v>43718</v>
      </c>
      <c r="I179" s="0" t="s">
        <v>106</v>
      </c>
    </row>
    <row r="180" customFormat="false" ht="12.8" hidden="false" customHeight="false" outlineLevel="0" collapsed="false">
      <c r="A180" s="65" t="s">
        <v>586</v>
      </c>
      <c r="B180" s="82" t="n">
        <v>489.19</v>
      </c>
      <c r="C180" s="0" t="n">
        <v>1</v>
      </c>
      <c r="D180" s="0" t="n">
        <v>0</v>
      </c>
      <c r="E180" s="0" t="n">
        <v>1</v>
      </c>
      <c r="F180" s="27" t="n">
        <v>43739</v>
      </c>
      <c r="G180" s="0" t="n">
        <v>0</v>
      </c>
      <c r="H180" s="66" t="n">
        <v>43723</v>
      </c>
      <c r="I180" s="0" t="s">
        <v>494</v>
      </c>
    </row>
    <row r="181" customFormat="false" ht="12.8" hidden="false" customHeight="false" outlineLevel="0" collapsed="false">
      <c r="A181" s="65" t="s">
        <v>586</v>
      </c>
      <c r="B181" s="82" t="n">
        <v>489.19</v>
      </c>
      <c r="C181" s="0" t="n">
        <v>1</v>
      </c>
      <c r="D181" s="0" t="n">
        <v>0</v>
      </c>
      <c r="E181" s="0" t="n">
        <v>1</v>
      </c>
      <c r="F181" s="27" t="n">
        <v>43770</v>
      </c>
      <c r="G181" s="0" t="n">
        <v>0</v>
      </c>
      <c r="H181" s="66" t="n">
        <v>43723</v>
      </c>
      <c r="I181" s="0" t="s">
        <v>494</v>
      </c>
    </row>
    <row r="182" customFormat="false" ht="12.8" hidden="false" customHeight="false" outlineLevel="0" collapsed="false">
      <c r="A182" s="65" t="s">
        <v>587</v>
      </c>
      <c r="B182" s="82" t="n">
        <v>489.19</v>
      </c>
      <c r="C182" s="0" t="n">
        <v>1</v>
      </c>
      <c r="D182" s="0" t="n">
        <v>0</v>
      </c>
      <c r="E182" s="0" t="n">
        <v>1</v>
      </c>
      <c r="F182" s="27" t="n">
        <v>43800</v>
      </c>
      <c r="G182" s="0" t="n">
        <v>0</v>
      </c>
      <c r="H182" s="84" t="n">
        <v>43723</v>
      </c>
      <c r="I182" s="0" t="s">
        <v>494</v>
      </c>
    </row>
    <row r="183" customFormat="false" ht="12.8" hidden="false" customHeight="false" outlineLevel="0" collapsed="false">
      <c r="A183" s="65" t="s">
        <v>588</v>
      </c>
      <c r="B183" s="82" t="n">
        <v>1500</v>
      </c>
      <c r="C183" s="0" t="n">
        <v>1</v>
      </c>
      <c r="D183" s="0" t="n">
        <v>0</v>
      </c>
      <c r="E183" s="0" t="n">
        <v>1</v>
      </c>
      <c r="F183" s="27" t="n">
        <v>43709</v>
      </c>
      <c r="G183" s="0" t="n">
        <v>0</v>
      </c>
      <c r="H183" s="66" t="n">
        <v>43723</v>
      </c>
      <c r="I183" s="0" t="s">
        <v>494</v>
      </c>
    </row>
    <row r="184" customFormat="false" ht="12.8" hidden="false" customHeight="false" outlineLevel="0" collapsed="false">
      <c r="A184" s="65" t="s">
        <v>525</v>
      </c>
      <c r="B184" s="82" t="n">
        <v>50</v>
      </c>
      <c r="C184" s="0" t="n">
        <v>1</v>
      </c>
      <c r="D184" s="0" t="n">
        <v>0</v>
      </c>
      <c r="E184" s="0" t="n">
        <v>1</v>
      </c>
      <c r="F184" s="27" t="n">
        <v>43739</v>
      </c>
      <c r="G184" s="0" t="n">
        <v>0</v>
      </c>
      <c r="H184" s="66" t="n">
        <v>43723</v>
      </c>
      <c r="I184" s="0" t="s">
        <v>70</v>
      </c>
    </row>
    <row r="185" customFormat="false" ht="12.8" hidden="false" customHeight="false" outlineLevel="0" collapsed="false">
      <c r="A185" s="65" t="s">
        <v>215</v>
      </c>
      <c r="B185" s="82" t="n">
        <v>7</v>
      </c>
      <c r="C185" s="0" t="n">
        <v>1</v>
      </c>
      <c r="D185" s="0" t="n">
        <v>0</v>
      </c>
      <c r="E185" s="0" t="n">
        <v>1</v>
      </c>
      <c r="F185" s="27" t="n">
        <v>43739</v>
      </c>
      <c r="G185" s="0" t="n">
        <v>0</v>
      </c>
      <c r="H185" s="66" t="n">
        <v>43729</v>
      </c>
      <c r="I185" s="0" t="s">
        <v>70</v>
      </c>
    </row>
    <row r="186" customFormat="false" ht="12.8" hidden="false" customHeight="false" outlineLevel="0" collapsed="false">
      <c r="A186" s="65" t="s">
        <v>215</v>
      </c>
      <c r="B186" s="82" t="n">
        <v>31.18</v>
      </c>
      <c r="C186" s="0" t="n">
        <v>1</v>
      </c>
      <c r="D186" s="0" t="n">
        <v>0</v>
      </c>
      <c r="E186" s="0" t="n">
        <v>1</v>
      </c>
      <c r="F186" s="27" t="n">
        <v>43739</v>
      </c>
      <c r="G186" s="0" t="n">
        <v>0</v>
      </c>
      <c r="H186" s="66" t="n">
        <v>43729</v>
      </c>
      <c r="I186" s="0" t="s">
        <v>70</v>
      </c>
    </row>
    <row r="187" customFormat="false" ht="12.8" hidden="false" customHeight="false" outlineLevel="0" collapsed="false">
      <c r="A187" s="65" t="s">
        <v>589</v>
      </c>
      <c r="B187" s="82" t="n">
        <v>17</v>
      </c>
      <c r="C187" s="0" t="n">
        <v>1</v>
      </c>
      <c r="D187" s="0" t="n">
        <v>0</v>
      </c>
      <c r="E187" s="0" t="n">
        <v>1</v>
      </c>
      <c r="F187" s="27" t="n">
        <v>43739</v>
      </c>
      <c r="G187" s="0" t="n">
        <v>0</v>
      </c>
      <c r="H187" s="66" t="n">
        <v>43731</v>
      </c>
      <c r="I187" s="0" t="s">
        <v>72</v>
      </c>
    </row>
    <row r="188" customFormat="false" ht="12.8" hidden="false" customHeight="false" outlineLevel="0" collapsed="false">
      <c r="A188" s="65" t="s">
        <v>590</v>
      </c>
      <c r="B188" s="82" t="n">
        <v>65.15</v>
      </c>
      <c r="C188" s="0" t="n">
        <v>1</v>
      </c>
      <c r="D188" s="0" t="n">
        <v>0</v>
      </c>
      <c r="E188" s="0" t="n">
        <v>1</v>
      </c>
      <c r="F188" s="27" t="n">
        <v>43739</v>
      </c>
      <c r="G188" s="0" t="n">
        <v>0</v>
      </c>
      <c r="H188" s="66" t="n">
        <v>43731</v>
      </c>
      <c r="I188" s="0" t="s">
        <v>81</v>
      </c>
    </row>
    <row r="189" customFormat="false" ht="12.8" hidden="false" customHeight="false" outlineLevel="0" collapsed="false">
      <c r="A189" s="65" t="s">
        <v>591</v>
      </c>
      <c r="B189" s="82" t="n">
        <v>20</v>
      </c>
      <c r="C189" s="0" t="n">
        <v>1</v>
      </c>
      <c r="D189" s="0" t="n">
        <v>0</v>
      </c>
      <c r="E189" s="0" t="n">
        <v>1</v>
      </c>
      <c r="F189" s="27" t="n">
        <v>43739</v>
      </c>
      <c r="G189" s="0" t="n">
        <v>0</v>
      </c>
      <c r="H189" s="66" t="n">
        <v>43731</v>
      </c>
      <c r="I189" s="0" t="s">
        <v>81</v>
      </c>
    </row>
    <row r="190" customFormat="false" ht="12.8" hidden="false" customHeight="false" outlineLevel="0" collapsed="false">
      <c r="A190" s="65" t="s">
        <v>592</v>
      </c>
      <c r="B190" s="82" t="n">
        <v>5</v>
      </c>
      <c r="C190" s="0" t="n">
        <v>1</v>
      </c>
      <c r="D190" s="0" t="n">
        <v>0</v>
      </c>
      <c r="E190" s="0" t="n">
        <v>1</v>
      </c>
      <c r="F190" s="27" t="n">
        <v>43739</v>
      </c>
      <c r="G190" s="0" t="n">
        <v>0</v>
      </c>
      <c r="H190" s="66" t="n">
        <v>43731</v>
      </c>
      <c r="I190" s="0" t="s">
        <v>72</v>
      </c>
    </row>
    <row r="191" customFormat="false" ht="12.8" hidden="false" customHeight="false" outlineLevel="0" collapsed="false">
      <c r="A191" s="65" t="s">
        <v>82</v>
      </c>
      <c r="B191" s="82" t="n">
        <v>11.4</v>
      </c>
      <c r="C191" s="0" t="n">
        <v>1</v>
      </c>
      <c r="D191" s="0" t="n">
        <v>0</v>
      </c>
      <c r="E191" s="0" t="n">
        <v>1</v>
      </c>
      <c r="F191" s="27" t="n">
        <v>43739</v>
      </c>
      <c r="G191" s="0" t="n">
        <v>0</v>
      </c>
      <c r="H191" s="66" t="n">
        <v>43735</v>
      </c>
      <c r="I191" s="0" t="s">
        <v>72</v>
      </c>
    </row>
    <row r="192" customFormat="false" ht="12.8" hidden="false" customHeight="false" outlineLevel="0" collapsed="false">
      <c r="A192" s="65" t="s">
        <v>159</v>
      </c>
      <c r="B192" s="82" t="n">
        <v>8</v>
      </c>
      <c r="C192" s="0" t="n">
        <v>1</v>
      </c>
      <c r="D192" s="0" t="n">
        <v>0</v>
      </c>
      <c r="E192" s="0" t="n">
        <v>1</v>
      </c>
      <c r="F192" s="27" t="n">
        <v>43739</v>
      </c>
      <c r="G192" s="0" t="n">
        <v>0</v>
      </c>
      <c r="H192" s="66" t="n">
        <v>43735</v>
      </c>
      <c r="I192" s="0" t="s">
        <v>72</v>
      </c>
    </row>
    <row r="193" customFormat="false" ht="12.8" hidden="false" customHeight="false" outlineLevel="0" collapsed="false">
      <c r="A193" s="65" t="s">
        <v>112</v>
      </c>
      <c r="B193" s="82" t="n">
        <v>5.5</v>
      </c>
      <c r="C193" s="0" t="n">
        <v>1</v>
      </c>
      <c r="D193" s="0" t="n">
        <v>0</v>
      </c>
      <c r="E193" s="0" t="n">
        <v>1</v>
      </c>
      <c r="F193" s="27" t="n">
        <v>43739</v>
      </c>
      <c r="G193" s="0" t="n">
        <v>0</v>
      </c>
      <c r="H193" s="66" t="n">
        <v>43735</v>
      </c>
      <c r="I193" s="0" t="s">
        <v>72</v>
      </c>
    </row>
    <row r="194" customFormat="false" ht="12.8" hidden="false" customHeight="false" outlineLevel="0" collapsed="false">
      <c r="A194" s="65" t="s">
        <v>74</v>
      </c>
      <c r="B194" s="82" t="n">
        <v>2.99</v>
      </c>
      <c r="C194" s="0" t="n">
        <v>1</v>
      </c>
      <c r="D194" s="0" t="n">
        <v>0</v>
      </c>
      <c r="E194" s="0" t="n">
        <v>1</v>
      </c>
      <c r="F194" s="27" t="n">
        <v>43739</v>
      </c>
      <c r="G194" s="0" t="n">
        <v>0</v>
      </c>
      <c r="H194" s="66" t="n">
        <v>43735</v>
      </c>
      <c r="I194" s="0" t="s">
        <v>72</v>
      </c>
    </row>
    <row r="195" customFormat="false" ht="12.8" hidden="false" customHeight="false" outlineLevel="0" collapsed="false">
      <c r="A195" s="65" t="s">
        <v>593</v>
      </c>
      <c r="B195" s="82" t="n">
        <v>250</v>
      </c>
      <c r="C195" s="0" t="n">
        <v>1</v>
      </c>
      <c r="D195" s="0" t="n">
        <v>0</v>
      </c>
      <c r="E195" s="0" t="n">
        <v>1</v>
      </c>
      <c r="F195" s="27" t="n">
        <v>43739</v>
      </c>
      <c r="G195" s="0" t="n">
        <v>0</v>
      </c>
      <c r="H195" s="66" t="n">
        <v>43736</v>
      </c>
      <c r="I195" s="0" t="s">
        <v>231</v>
      </c>
    </row>
    <row r="196" customFormat="false" ht="12.8" hidden="false" customHeight="false" outlineLevel="0" collapsed="false">
      <c r="A196" s="65" t="s">
        <v>82</v>
      </c>
      <c r="B196" s="82" t="n">
        <v>10</v>
      </c>
      <c r="C196" s="0" t="n">
        <v>1</v>
      </c>
      <c r="D196" s="0" t="n">
        <v>0</v>
      </c>
      <c r="E196" s="0" t="n">
        <v>1</v>
      </c>
      <c r="F196" s="27" t="n">
        <v>43739</v>
      </c>
      <c r="G196" s="0" t="n">
        <v>0</v>
      </c>
      <c r="H196" s="66" t="n">
        <v>43736</v>
      </c>
      <c r="I196" s="0" t="s">
        <v>72</v>
      </c>
    </row>
    <row r="197" customFormat="false" ht="12.8" hidden="false" customHeight="false" outlineLevel="0" collapsed="false">
      <c r="A197" s="65" t="s">
        <v>105</v>
      </c>
      <c r="B197" s="82" t="n">
        <v>77.98</v>
      </c>
      <c r="C197" s="0" t="n">
        <v>1</v>
      </c>
      <c r="D197" s="0" t="n">
        <v>0</v>
      </c>
      <c r="E197" s="0" t="n">
        <v>1</v>
      </c>
      <c r="F197" s="27" t="n">
        <v>43739</v>
      </c>
      <c r="G197" s="0" t="n">
        <v>0</v>
      </c>
      <c r="H197" s="66" t="n">
        <v>43738</v>
      </c>
      <c r="I197" s="0" t="s">
        <v>106</v>
      </c>
    </row>
    <row r="198" customFormat="false" ht="12.8" hidden="false" customHeight="false" outlineLevel="0" collapsed="false">
      <c r="A198" s="65" t="s">
        <v>79</v>
      </c>
      <c r="B198" s="82" t="n">
        <v>107.81</v>
      </c>
      <c r="C198" s="0" t="n">
        <v>1</v>
      </c>
      <c r="D198" s="0" t="n">
        <v>0</v>
      </c>
      <c r="E198" s="0" t="n">
        <v>1</v>
      </c>
      <c r="F198" s="27" t="n">
        <v>43739</v>
      </c>
      <c r="G198" s="0" t="n">
        <v>0</v>
      </c>
      <c r="H198" s="66" t="n">
        <v>43739</v>
      </c>
      <c r="I198" s="0" t="s">
        <v>79</v>
      </c>
    </row>
    <row r="199" customFormat="false" ht="12.8" hidden="false" customHeight="false" outlineLevel="0" collapsed="false">
      <c r="A199" s="65" t="s">
        <v>513</v>
      </c>
      <c r="B199" s="82" t="n">
        <v>35</v>
      </c>
      <c r="C199" s="0" t="n">
        <v>1</v>
      </c>
      <c r="D199" s="0" t="n">
        <v>0</v>
      </c>
      <c r="E199" s="0" t="n">
        <v>1</v>
      </c>
      <c r="F199" s="27" t="n">
        <v>43739</v>
      </c>
      <c r="G199" s="0" t="n">
        <v>0</v>
      </c>
      <c r="H199" s="66" t="n">
        <v>43739</v>
      </c>
      <c r="I199" s="0" t="s">
        <v>68</v>
      </c>
    </row>
    <row r="200" customFormat="false" ht="12.8" hidden="false" customHeight="false" outlineLevel="0" collapsed="false">
      <c r="A200" s="65" t="s">
        <v>199</v>
      </c>
      <c r="B200" s="82" t="n">
        <v>40.43</v>
      </c>
      <c r="C200" s="0" t="n">
        <v>1</v>
      </c>
      <c r="D200" s="0" t="n">
        <v>0</v>
      </c>
      <c r="E200" s="0" t="n">
        <v>1</v>
      </c>
      <c r="F200" s="27" t="n">
        <v>43739</v>
      </c>
      <c r="G200" s="0" t="n">
        <v>0</v>
      </c>
      <c r="H200" s="66" t="n">
        <v>43739</v>
      </c>
      <c r="I200" s="0" t="s">
        <v>116</v>
      </c>
    </row>
    <row r="201" customFormat="false" ht="12.8" hidden="false" customHeight="false" outlineLevel="0" collapsed="false">
      <c r="A201" s="65" t="s">
        <v>594</v>
      </c>
      <c r="B201" s="82" t="n">
        <v>10</v>
      </c>
      <c r="C201" s="0" t="n">
        <v>1</v>
      </c>
      <c r="D201" s="0" t="n">
        <v>0</v>
      </c>
      <c r="E201" s="0" t="n">
        <v>1</v>
      </c>
      <c r="F201" s="27" t="n">
        <v>43739</v>
      </c>
      <c r="G201" s="0" t="n">
        <v>0</v>
      </c>
      <c r="H201" s="66" t="n">
        <v>43739</v>
      </c>
      <c r="I201" s="0" t="s">
        <v>81</v>
      </c>
    </row>
    <row r="202" customFormat="false" ht="12.8" hidden="false" customHeight="false" outlineLevel="0" collapsed="false">
      <c r="A202" s="65" t="s">
        <v>215</v>
      </c>
      <c r="B202" s="82" t="n">
        <v>14.94</v>
      </c>
      <c r="C202" s="0" t="n">
        <v>1</v>
      </c>
      <c r="D202" s="0" t="n">
        <v>0</v>
      </c>
      <c r="E202" s="0" t="n">
        <v>1</v>
      </c>
      <c r="F202" s="27" t="n">
        <v>43739</v>
      </c>
      <c r="G202" s="0" t="n">
        <v>0</v>
      </c>
      <c r="H202" s="66" t="n">
        <v>43743</v>
      </c>
      <c r="I202" s="0" t="s">
        <v>70</v>
      </c>
    </row>
    <row r="203" customFormat="false" ht="12.8" hidden="false" customHeight="false" outlineLevel="0" collapsed="false">
      <c r="A203" s="65" t="s">
        <v>215</v>
      </c>
      <c r="B203" s="82" t="n">
        <v>13.02</v>
      </c>
      <c r="C203" s="0" t="n">
        <v>1</v>
      </c>
      <c r="D203" s="0" t="n">
        <v>0</v>
      </c>
      <c r="E203" s="0" t="n">
        <v>1</v>
      </c>
      <c r="F203" s="27" t="n">
        <v>43739</v>
      </c>
      <c r="G203" s="0" t="n">
        <v>0</v>
      </c>
      <c r="H203" s="66" t="n">
        <v>43743</v>
      </c>
      <c r="I203" s="0" t="s">
        <v>70</v>
      </c>
    </row>
    <row r="204" customFormat="false" ht="12.8" hidden="false" customHeight="false" outlineLevel="0" collapsed="false">
      <c r="A204" s="65" t="s">
        <v>595</v>
      </c>
      <c r="B204" s="82" t="n">
        <v>250</v>
      </c>
      <c r="C204" s="0" t="n">
        <v>1</v>
      </c>
      <c r="D204" s="0" t="n">
        <v>0</v>
      </c>
      <c r="E204" s="0" t="n">
        <v>1</v>
      </c>
      <c r="F204" s="27" t="n">
        <v>43770</v>
      </c>
      <c r="G204" s="0" t="n">
        <v>0</v>
      </c>
      <c r="H204" s="66" t="n">
        <v>43736</v>
      </c>
      <c r="I204" s="0" t="s">
        <v>81</v>
      </c>
    </row>
    <row r="205" customFormat="false" ht="12.8" hidden="false" customHeight="false" outlineLevel="0" collapsed="false">
      <c r="A205" s="65" t="s">
        <v>596</v>
      </c>
      <c r="B205" s="82" t="n">
        <v>11</v>
      </c>
      <c r="C205" s="0" t="n">
        <v>1</v>
      </c>
      <c r="D205" s="0" t="n">
        <v>0</v>
      </c>
      <c r="E205" s="0" t="n">
        <v>1</v>
      </c>
      <c r="F205" s="27" t="n">
        <v>43770</v>
      </c>
      <c r="G205" s="0" t="n">
        <v>0</v>
      </c>
      <c r="H205" s="66" t="n">
        <v>43745</v>
      </c>
      <c r="I205" s="0" t="s">
        <v>81</v>
      </c>
    </row>
    <row r="206" customFormat="false" ht="12.8" hidden="false" customHeight="false" outlineLevel="0" collapsed="false">
      <c r="A206" s="65" t="s">
        <v>597</v>
      </c>
      <c r="B206" s="82" t="n">
        <v>5.5</v>
      </c>
      <c r="C206" s="0" t="n">
        <v>1</v>
      </c>
      <c r="D206" s="0" t="n">
        <v>0</v>
      </c>
      <c r="E206" s="0" t="n">
        <v>1</v>
      </c>
      <c r="F206" s="27" t="n">
        <v>43770</v>
      </c>
      <c r="G206" s="0" t="n">
        <v>0</v>
      </c>
      <c r="H206" s="66" t="n">
        <v>43746</v>
      </c>
      <c r="I206" s="0" t="s">
        <v>72</v>
      </c>
    </row>
    <row r="207" customFormat="false" ht="12.8" hidden="false" customHeight="false" outlineLevel="0" collapsed="false">
      <c r="A207" s="65" t="s">
        <v>598</v>
      </c>
      <c r="B207" s="82" t="n">
        <v>12.73</v>
      </c>
      <c r="C207" s="0" t="n">
        <v>1</v>
      </c>
      <c r="D207" s="0" t="n">
        <v>0</v>
      </c>
      <c r="E207" s="0" t="n">
        <v>1</v>
      </c>
      <c r="F207" s="27" t="n">
        <v>43770</v>
      </c>
      <c r="G207" s="0" t="n">
        <v>0</v>
      </c>
      <c r="H207" s="66" t="n">
        <v>43746</v>
      </c>
      <c r="I207" s="0" t="s">
        <v>72</v>
      </c>
    </row>
    <row r="208" customFormat="false" ht="12.8" hidden="false" customHeight="false" outlineLevel="0" collapsed="false">
      <c r="A208" s="65" t="s">
        <v>599</v>
      </c>
      <c r="B208" s="82" t="n">
        <v>14.61</v>
      </c>
      <c r="C208" s="0" t="n">
        <v>1</v>
      </c>
      <c r="D208" s="0" t="n">
        <v>0</v>
      </c>
      <c r="E208" s="0" t="n">
        <v>1</v>
      </c>
      <c r="F208" s="27" t="n">
        <v>43770</v>
      </c>
      <c r="G208" s="0" t="n">
        <v>0</v>
      </c>
      <c r="H208" s="66" t="n">
        <v>43746</v>
      </c>
      <c r="I208" s="0" t="s">
        <v>72</v>
      </c>
    </row>
    <row r="209" customFormat="false" ht="12.8" hidden="false" customHeight="false" outlineLevel="0" collapsed="false">
      <c r="A209" s="65" t="s">
        <v>600</v>
      </c>
      <c r="B209" s="82" t="n">
        <v>4.5</v>
      </c>
      <c r="C209" s="0" t="n">
        <v>1</v>
      </c>
      <c r="D209" s="0" t="n">
        <v>0</v>
      </c>
      <c r="E209" s="0" t="n">
        <v>1</v>
      </c>
      <c r="F209" s="27" t="n">
        <v>43770</v>
      </c>
      <c r="G209" s="0" t="n">
        <v>0</v>
      </c>
      <c r="H209" s="66" t="n">
        <v>43751</v>
      </c>
      <c r="I209" s="0" t="s">
        <v>81</v>
      </c>
    </row>
    <row r="210" customFormat="false" ht="12.8" hidden="false" customHeight="false" outlineLevel="0" collapsed="false">
      <c r="A210" s="65" t="s">
        <v>192</v>
      </c>
      <c r="B210" s="82" t="n">
        <v>65.39</v>
      </c>
      <c r="C210" s="0" t="n">
        <v>1</v>
      </c>
      <c r="D210" s="0" t="n">
        <v>0</v>
      </c>
      <c r="E210" s="0" t="n">
        <v>1</v>
      </c>
      <c r="F210" s="27" t="n">
        <v>43770</v>
      </c>
      <c r="G210" s="0" t="n">
        <v>0</v>
      </c>
      <c r="H210" s="66" t="n">
        <v>43757</v>
      </c>
      <c r="I210" s="0" t="s">
        <v>116</v>
      </c>
    </row>
    <row r="211" customFormat="false" ht="12.8" hidden="false" customHeight="false" outlineLevel="0" collapsed="false">
      <c r="A211" s="65" t="s">
        <v>601</v>
      </c>
      <c r="B211" s="82" t="n">
        <v>24.36</v>
      </c>
      <c r="C211" s="0" t="n">
        <v>1</v>
      </c>
      <c r="D211" s="0" t="n">
        <v>0</v>
      </c>
      <c r="E211" s="0" t="n">
        <v>1</v>
      </c>
      <c r="F211" s="27" t="n">
        <v>43770</v>
      </c>
      <c r="G211" s="0" t="n">
        <v>0</v>
      </c>
      <c r="H211" s="66" t="n">
        <v>43757</v>
      </c>
      <c r="I211" s="0" t="s">
        <v>73</v>
      </c>
    </row>
    <row r="212" customFormat="false" ht="12.8" hidden="false" customHeight="false" outlineLevel="0" collapsed="false">
      <c r="A212" s="65" t="s">
        <v>78</v>
      </c>
      <c r="B212" s="82" t="n">
        <v>118.79</v>
      </c>
      <c r="C212" s="0" t="n">
        <v>1</v>
      </c>
      <c r="D212" s="0" t="n">
        <v>0</v>
      </c>
      <c r="E212" s="0" t="n">
        <v>1</v>
      </c>
      <c r="F212" s="27" t="n">
        <v>43770</v>
      </c>
      <c r="G212" s="0" t="n">
        <v>0</v>
      </c>
      <c r="H212" s="66" t="n">
        <v>43757</v>
      </c>
      <c r="I212" s="0" t="s">
        <v>79</v>
      </c>
    </row>
    <row r="213" customFormat="false" ht="12.8" hidden="false" customHeight="false" outlineLevel="0" collapsed="false">
      <c r="A213" s="65" t="s">
        <v>602</v>
      </c>
      <c r="B213" s="82" t="n">
        <v>50</v>
      </c>
      <c r="C213" s="0" t="n">
        <v>1</v>
      </c>
      <c r="D213" s="0" t="n">
        <v>0</v>
      </c>
      <c r="E213" s="0" t="n">
        <v>1</v>
      </c>
      <c r="F213" s="27" t="n">
        <v>43770</v>
      </c>
      <c r="G213" s="0" t="n">
        <v>0</v>
      </c>
      <c r="H213" s="66" t="n">
        <v>43757</v>
      </c>
      <c r="I213" s="0" t="s">
        <v>106</v>
      </c>
    </row>
    <row r="214" customFormat="false" ht="12.8" hidden="false" customHeight="false" outlineLevel="0" collapsed="false">
      <c r="A214" s="65" t="s">
        <v>199</v>
      </c>
      <c r="B214" s="82" t="n">
        <v>13.88</v>
      </c>
      <c r="C214" s="0" t="n">
        <v>1</v>
      </c>
      <c r="D214" s="0" t="n">
        <v>0</v>
      </c>
      <c r="E214" s="0" t="n">
        <v>1</v>
      </c>
      <c r="F214" s="27" t="n">
        <v>43770</v>
      </c>
      <c r="G214" s="0" t="n">
        <v>0</v>
      </c>
      <c r="H214" s="66" t="n">
        <v>43757</v>
      </c>
      <c r="I214" s="0" t="s">
        <v>116</v>
      </c>
    </row>
    <row r="215" customFormat="false" ht="12.8" hidden="false" customHeight="false" outlineLevel="0" collapsed="false">
      <c r="A215" s="65" t="s">
        <v>215</v>
      </c>
      <c r="B215" s="82" t="n">
        <v>34.9</v>
      </c>
      <c r="C215" s="0" t="n">
        <v>1</v>
      </c>
      <c r="D215" s="0" t="n">
        <v>0</v>
      </c>
      <c r="E215" s="0" t="n">
        <v>1</v>
      </c>
      <c r="F215" s="27" t="n">
        <v>43770</v>
      </c>
      <c r="G215" s="0" t="n">
        <v>0</v>
      </c>
      <c r="H215" s="66" t="n">
        <v>43757</v>
      </c>
      <c r="I215" s="0" t="s">
        <v>70</v>
      </c>
    </row>
    <row r="216" customFormat="false" ht="12.8" hidden="false" customHeight="false" outlineLevel="0" collapsed="false">
      <c r="A216" s="65" t="s">
        <v>603</v>
      </c>
      <c r="B216" s="85" t="n">
        <v>19.9</v>
      </c>
      <c r="C216" s="0" t="n">
        <v>1</v>
      </c>
      <c r="D216" s="0" t="n">
        <v>0</v>
      </c>
      <c r="E216" s="0" t="n">
        <v>1</v>
      </c>
      <c r="F216" s="27" t="n">
        <v>43770</v>
      </c>
      <c r="G216" s="0" t="n">
        <v>0</v>
      </c>
      <c r="H216" s="66" t="n">
        <v>43761</v>
      </c>
      <c r="I216" s="0" t="s">
        <v>72</v>
      </c>
    </row>
    <row r="217" customFormat="false" ht="12.8" hidden="false" customHeight="false" outlineLevel="0" collapsed="false">
      <c r="A217" s="65" t="s">
        <v>604</v>
      </c>
      <c r="B217" s="85" t="n">
        <v>22.24</v>
      </c>
      <c r="C217" s="0" t="n">
        <v>1</v>
      </c>
      <c r="D217" s="0" t="n">
        <v>0</v>
      </c>
      <c r="E217" s="0" t="n">
        <v>1</v>
      </c>
      <c r="F217" s="27" t="n">
        <v>43770</v>
      </c>
      <c r="G217" s="0" t="n">
        <v>0</v>
      </c>
      <c r="H217" s="66" t="n">
        <v>43761</v>
      </c>
      <c r="I217" s="0" t="s">
        <v>72</v>
      </c>
    </row>
    <row r="218" customFormat="false" ht="12.8" hidden="false" customHeight="false" outlineLevel="0" collapsed="false">
      <c r="A218" s="65" t="s">
        <v>605</v>
      </c>
      <c r="B218" s="85" t="n">
        <v>11.98</v>
      </c>
      <c r="C218" s="0" t="n">
        <v>1</v>
      </c>
      <c r="D218" s="0" t="n">
        <v>0</v>
      </c>
      <c r="E218" s="0" t="n">
        <v>1</v>
      </c>
      <c r="F218" s="27" t="n">
        <v>43770</v>
      </c>
      <c r="G218" s="0" t="n">
        <v>0</v>
      </c>
      <c r="H218" s="66" t="n">
        <v>43761</v>
      </c>
      <c r="I218" s="0" t="s">
        <v>72</v>
      </c>
    </row>
    <row r="219" customFormat="false" ht="12.8" hidden="false" customHeight="false" outlineLevel="0" collapsed="false">
      <c r="A219" s="65" t="s">
        <v>606</v>
      </c>
      <c r="B219" s="85" t="n">
        <v>39.9</v>
      </c>
      <c r="C219" s="0" t="n">
        <v>1</v>
      </c>
      <c r="D219" s="0" t="n">
        <v>0</v>
      </c>
      <c r="E219" s="0" t="n">
        <v>1</v>
      </c>
      <c r="F219" s="27" t="n">
        <v>43770</v>
      </c>
      <c r="G219" s="0" t="n">
        <v>0</v>
      </c>
      <c r="H219" s="66" t="n">
        <v>43762</v>
      </c>
      <c r="I219" s="0" t="s">
        <v>72</v>
      </c>
    </row>
    <row r="220" customFormat="false" ht="12.8" hidden="false" customHeight="false" outlineLevel="0" collapsed="false">
      <c r="A220" s="65" t="s">
        <v>607</v>
      </c>
      <c r="B220" s="82" t="n">
        <v>16</v>
      </c>
      <c r="C220" s="0" t="n">
        <v>1</v>
      </c>
      <c r="D220" s="0" t="n">
        <v>0</v>
      </c>
      <c r="E220" s="0" t="n">
        <v>1</v>
      </c>
      <c r="F220" s="27" t="n">
        <v>43770</v>
      </c>
      <c r="G220" s="0" t="n">
        <v>0</v>
      </c>
      <c r="H220" s="66" t="n">
        <v>43762</v>
      </c>
      <c r="I220" s="0" t="s">
        <v>81</v>
      </c>
    </row>
    <row r="221" customFormat="false" ht="12.8" hidden="false" customHeight="false" outlineLevel="0" collapsed="false">
      <c r="A221" s="65" t="s">
        <v>394</v>
      </c>
      <c r="B221" s="82" t="n">
        <v>9.19</v>
      </c>
      <c r="C221" s="0" t="n">
        <v>1</v>
      </c>
      <c r="D221" s="0" t="n">
        <v>0</v>
      </c>
      <c r="E221" s="0" t="n">
        <v>1</v>
      </c>
      <c r="F221" s="27" t="n">
        <v>43770</v>
      </c>
      <c r="G221" s="0" t="n">
        <v>0</v>
      </c>
      <c r="H221" s="66" t="n">
        <v>43763</v>
      </c>
      <c r="I221" s="0" t="s">
        <v>72</v>
      </c>
    </row>
    <row r="222" customFormat="false" ht="12.8" hidden="false" customHeight="false" outlineLevel="0" collapsed="false">
      <c r="A222" s="65" t="s">
        <v>608</v>
      </c>
      <c r="B222" s="82" t="n">
        <v>40</v>
      </c>
      <c r="C222" s="0" t="n">
        <v>1</v>
      </c>
      <c r="D222" s="0" t="n">
        <v>0</v>
      </c>
      <c r="E222" s="0" t="n">
        <v>1</v>
      </c>
      <c r="F222" s="27" t="n">
        <v>43770</v>
      </c>
      <c r="G222" s="0" t="n">
        <v>0</v>
      </c>
      <c r="H222" s="66" t="n">
        <v>43764</v>
      </c>
      <c r="I222" s="0" t="s">
        <v>73</v>
      </c>
    </row>
    <row r="223" customFormat="false" ht="12.8" hidden="false" customHeight="false" outlineLevel="0" collapsed="false">
      <c r="A223" s="65" t="s">
        <v>609</v>
      </c>
      <c r="B223" s="82" t="n">
        <v>6</v>
      </c>
      <c r="C223" s="0" t="n">
        <v>1</v>
      </c>
      <c r="D223" s="0" t="n">
        <v>0</v>
      </c>
      <c r="E223" s="0" t="n">
        <v>1</v>
      </c>
      <c r="F223" s="27" t="n">
        <v>43770</v>
      </c>
      <c r="G223" s="0" t="n">
        <v>0</v>
      </c>
      <c r="H223" s="66" t="n">
        <v>43764</v>
      </c>
      <c r="I223" s="0" t="s">
        <v>72</v>
      </c>
    </row>
    <row r="224" customFormat="false" ht="12.8" hidden="false" customHeight="false" outlineLevel="0" collapsed="false">
      <c r="A224" s="65" t="s">
        <v>609</v>
      </c>
      <c r="B224" s="82" t="n">
        <v>18.8</v>
      </c>
      <c r="C224" s="0" t="n">
        <v>1</v>
      </c>
      <c r="D224" s="0" t="n">
        <v>0</v>
      </c>
      <c r="E224" s="0" t="n">
        <v>1</v>
      </c>
      <c r="F224" s="27" t="n">
        <v>43770</v>
      </c>
      <c r="G224" s="0" t="n">
        <v>0</v>
      </c>
      <c r="H224" s="66" t="n">
        <v>43764</v>
      </c>
      <c r="I224" s="0" t="s">
        <v>72</v>
      </c>
    </row>
    <row r="225" customFormat="false" ht="12.8" hidden="false" customHeight="false" outlineLevel="0" collapsed="false">
      <c r="A225" s="65" t="s">
        <v>610</v>
      </c>
      <c r="B225" s="82" t="n">
        <v>24</v>
      </c>
      <c r="C225" s="0" t="n">
        <v>1</v>
      </c>
      <c r="D225" s="0" t="n">
        <v>0</v>
      </c>
      <c r="E225" s="0" t="n">
        <v>1</v>
      </c>
      <c r="F225" s="27" t="n">
        <v>43770</v>
      </c>
      <c r="G225" s="0" t="n">
        <v>0</v>
      </c>
      <c r="H225" s="66" t="n">
        <v>43764</v>
      </c>
      <c r="I225" s="0" t="s">
        <v>73</v>
      </c>
    </row>
    <row r="226" customFormat="false" ht="12.8" hidden="false" customHeight="false" outlineLevel="0" collapsed="false">
      <c r="A226" s="65" t="s">
        <v>611</v>
      </c>
      <c r="B226" s="82" t="n">
        <v>175.65</v>
      </c>
      <c r="C226" s="0" t="n">
        <v>1</v>
      </c>
      <c r="D226" s="0" t="n">
        <v>0</v>
      </c>
      <c r="E226" s="0" t="n">
        <v>1</v>
      </c>
      <c r="F226" s="27" t="n">
        <v>43770</v>
      </c>
      <c r="G226" s="0" t="n">
        <v>0</v>
      </c>
      <c r="H226" s="66" t="n">
        <v>43764</v>
      </c>
      <c r="I226" s="0" t="s">
        <v>81</v>
      </c>
    </row>
    <row r="227" customFormat="false" ht="12.8" hidden="false" customHeight="false" outlineLevel="0" collapsed="false">
      <c r="A227" s="65" t="s">
        <v>397</v>
      </c>
      <c r="B227" s="82" t="n">
        <v>44</v>
      </c>
      <c r="C227" s="0" t="n">
        <v>1</v>
      </c>
      <c r="D227" s="0" t="n">
        <v>0</v>
      </c>
      <c r="E227" s="0" t="n">
        <v>1</v>
      </c>
      <c r="F227" s="27" t="n">
        <v>43770</v>
      </c>
      <c r="G227" s="0" t="n">
        <v>0</v>
      </c>
      <c r="H227" s="66" t="n">
        <v>43765</v>
      </c>
      <c r="I227" s="0" t="s">
        <v>81</v>
      </c>
    </row>
    <row r="228" customFormat="false" ht="12.8" hidden="false" customHeight="false" outlineLevel="0" collapsed="false">
      <c r="A228" s="65" t="s">
        <v>513</v>
      </c>
      <c r="B228" s="19" t="n">
        <v>35</v>
      </c>
      <c r="C228" s="0" t="n">
        <v>1</v>
      </c>
      <c r="D228" s="0" t="n">
        <v>0</v>
      </c>
      <c r="E228" s="0" t="n">
        <v>1</v>
      </c>
      <c r="F228" s="27" t="n">
        <v>43770</v>
      </c>
      <c r="G228" s="0" t="n">
        <v>0</v>
      </c>
      <c r="H228" s="66" t="n">
        <v>43770</v>
      </c>
      <c r="I228" s="0" t="s">
        <v>68</v>
      </c>
    </row>
    <row r="229" customFormat="false" ht="12.8" hidden="false" customHeight="false" outlineLevel="0" collapsed="false">
      <c r="A229" s="65" t="s">
        <v>612</v>
      </c>
      <c r="B229" s="19" t="n">
        <v>25</v>
      </c>
      <c r="C229" s="0" t="n">
        <v>1</v>
      </c>
      <c r="D229" s="0" t="n">
        <v>0</v>
      </c>
      <c r="E229" s="0" t="n">
        <v>1</v>
      </c>
      <c r="F229" s="27" t="n">
        <v>43770</v>
      </c>
      <c r="G229" s="0" t="n">
        <v>0</v>
      </c>
      <c r="H229" s="66" t="n">
        <v>43771</v>
      </c>
      <c r="I229" s="0" t="s">
        <v>81</v>
      </c>
    </row>
    <row r="230" customFormat="false" ht="12.8" hidden="false" customHeight="false" outlineLevel="0" collapsed="false">
      <c r="A230" s="65" t="s">
        <v>333</v>
      </c>
      <c r="B230" s="19" t="n">
        <v>41</v>
      </c>
      <c r="C230" s="0" t="n">
        <v>1</v>
      </c>
      <c r="D230" s="0" t="n">
        <v>0</v>
      </c>
      <c r="E230" s="0" t="n">
        <v>1</v>
      </c>
      <c r="F230" s="27" t="n">
        <v>43770</v>
      </c>
      <c r="G230" s="0" t="n">
        <v>0</v>
      </c>
      <c r="H230" s="66" t="n">
        <v>43771</v>
      </c>
      <c r="I230" s="0" t="s">
        <v>81</v>
      </c>
    </row>
    <row r="231" customFormat="false" ht="12.8" hidden="false" customHeight="false" outlineLevel="0" collapsed="false">
      <c r="A231" s="65" t="s">
        <v>333</v>
      </c>
      <c r="B231" s="19" t="n">
        <v>16</v>
      </c>
      <c r="C231" s="0" t="n">
        <v>1</v>
      </c>
      <c r="D231" s="0" t="n">
        <v>0</v>
      </c>
      <c r="E231" s="0" t="n">
        <v>1</v>
      </c>
      <c r="F231" s="27" t="n">
        <v>43770</v>
      </c>
      <c r="G231" s="0" t="n">
        <v>0</v>
      </c>
      <c r="H231" s="66" t="n">
        <v>43771</v>
      </c>
      <c r="I231" s="0" t="s">
        <v>81</v>
      </c>
    </row>
    <row r="232" customFormat="false" ht="12.8" hidden="false" customHeight="false" outlineLevel="0" collapsed="false">
      <c r="A232" s="65" t="s">
        <v>199</v>
      </c>
      <c r="B232" s="19" t="n">
        <v>39.69</v>
      </c>
      <c r="C232" s="0" t="n">
        <v>1</v>
      </c>
      <c r="D232" s="0" t="n">
        <v>0</v>
      </c>
      <c r="E232" s="0" t="n">
        <v>1</v>
      </c>
      <c r="F232" s="27" t="n">
        <v>43770</v>
      </c>
      <c r="G232" s="0" t="n">
        <v>0</v>
      </c>
      <c r="H232" s="66" t="n">
        <v>43771</v>
      </c>
      <c r="I232" s="0" t="s">
        <v>116</v>
      </c>
    </row>
    <row r="233" customFormat="false" ht="12.8" hidden="false" customHeight="false" outlineLevel="0" collapsed="false">
      <c r="A233" s="65" t="s">
        <v>613</v>
      </c>
      <c r="B233" s="19" t="n">
        <v>50</v>
      </c>
      <c r="C233" s="0" t="n">
        <v>1</v>
      </c>
      <c r="D233" s="0" t="n">
        <v>0</v>
      </c>
      <c r="E233" s="0" t="n">
        <v>1</v>
      </c>
      <c r="F233" s="27" t="n">
        <v>43770</v>
      </c>
      <c r="G233" s="0" t="n">
        <v>0</v>
      </c>
      <c r="H233" s="66" t="n">
        <v>43771</v>
      </c>
      <c r="I233" s="0" t="s">
        <v>106</v>
      </c>
    </row>
    <row r="234" customFormat="false" ht="12.8" hidden="false" customHeight="false" outlineLevel="0" collapsed="false">
      <c r="A234" s="65" t="s">
        <v>614</v>
      </c>
      <c r="B234" s="19" t="n">
        <v>5</v>
      </c>
      <c r="C234" s="0" t="n">
        <v>1</v>
      </c>
      <c r="D234" s="0" t="n">
        <v>0</v>
      </c>
      <c r="E234" s="0" t="n">
        <v>1</v>
      </c>
      <c r="F234" s="27" t="n">
        <v>43770</v>
      </c>
      <c r="G234" s="0" t="n">
        <v>0</v>
      </c>
      <c r="H234" s="66" t="n">
        <v>43772</v>
      </c>
      <c r="I234" s="0" t="s">
        <v>72</v>
      </c>
    </row>
    <row r="235" customFormat="false" ht="12.8" hidden="false" customHeight="false" outlineLevel="0" collapsed="false">
      <c r="A235" s="65" t="s">
        <v>94</v>
      </c>
      <c r="B235" s="19" t="n">
        <v>40.01</v>
      </c>
      <c r="C235" s="0" t="n">
        <v>1</v>
      </c>
      <c r="D235" s="0" t="n">
        <v>0</v>
      </c>
      <c r="E235" s="0" t="n">
        <v>1</v>
      </c>
      <c r="F235" s="27" t="n">
        <v>43800</v>
      </c>
      <c r="G235" s="0" t="n">
        <v>0</v>
      </c>
      <c r="H235" s="84" t="n">
        <v>43778</v>
      </c>
      <c r="I235" s="0" t="s">
        <v>84</v>
      </c>
    </row>
    <row r="236" customFormat="false" ht="12.8" hidden="false" customHeight="false" outlineLevel="0" collapsed="false">
      <c r="A236" s="65" t="s">
        <v>74</v>
      </c>
      <c r="B236" s="19" t="n">
        <v>2.99</v>
      </c>
      <c r="C236" s="0" t="n">
        <v>1</v>
      </c>
      <c r="D236" s="0" t="n">
        <v>0</v>
      </c>
      <c r="E236" s="0" t="n">
        <v>1</v>
      </c>
      <c r="F236" s="27" t="n">
        <v>43800</v>
      </c>
      <c r="G236" s="0" t="n">
        <v>0</v>
      </c>
      <c r="H236" s="84" t="n">
        <v>43780</v>
      </c>
      <c r="I236" s="0" t="s">
        <v>72</v>
      </c>
    </row>
    <row r="237" customFormat="false" ht="12.8" hidden="false" customHeight="false" outlineLevel="0" collapsed="false">
      <c r="A237" s="65" t="s">
        <v>244</v>
      </c>
      <c r="B237" s="19" t="n">
        <v>4.72</v>
      </c>
      <c r="C237" s="0" t="n">
        <v>1</v>
      </c>
      <c r="D237" s="0" t="n">
        <v>0</v>
      </c>
      <c r="E237" s="0" t="n">
        <v>1</v>
      </c>
      <c r="F237" s="27" t="n">
        <v>43800</v>
      </c>
      <c r="G237" s="0" t="n">
        <v>0</v>
      </c>
      <c r="H237" s="84" t="n">
        <v>43780</v>
      </c>
      <c r="I237" s="0" t="s">
        <v>116</v>
      </c>
    </row>
    <row r="238" customFormat="false" ht="12.8" hidden="false" customHeight="false" outlineLevel="0" collapsed="false">
      <c r="A238" s="65" t="s">
        <v>215</v>
      </c>
      <c r="B238" s="19" t="n">
        <v>9.79</v>
      </c>
      <c r="C238" s="0" t="n">
        <v>1</v>
      </c>
      <c r="D238" s="0" t="n">
        <v>0</v>
      </c>
      <c r="E238" s="0" t="n">
        <v>1</v>
      </c>
      <c r="F238" s="27" t="n">
        <v>43800</v>
      </c>
      <c r="G238" s="0" t="n">
        <v>0</v>
      </c>
      <c r="H238" s="84" t="n">
        <v>43780</v>
      </c>
      <c r="I238" s="0" t="s">
        <v>70</v>
      </c>
    </row>
    <row r="239" customFormat="false" ht="12.8" hidden="false" customHeight="false" outlineLevel="0" collapsed="false">
      <c r="A239" s="65" t="s">
        <v>615</v>
      </c>
      <c r="B239" s="82" t="n">
        <v>489.19</v>
      </c>
      <c r="C239" s="0" t="n">
        <v>1</v>
      </c>
      <c r="D239" s="0" t="n">
        <v>0</v>
      </c>
      <c r="E239" s="0" t="n">
        <v>1</v>
      </c>
      <c r="F239" s="27" t="n">
        <v>43831</v>
      </c>
      <c r="G239" s="0" t="n">
        <v>0</v>
      </c>
      <c r="H239" s="66" t="n">
        <v>43724</v>
      </c>
      <c r="I239" s="0" t="s">
        <v>494</v>
      </c>
    </row>
    <row r="240" customFormat="false" ht="12.8" hidden="false" customHeight="false" outlineLevel="0" collapsed="false">
      <c r="A240" s="65" t="s">
        <v>604</v>
      </c>
      <c r="B240" s="19" t="n">
        <v>25.55</v>
      </c>
      <c r="C240" s="0" t="n">
        <v>1</v>
      </c>
      <c r="D240" s="0" t="n">
        <v>0</v>
      </c>
      <c r="E240" s="0" t="n">
        <v>1</v>
      </c>
      <c r="F240" s="27" t="n">
        <v>43800</v>
      </c>
      <c r="G240" s="0" t="n">
        <v>0</v>
      </c>
      <c r="H240" s="84" t="n">
        <v>43782</v>
      </c>
      <c r="I240" s="0" t="s">
        <v>84</v>
      </c>
    </row>
    <row r="241" customFormat="false" ht="12.8" hidden="false" customHeight="false" outlineLevel="0" collapsed="false">
      <c r="A241" s="65" t="s">
        <v>480</v>
      </c>
      <c r="B241" s="19" t="n">
        <v>16.9</v>
      </c>
      <c r="C241" s="0" t="n">
        <v>1</v>
      </c>
      <c r="D241" s="0" t="n">
        <v>0</v>
      </c>
      <c r="E241" s="0" t="n">
        <v>1</v>
      </c>
      <c r="F241" s="27" t="n">
        <v>43800</v>
      </c>
      <c r="G241" s="0" t="n">
        <v>0</v>
      </c>
      <c r="H241" s="84" t="n">
        <v>43788</v>
      </c>
      <c r="I241" s="0" t="s">
        <v>81</v>
      </c>
    </row>
    <row r="242" customFormat="false" ht="12.8" hidden="false" customHeight="false" outlineLevel="0" collapsed="false">
      <c r="A242" s="65" t="s">
        <v>616</v>
      </c>
      <c r="B242" s="19" t="n">
        <v>7</v>
      </c>
      <c r="C242" s="0" t="n">
        <v>1</v>
      </c>
      <c r="D242" s="0" t="n">
        <v>0</v>
      </c>
      <c r="E242" s="0" t="n">
        <v>1</v>
      </c>
      <c r="F242" s="27" t="n">
        <v>43800</v>
      </c>
      <c r="G242" s="0" t="n">
        <v>0</v>
      </c>
      <c r="H242" s="84" t="n">
        <v>43788</v>
      </c>
      <c r="I242" s="0" t="s">
        <v>72</v>
      </c>
    </row>
    <row r="243" customFormat="false" ht="12.8" hidden="false" customHeight="false" outlineLevel="0" collapsed="false">
      <c r="A243" s="65" t="s">
        <v>606</v>
      </c>
      <c r="B243" s="19" t="n">
        <v>39.9</v>
      </c>
      <c r="C243" s="0" t="n">
        <v>1</v>
      </c>
      <c r="D243" s="0" t="n">
        <v>0</v>
      </c>
      <c r="E243" s="0" t="n">
        <v>1</v>
      </c>
      <c r="F243" s="27" t="n">
        <v>43800</v>
      </c>
      <c r="G243" s="0" t="n">
        <v>0</v>
      </c>
      <c r="H243" s="84" t="n">
        <v>43788</v>
      </c>
      <c r="I243" s="0" t="s">
        <v>73</v>
      </c>
    </row>
    <row r="244" customFormat="false" ht="12.8" hidden="false" customHeight="false" outlineLevel="0" collapsed="false">
      <c r="A244" s="65" t="s">
        <v>604</v>
      </c>
      <c r="B244" s="19" t="n">
        <v>19.82</v>
      </c>
      <c r="C244" s="0" t="n">
        <v>1</v>
      </c>
      <c r="D244" s="0" t="n">
        <v>0</v>
      </c>
      <c r="E244" s="0" t="n">
        <v>1</v>
      </c>
      <c r="F244" s="27" t="n">
        <v>43800</v>
      </c>
      <c r="G244" s="0" t="n">
        <v>0</v>
      </c>
      <c r="H244" s="84" t="n">
        <v>43788</v>
      </c>
      <c r="I244" s="0" t="s">
        <v>84</v>
      </c>
    </row>
    <row r="245" customFormat="false" ht="12.8" hidden="false" customHeight="false" outlineLevel="0" collapsed="false">
      <c r="A245" s="65" t="s">
        <v>94</v>
      </c>
      <c r="B245" s="19" t="n">
        <v>8.56</v>
      </c>
      <c r="C245" s="0" t="n">
        <v>1</v>
      </c>
      <c r="D245" s="0" t="n">
        <v>0</v>
      </c>
      <c r="E245" s="0" t="n">
        <v>1</v>
      </c>
      <c r="F245" s="27" t="n">
        <v>43800</v>
      </c>
      <c r="G245" s="0" t="n">
        <v>0</v>
      </c>
      <c r="H245" s="84" t="n">
        <v>43789</v>
      </c>
      <c r="I245" s="0" t="s">
        <v>84</v>
      </c>
    </row>
    <row r="246" customFormat="false" ht="12.8" hidden="false" customHeight="false" outlineLevel="0" collapsed="false">
      <c r="A246" s="65" t="s">
        <v>295</v>
      </c>
      <c r="B246" s="19" t="n">
        <v>62.71</v>
      </c>
      <c r="C246" s="0" t="n">
        <v>1</v>
      </c>
      <c r="D246" s="0" t="n">
        <v>0</v>
      </c>
      <c r="E246" s="0" t="n">
        <v>1</v>
      </c>
      <c r="F246" s="27" t="n">
        <v>43800</v>
      </c>
      <c r="G246" s="0" t="n">
        <v>0</v>
      </c>
      <c r="H246" s="84" t="n">
        <v>43789</v>
      </c>
      <c r="I246" s="0" t="s">
        <v>79</v>
      </c>
    </row>
    <row r="247" customFormat="false" ht="12.8" hidden="false" customHeight="false" outlineLevel="0" collapsed="false">
      <c r="A247" s="65" t="s">
        <v>284</v>
      </c>
      <c r="B247" s="19" t="n">
        <v>12</v>
      </c>
      <c r="C247" s="0" t="n">
        <v>1</v>
      </c>
      <c r="D247" s="0" t="n">
        <v>0</v>
      </c>
      <c r="E247" s="0" t="n">
        <v>1</v>
      </c>
      <c r="F247" s="27" t="n">
        <v>43800</v>
      </c>
      <c r="G247" s="0" t="n">
        <v>0</v>
      </c>
      <c r="H247" s="84" t="n">
        <v>43790</v>
      </c>
      <c r="I247" s="0" t="s">
        <v>81</v>
      </c>
    </row>
    <row r="248" customFormat="false" ht="12.8" hidden="false" customHeight="false" outlineLevel="0" collapsed="false">
      <c r="A248" s="65" t="s">
        <v>617</v>
      </c>
      <c r="B248" s="19" t="n">
        <v>6</v>
      </c>
      <c r="C248" s="0" t="n">
        <v>1</v>
      </c>
      <c r="D248" s="0" t="n">
        <v>0</v>
      </c>
      <c r="E248" s="0" t="n">
        <v>1</v>
      </c>
      <c r="F248" s="27" t="n">
        <v>43800</v>
      </c>
      <c r="G248" s="0" t="n">
        <v>0</v>
      </c>
      <c r="H248" s="84" t="n">
        <v>43790</v>
      </c>
      <c r="I248" s="0" t="s">
        <v>81</v>
      </c>
    </row>
    <row r="249" customFormat="false" ht="12.8" hidden="false" customHeight="false" outlineLevel="0" collapsed="false">
      <c r="A249" s="65" t="s">
        <v>618</v>
      </c>
      <c r="B249" s="19" t="n">
        <v>3</v>
      </c>
      <c r="C249" s="0" t="n">
        <v>1</v>
      </c>
      <c r="D249" s="0" t="n">
        <v>0</v>
      </c>
      <c r="E249" s="0" t="n">
        <v>1</v>
      </c>
      <c r="F249" s="27" t="n">
        <v>43800</v>
      </c>
      <c r="G249" s="0" t="n">
        <v>0</v>
      </c>
      <c r="H249" s="84" t="n">
        <v>43790</v>
      </c>
      <c r="I249" s="0" t="s">
        <v>81</v>
      </c>
    </row>
    <row r="250" customFormat="false" ht="12.8" hidden="false" customHeight="false" outlineLevel="0" collapsed="false">
      <c r="A250" s="65" t="s">
        <v>611</v>
      </c>
      <c r="B250" s="19" t="n">
        <v>175.65</v>
      </c>
      <c r="C250" s="0" t="n">
        <v>1</v>
      </c>
      <c r="D250" s="0" t="n">
        <v>0</v>
      </c>
      <c r="E250" s="0" t="n">
        <v>1</v>
      </c>
      <c r="F250" s="27" t="n">
        <v>43800</v>
      </c>
      <c r="G250" s="0" t="n">
        <v>0</v>
      </c>
      <c r="H250" s="84" t="n">
        <v>43790</v>
      </c>
      <c r="I250" s="0" t="s">
        <v>81</v>
      </c>
    </row>
    <row r="251" customFormat="false" ht="12.8" hidden="false" customHeight="false" outlineLevel="0" collapsed="false">
      <c r="A251" s="86" t="s">
        <v>619</v>
      </c>
      <c r="B251" s="87" t="n">
        <v>81.98</v>
      </c>
      <c r="C251" s="0" t="n">
        <v>1</v>
      </c>
      <c r="D251" s="0" t="n">
        <v>0</v>
      </c>
      <c r="E251" s="0" t="n">
        <v>1</v>
      </c>
      <c r="F251" s="27" t="n">
        <v>43800</v>
      </c>
      <c r="G251" s="0" t="n">
        <v>0</v>
      </c>
      <c r="H251" s="88" t="n">
        <v>43791</v>
      </c>
      <c r="I251" s="0" t="s">
        <v>106</v>
      </c>
    </row>
    <row r="252" customFormat="false" ht="12.8" hidden="false" customHeight="false" outlineLevel="0" collapsed="false">
      <c r="A252" s="86" t="s">
        <v>620</v>
      </c>
      <c r="B252" s="87" t="n">
        <v>8</v>
      </c>
      <c r="C252" s="0" t="n">
        <v>1</v>
      </c>
      <c r="D252" s="0" t="n">
        <v>0</v>
      </c>
      <c r="E252" s="0" t="n">
        <v>1</v>
      </c>
      <c r="F252" s="27" t="n">
        <v>43800</v>
      </c>
      <c r="G252" s="0" t="n">
        <v>0</v>
      </c>
      <c r="H252" s="88" t="n">
        <v>43791</v>
      </c>
      <c r="I252" s="0" t="s">
        <v>81</v>
      </c>
    </row>
    <row r="253" customFormat="false" ht="12.8" hidden="false" customHeight="false" outlineLevel="0" collapsed="false">
      <c r="A253" s="86" t="s">
        <v>621</v>
      </c>
      <c r="B253" s="87" t="n">
        <v>35</v>
      </c>
      <c r="C253" s="0" t="n">
        <v>1</v>
      </c>
      <c r="D253" s="0" t="n">
        <v>0</v>
      </c>
      <c r="E253" s="0" t="n">
        <v>1</v>
      </c>
      <c r="F253" s="27" t="n">
        <v>43800</v>
      </c>
      <c r="G253" s="0" t="n">
        <v>0</v>
      </c>
      <c r="H253" s="88" t="n">
        <v>43791</v>
      </c>
      <c r="I253" s="0" t="s">
        <v>81</v>
      </c>
    </row>
    <row r="254" customFormat="false" ht="12.8" hidden="false" customHeight="false" outlineLevel="0" collapsed="false">
      <c r="A254" s="86" t="s">
        <v>622</v>
      </c>
      <c r="B254" s="87" t="n">
        <v>18.5</v>
      </c>
      <c r="C254" s="0" t="n">
        <v>1</v>
      </c>
      <c r="D254" s="0" t="n">
        <v>0</v>
      </c>
      <c r="E254" s="0" t="n">
        <v>1</v>
      </c>
      <c r="F254" s="27" t="n">
        <v>43800</v>
      </c>
      <c r="G254" s="0" t="n">
        <v>0</v>
      </c>
      <c r="H254" s="88" t="n">
        <v>43791</v>
      </c>
      <c r="I254" s="0" t="s">
        <v>72</v>
      </c>
    </row>
    <row r="255" customFormat="false" ht="12.8" hidden="false" customHeight="false" outlineLevel="0" collapsed="false">
      <c r="A255" s="86" t="s">
        <v>623</v>
      </c>
      <c r="B255" s="87" t="n">
        <v>6</v>
      </c>
      <c r="C255" s="0" t="n">
        <v>1</v>
      </c>
      <c r="D255" s="0" t="n">
        <v>0</v>
      </c>
      <c r="E255" s="0" t="n">
        <v>1</v>
      </c>
      <c r="F255" s="27" t="n">
        <v>43800</v>
      </c>
      <c r="G255" s="0" t="n">
        <v>0</v>
      </c>
      <c r="H255" s="88" t="n">
        <v>43792</v>
      </c>
      <c r="I255" s="0" t="s">
        <v>70</v>
      </c>
    </row>
    <row r="256" customFormat="false" ht="12.8" hidden="false" customHeight="false" outlineLevel="0" collapsed="false">
      <c r="A256" s="86" t="s">
        <v>623</v>
      </c>
      <c r="B256" s="87" t="n">
        <v>35.27</v>
      </c>
      <c r="C256" s="0" t="n">
        <v>1</v>
      </c>
      <c r="D256" s="0" t="n">
        <v>0</v>
      </c>
      <c r="E256" s="0" t="n">
        <v>1</v>
      </c>
      <c r="F256" s="27" t="n">
        <v>43800</v>
      </c>
      <c r="G256" s="0" t="n">
        <v>0</v>
      </c>
      <c r="H256" s="88" t="n">
        <v>43792</v>
      </c>
      <c r="I256" s="0" t="s">
        <v>70</v>
      </c>
    </row>
    <row r="257" customFormat="false" ht="12.8" hidden="false" customHeight="false" outlineLevel="0" collapsed="false">
      <c r="A257" s="86" t="s">
        <v>624</v>
      </c>
      <c r="B257" s="87" t="n">
        <v>7.79</v>
      </c>
      <c r="C257" s="0" t="n">
        <v>1</v>
      </c>
      <c r="D257" s="0" t="n">
        <v>0</v>
      </c>
      <c r="E257" s="0" t="n">
        <v>1</v>
      </c>
      <c r="F257" s="27" t="n">
        <v>43800</v>
      </c>
      <c r="G257" s="0" t="n">
        <v>0</v>
      </c>
      <c r="H257" s="88" t="n">
        <v>43793</v>
      </c>
      <c r="I257" s="0" t="s">
        <v>84</v>
      </c>
    </row>
    <row r="258" customFormat="false" ht="12.8" hidden="false" customHeight="false" outlineLevel="0" collapsed="false">
      <c r="A258" s="86" t="s">
        <v>625</v>
      </c>
      <c r="B258" s="87" t="n">
        <v>10</v>
      </c>
      <c r="C258" s="0" t="n">
        <v>1</v>
      </c>
      <c r="D258" s="0" t="n">
        <v>0</v>
      </c>
      <c r="E258" s="0" t="n">
        <v>1</v>
      </c>
      <c r="F258" s="27" t="n">
        <v>43800</v>
      </c>
      <c r="G258" s="0" t="n">
        <v>0</v>
      </c>
      <c r="H258" s="88" t="n">
        <v>43793</v>
      </c>
      <c r="I258" s="0" t="s">
        <v>81</v>
      </c>
    </row>
    <row r="259" customFormat="false" ht="12.8" hidden="false" customHeight="false" outlineLevel="0" collapsed="false">
      <c r="A259" s="86" t="s">
        <v>626</v>
      </c>
      <c r="B259" s="87" t="n">
        <v>57.41</v>
      </c>
      <c r="C259" s="0" t="n">
        <v>1</v>
      </c>
      <c r="D259" s="0" t="n">
        <v>0</v>
      </c>
      <c r="E259" s="0" t="n">
        <v>1</v>
      </c>
      <c r="F259" s="27" t="n">
        <v>43800</v>
      </c>
      <c r="G259" s="0" t="n">
        <v>0</v>
      </c>
      <c r="H259" s="88" t="n">
        <v>43793</v>
      </c>
      <c r="I259" s="0" t="s">
        <v>79</v>
      </c>
    </row>
    <row r="260" customFormat="false" ht="12.8" hidden="false" customHeight="false" outlineLevel="0" collapsed="false">
      <c r="A260" s="86" t="s">
        <v>627</v>
      </c>
      <c r="B260" s="87" t="n">
        <v>10.59</v>
      </c>
      <c r="C260" s="0" t="n">
        <v>1</v>
      </c>
      <c r="D260" s="0" t="n">
        <v>0</v>
      </c>
      <c r="E260" s="0" t="n">
        <v>1</v>
      </c>
      <c r="F260" s="27" t="n">
        <v>43800</v>
      </c>
      <c r="G260" s="0" t="n">
        <v>0</v>
      </c>
      <c r="H260" s="88" t="n">
        <v>43794</v>
      </c>
      <c r="I260" s="0" t="s">
        <v>81</v>
      </c>
    </row>
    <row r="261" customFormat="false" ht="12.8" hidden="false" customHeight="false" outlineLevel="0" collapsed="false">
      <c r="A261" s="86" t="s">
        <v>628</v>
      </c>
      <c r="B261" s="87" t="n">
        <v>35.76</v>
      </c>
      <c r="C261" s="0" t="n">
        <v>1</v>
      </c>
      <c r="D261" s="0" t="n">
        <v>0</v>
      </c>
      <c r="E261" s="0" t="n">
        <v>1</v>
      </c>
      <c r="F261" s="27" t="n">
        <v>43800</v>
      </c>
      <c r="G261" s="0" t="n">
        <v>0</v>
      </c>
      <c r="H261" s="88" t="n">
        <v>43794</v>
      </c>
      <c r="I261" s="0" t="s">
        <v>116</v>
      </c>
    </row>
    <row r="262" customFormat="false" ht="12.8" hidden="false" customHeight="false" outlineLevel="0" collapsed="false">
      <c r="A262" s="86" t="s">
        <v>629</v>
      </c>
      <c r="B262" s="87" t="n">
        <v>20.86</v>
      </c>
      <c r="C262" s="0" t="n">
        <v>1</v>
      </c>
      <c r="D262" s="0" t="n">
        <v>0</v>
      </c>
      <c r="E262" s="0" t="n">
        <v>1</v>
      </c>
      <c r="F262" s="27" t="n">
        <v>43800</v>
      </c>
      <c r="G262" s="0" t="n">
        <v>0</v>
      </c>
      <c r="H262" s="88" t="n">
        <v>43795</v>
      </c>
      <c r="I262" s="0" t="s">
        <v>81</v>
      </c>
    </row>
    <row r="263" customFormat="false" ht="12.8" hidden="false" customHeight="false" outlineLevel="0" collapsed="false">
      <c r="A263" s="86" t="s">
        <v>630</v>
      </c>
      <c r="B263" s="87" t="n">
        <v>37.8</v>
      </c>
      <c r="C263" s="0" t="n">
        <v>1</v>
      </c>
      <c r="D263" s="0" t="n">
        <v>0</v>
      </c>
      <c r="E263" s="0" t="n">
        <v>1</v>
      </c>
      <c r="F263" s="27" t="n">
        <v>43800</v>
      </c>
      <c r="G263" s="0" t="n">
        <v>0</v>
      </c>
      <c r="H263" s="88" t="n">
        <v>43795</v>
      </c>
      <c r="I263" s="0" t="s">
        <v>81</v>
      </c>
    </row>
    <row r="264" customFormat="false" ht="12.8" hidden="false" customHeight="false" outlineLevel="0" collapsed="false">
      <c r="A264" s="65" t="s">
        <v>596</v>
      </c>
      <c r="B264" s="19" t="n">
        <v>5.5</v>
      </c>
      <c r="C264" s="0" t="n">
        <v>1</v>
      </c>
      <c r="D264" s="0" t="n">
        <v>0</v>
      </c>
      <c r="E264" s="0" t="n">
        <v>1</v>
      </c>
      <c r="F264" s="27" t="n">
        <v>43800</v>
      </c>
      <c r="G264" s="0" t="n">
        <v>0</v>
      </c>
      <c r="H264" s="88" t="n">
        <v>43795</v>
      </c>
      <c r="I264" s="0" t="s">
        <v>81</v>
      </c>
    </row>
    <row r="265" customFormat="false" ht="12.8" hidden="false" customHeight="false" outlineLevel="0" collapsed="false">
      <c r="A265" s="65" t="s">
        <v>631</v>
      </c>
      <c r="B265" s="19" t="n">
        <v>22.5</v>
      </c>
      <c r="C265" s="0" t="n">
        <v>1</v>
      </c>
      <c r="D265" s="0" t="n">
        <v>0</v>
      </c>
      <c r="E265" s="0" t="n">
        <v>1</v>
      </c>
      <c r="F265" s="27" t="n">
        <v>43800</v>
      </c>
      <c r="G265" s="0" t="n">
        <v>0</v>
      </c>
      <c r="H265" s="88" t="n">
        <v>43796</v>
      </c>
      <c r="I265" s="0" t="s">
        <v>81</v>
      </c>
    </row>
    <row r="266" customFormat="false" ht="12.8" hidden="false" customHeight="false" outlineLevel="0" collapsed="false">
      <c r="A266" s="65" t="s">
        <v>112</v>
      </c>
      <c r="B266" s="19" t="n">
        <v>10</v>
      </c>
      <c r="C266" s="0" t="n">
        <v>1</v>
      </c>
      <c r="D266" s="0" t="n">
        <v>0</v>
      </c>
      <c r="E266" s="0" t="n">
        <v>1</v>
      </c>
      <c r="F266" s="27" t="n">
        <v>43800</v>
      </c>
      <c r="G266" s="0" t="n">
        <v>0</v>
      </c>
      <c r="H266" s="88" t="n">
        <v>43796</v>
      </c>
      <c r="I266" s="0" t="s">
        <v>72</v>
      </c>
    </row>
    <row r="267" customFormat="false" ht="12.8" hidden="false" customHeight="false" outlineLevel="0" collapsed="false">
      <c r="A267" s="65" t="s">
        <v>632</v>
      </c>
      <c r="B267" s="19" t="n">
        <v>80</v>
      </c>
      <c r="C267" s="0" t="n">
        <v>1</v>
      </c>
      <c r="D267" s="0" t="n">
        <v>0</v>
      </c>
      <c r="E267" s="0" t="n">
        <v>1</v>
      </c>
      <c r="F267" s="27" t="n">
        <v>43800</v>
      </c>
      <c r="G267" s="0" t="n">
        <v>0</v>
      </c>
      <c r="H267" s="88" t="n">
        <v>43796</v>
      </c>
      <c r="I267" s="0" t="s">
        <v>81</v>
      </c>
    </row>
    <row r="268" customFormat="false" ht="12.8" hidden="false" customHeight="false" outlineLevel="0" collapsed="false">
      <c r="A268" s="65" t="s">
        <v>600</v>
      </c>
      <c r="B268" s="19" t="n">
        <v>14.5</v>
      </c>
      <c r="C268" s="0" t="n">
        <v>1</v>
      </c>
      <c r="D268" s="0" t="n">
        <v>0</v>
      </c>
      <c r="E268" s="0" t="n">
        <v>1</v>
      </c>
      <c r="F268" s="27" t="n">
        <v>43800</v>
      </c>
      <c r="G268" s="0" t="n">
        <v>0</v>
      </c>
      <c r="H268" s="88" t="n">
        <v>43796</v>
      </c>
      <c r="I268" s="0" t="s">
        <v>81</v>
      </c>
    </row>
    <row r="269" customFormat="false" ht="12.8" hidden="false" customHeight="false" outlineLevel="0" collapsed="false">
      <c r="A269" s="65" t="s">
        <v>513</v>
      </c>
      <c r="B269" s="19" t="n">
        <v>35</v>
      </c>
      <c r="C269" s="0" t="n">
        <v>1</v>
      </c>
      <c r="D269" s="0" t="n">
        <v>0</v>
      </c>
      <c r="E269" s="0" t="n">
        <v>1</v>
      </c>
      <c r="F269" s="27" t="n">
        <v>43800</v>
      </c>
      <c r="G269" s="0" t="n">
        <v>0</v>
      </c>
      <c r="H269" s="66" t="n">
        <v>43801</v>
      </c>
    </row>
    <row r="270" customFormat="false" ht="12.8" hidden="false" customHeight="false" outlineLevel="0" collapsed="false">
      <c r="A270" s="65" t="s">
        <v>613</v>
      </c>
      <c r="B270" s="19" t="n">
        <v>50</v>
      </c>
      <c r="C270" s="0" t="n">
        <v>1</v>
      </c>
      <c r="D270" s="0" t="n">
        <v>0</v>
      </c>
      <c r="E270" s="0" t="n">
        <v>1</v>
      </c>
      <c r="F270" s="27" t="n">
        <v>43800</v>
      </c>
      <c r="G270" s="0" t="n">
        <v>0</v>
      </c>
      <c r="H270" s="66" t="n">
        <v>43801</v>
      </c>
    </row>
    <row r="271" customFormat="false" ht="12.8" hidden="false" customHeight="false" outlineLevel="0" collapsed="false">
      <c r="A271" s="65" t="s">
        <v>604</v>
      </c>
      <c r="B271" s="19" t="n">
        <v>14.4</v>
      </c>
      <c r="C271" s="0" t="n">
        <v>1</v>
      </c>
      <c r="D271" s="0" t="n">
        <v>0</v>
      </c>
      <c r="E271" s="0" t="n">
        <v>1</v>
      </c>
      <c r="F271" s="27" t="n">
        <v>43800</v>
      </c>
      <c r="G271" s="0" t="n">
        <v>0</v>
      </c>
      <c r="H271" s="66" t="n">
        <v>43801</v>
      </c>
    </row>
    <row r="272" customFormat="false" ht="12.8" hidden="false" customHeight="false" outlineLevel="0" collapsed="false">
      <c r="A272" s="89" t="s">
        <v>633</v>
      </c>
      <c r="B272" s="90" t="n">
        <v>380.87</v>
      </c>
      <c r="C272" s="91" t="n">
        <v>1</v>
      </c>
      <c r="D272" s="91" t="n">
        <v>0</v>
      </c>
      <c r="E272" s="91" t="n">
        <v>1</v>
      </c>
      <c r="F272" s="46" t="n">
        <v>43831</v>
      </c>
      <c r="G272" s="91" t="n">
        <v>0</v>
      </c>
      <c r="H272" s="92" t="n">
        <v>43806</v>
      </c>
      <c r="I272" s="91" t="s">
        <v>79</v>
      </c>
    </row>
    <row r="273" customFormat="false" ht="12.8" hidden="false" customHeight="false" outlineLevel="0" collapsed="false">
      <c r="A273" s="89" t="s">
        <v>634</v>
      </c>
      <c r="B273" s="90" t="n">
        <v>15</v>
      </c>
      <c r="C273" s="91" t="n">
        <v>1</v>
      </c>
      <c r="D273" s="91" t="n">
        <v>0</v>
      </c>
      <c r="E273" s="91" t="n">
        <v>1</v>
      </c>
      <c r="F273" s="46" t="n">
        <v>43831</v>
      </c>
      <c r="G273" s="91" t="n">
        <v>0</v>
      </c>
      <c r="H273" s="92" t="n">
        <v>43806</v>
      </c>
      <c r="I273" s="91" t="s">
        <v>79</v>
      </c>
    </row>
    <row r="274" customFormat="false" ht="12.8" hidden="false" customHeight="false" outlineLevel="0" collapsed="false">
      <c r="A274" s="89" t="s">
        <v>602</v>
      </c>
      <c r="B274" s="90" t="n">
        <v>83.98</v>
      </c>
      <c r="C274" s="91" t="n">
        <v>1</v>
      </c>
      <c r="D274" s="91" t="n">
        <v>0</v>
      </c>
      <c r="E274" s="91" t="n">
        <v>1</v>
      </c>
      <c r="F274" s="46" t="n">
        <v>43831</v>
      </c>
      <c r="G274" s="91" t="n">
        <v>0</v>
      </c>
      <c r="H274" s="92" t="n">
        <v>43808</v>
      </c>
      <c r="I274" s="91" t="s">
        <v>106</v>
      </c>
    </row>
    <row r="275" customFormat="false" ht="12.8" hidden="false" customHeight="false" outlineLevel="0" collapsed="false">
      <c r="A275" s="89" t="s">
        <v>635</v>
      </c>
      <c r="B275" s="90" t="n">
        <v>4</v>
      </c>
      <c r="C275" s="91" t="n">
        <v>1</v>
      </c>
      <c r="D275" s="91" t="n">
        <v>0</v>
      </c>
      <c r="E275" s="91" t="n">
        <v>1</v>
      </c>
      <c r="F275" s="46" t="n">
        <v>43831</v>
      </c>
      <c r="G275" s="91" t="n">
        <v>0</v>
      </c>
      <c r="H275" s="92" t="n">
        <v>43808</v>
      </c>
      <c r="I275" s="91" t="s">
        <v>72</v>
      </c>
    </row>
    <row r="276" customFormat="false" ht="12.8" hidden="false" customHeight="false" outlineLevel="0" collapsed="false">
      <c r="A276" s="89" t="s">
        <v>635</v>
      </c>
      <c r="B276" s="90" t="n">
        <v>1</v>
      </c>
      <c r="C276" s="91" t="n">
        <v>1</v>
      </c>
      <c r="D276" s="91" t="n">
        <v>0</v>
      </c>
      <c r="E276" s="91" t="n">
        <v>1</v>
      </c>
      <c r="F276" s="46" t="n">
        <v>43831</v>
      </c>
      <c r="G276" s="91" t="n">
        <v>0</v>
      </c>
      <c r="H276" s="92" t="n">
        <v>43808</v>
      </c>
      <c r="I276" s="91" t="s">
        <v>72</v>
      </c>
    </row>
    <row r="277" customFormat="false" ht="12.8" hidden="false" customHeight="false" outlineLevel="0" collapsed="false">
      <c r="A277" s="89" t="s">
        <v>89</v>
      </c>
      <c r="B277" s="90" t="n">
        <v>85</v>
      </c>
      <c r="C277" s="91" t="n">
        <v>1</v>
      </c>
      <c r="D277" s="91" t="n">
        <v>0</v>
      </c>
      <c r="E277" s="91" t="n">
        <v>1</v>
      </c>
      <c r="F277" s="46" t="n">
        <v>43831</v>
      </c>
      <c r="G277" s="91" t="n">
        <v>0</v>
      </c>
      <c r="H277" s="92" t="n">
        <v>43808</v>
      </c>
      <c r="I277" s="91" t="s">
        <v>81</v>
      </c>
    </row>
    <row r="278" customFormat="false" ht="12.8" hidden="false" customHeight="false" outlineLevel="0" collapsed="false">
      <c r="A278" s="89" t="s">
        <v>636</v>
      </c>
      <c r="B278" s="90" t="n">
        <v>8</v>
      </c>
      <c r="C278" s="91" t="n">
        <v>1</v>
      </c>
      <c r="D278" s="91" t="n">
        <v>0</v>
      </c>
      <c r="E278" s="91" t="n">
        <v>1</v>
      </c>
      <c r="F278" s="46" t="n">
        <v>43831</v>
      </c>
      <c r="G278" s="91" t="n">
        <v>0</v>
      </c>
      <c r="H278" s="92" t="n">
        <v>43809</v>
      </c>
      <c r="I278" s="91" t="s">
        <v>70</v>
      </c>
    </row>
    <row r="279" customFormat="false" ht="12.8" hidden="false" customHeight="false" outlineLevel="0" collapsed="false">
      <c r="A279" s="89" t="s">
        <v>215</v>
      </c>
      <c r="B279" s="90" t="n">
        <v>9.98</v>
      </c>
      <c r="C279" s="91" t="n">
        <v>1</v>
      </c>
      <c r="D279" s="91" t="n">
        <v>0</v>
      </c>
      <c r="E279" s="91" t="n">
        <v>1</v>
      </c>
      <c r="F279" s="46" t="n">
        <v>43831</v>
      </c>
      <c r="G279" s="91" t="n">
        <v>0</v>
      </c>
      <c r="H279" s="92" t="n">
        <v>43811</v>
      </c>
      <c r="I279" s="91" t="s">
        <v>73</v>
      </c>
    </row>
    <row r="280" customFormat="false" ht="12.8" hidden="false" customHeight="false" outlineLevel="0" collapsed="false">
      <c r="A280" s="89" t="s">
        <v>637</v>
      </c>
      <c r="B280" s="90" t="n">
        <v>21.59</v>
      </c>
      <c r="C280" s="91" t="n">
        <v>1</v>
      </c>
      <c r="D280" s="91" t="n">
        <v>0</v>
      </c>
      <c r="E280" s="91" t="n">
        <v>1</v>
      </c>
      <c r="F280" s="46" t="n">
        <v>43831</v>
      </c>
      <c r="G280" s="91" t="n">
        <v>0</v>
      </c>
      <c r="H280" s="92" t="n">
        <v>43811</v>
      </c>
      <c r="I280" s="91" t="s">
        <v>73</v>
      </c>
    </row>
    <row r="281" customFormat="false" ht="12.8" hidden="false" customHeight="false" outlineLevel="0" collapsed="false">
      <c r="A281" s="89" t="s">
        <v>637</v>
      </c>
      <c r="B281" s="90" t="n">
        <v>3.71</v>
      </c>
      <c r="C281" s="91" t="n">
        <v>1</v>
      </c>
      <c r="D281" s="91" t="n">
        <v>0</v>
      </c>
      <c r="E281" s="91" t="n">
        <v>1</v>
      </c>
      <c r="F281" s="46" t="n">
        <v>43831</v>
      </c>
      <c r="G281" s="91" t="n">
        <v>0</v>
      </c>
      <c r="H281" s="92" t="n">
        <v>43812</v>
      </c>
      <c r="I281" s="91" t="s">
        <v>81</v>
      </c>
    </row>
    <row r="282" customFormat="false" ht="12.8" hidden="false" customHeight="false" outlineLevel="0" collapsed="false">
      <c r="A282" s="89" t="s">
        <v>638</v>
      </c>
      <c r="B282" s="90" t="n">
        <v>35</v>
      </c>
      <c r="C282" s="91" t="n">
        <v>1</v>
      </c>
      <c r="D282" s="91" t="n">
        <v>0</v>
      </c>
      <c r="E282" s="91" t="n">
        <v>1</v>
      </c>
      <c r="F282" s="46" t="n">
        <v>43831</v>
      </c>
      <c r="G282" s="91" t="n">
        <v>0</v>
      </c>
      <c r="H282" s="92" t="n">
        <v>43815</v>
      </c>
      <c r="I282" s="91" t="s">
        <v>79</v>
      </c>
    </row>
    <row r="283" customFormat="false" ht="12.8" hidden="false" customHeight="false" outlineLevel="0" collapsed="false">
      <c r="A283" s="89" t="s">
        <v>639</v>
      </c>
      <c r="B283" s="90" t="n">
        <v>8.48</v>
      </c>
      <c r="C283" s="91" t="n">
        <v>1</v>
      </c>
      <c r="D283" s="91" t="n">
        <v>0</v>
      </c>
      <c r="E283" s="91" t="n">
        <v>1</v>
      </c>
      <c r="F283" s="46" t="n">
        <v>43831</v>
      </c>
      <c r="G283" s="91" t="n">
        <v>0</v>
      </c>
      <c r="H283" s="92" t="n">
        <v>43815</v>
      </c>
      <c r="I283" s="91" t="s">
        <v>72</v>
      </c>
    </row>
    <row r="284" customFormat="false" ht="12.8" hidden="false" customHeight="false" outlineLevel="0" collapsed="false">
      <c r="A284" s="89" t="s">
        <v>357</v>
      </c>
      <c r="B284" s="90" t="n">
        <v>2.5</v>
      </c>
      <c r="C284" s="91" t="n">
        <v>1</v>
      </c>
      <c r="D284" s="91" t="n">
        <v>0</v>
      </c>
      <c r="E284" s="91" t="n">
        <v>1</v>
      </c>
      <c r="F284" s="46" t="n">
        <v>43831</v>
      </c>
      <c r="G284" s="91" t="n">
        <v>0</v>
      </c>
      <c r="H284" s="92" t="n">
        <v>43815</v>
      </c>
      <c r="I284" s="91" t="s">
        <v>72</v>
      </c>
    </row>
    <row r="285" customFormat="false" ht="12.8" hidden="false" customHeight="false" outlineLevel="0" collapsed="false">
      <c r="A285" s="89" t="s">
        <v>112</v>
      </c>
      <c r="B285" s="90" t="n">
        <v>4.5</v>
      </c>
      <c r="C285" s="91" t="n">
        <v>1</v>
      </c>
      <c r="D285" s="91" t="n">
        <v>0</v>
      </c>
      <c r="E285" s="91" t="n">
        <v>1</v>
      </c>
      <c r="F285" s="46" t="n">
        <v>43831</v>
      </c>
      <c r="G285" s="91" t="n">
        <v>0</v>
      </c>
      <c r="H285" s="92" t="n">
        <v>43815</v>
      </c>
      <c r="I285" s="91" t="s">
        <v>72</v>
      </c>
    </row>
    <row r="286" customFormat="false" ht="12.8" hidden="false" customHeight="false" outlineLevel="0" collapsed="false">
      <c r="A286" s="89" t="s">
        <v>73</v>
      </c>
      <c r="B286" s="90" t="n">
        <v>21</v>
      </c>
      <c r="C286" s="91" t="n">
        <v>1</v>
      </c>
      <c r="D286" s="91" t="n">
        <v>0</v>
      </c>
      <c r="E286" s="91" t="n">
        <v>1</v>
      </c>
      <c r="F286" s="46" t="n">
        <v>43831</v>
      </c>
      <c r="G286" s="91" t="n">
        <v>0</v>
      </c>
      <c r="H286" s="92" t="n">
        <v>43815</v>
      </c>
      <c r="I286" s="91" t="s">
        <v>73</v>
      </c>
    </row>
    <row r="287" customFormat="false" ht="12.8" hidden="false" customHeight="false" outlineLevel="0" collapsed="false">
      <c r="A287" s="89" t="s">
        <v>292</v>
      </c>
      <c r="B287" s="90" t="n">
        <v>8.59</v>
      </c>
      <c r="C287" s="91" t="n">
        <v>1</v>
      </c>
      <c r="D287" s="91" t="n">
        <v>0</v>
      </c>
      <c r="E287" s="91" t="n">
        <v>1</v>
      </c>
      <c r="F287" s="46" t="n">
        <v>43831</v>
      </c>
      <c r="G287" s="91" t="n">
        <v>0</v>
      </c>
      <c r="H287" s="92" t="n">
        <v>43815</v>
      </c>
      <c r="I287" s="91" t="s">
        <v>72</v>
      </c>
    </row>
    <row r="288" customFormat="false" ht="12.8" hidden="false" customHeight="false" outlineLevel="0" collapsed="false">
      <c r="A288" s="89" t="s">
        <v>84</v>
      </c>
      <c r="B288" s="90" t="n">
        <v>20.83</v>
      </c>
      <c r="C288" s="91" t="n">
        <v>1</v>
      </c>
      <c r="D288" s="91" t="n">
        <v>0</v>
      </c>
      <c r="E288" s="91" t="n">
        <v>1</v>
      </c>
      <c r="F288" s="46" t="n">
        <v>43831</v>
      </c>
      <c r="G288" s="91" t="n">
        <v>0</v>
      </c>
      <c r="H288" s="92" t="n">
        <v>43815</v>
      </c>
      <c r="I288" s="91" t="s">
        <v>84</v>
      </c>
    </row>
    <row r="289" customFormat="false" ht="12.8" hidden="false" customHeight="false" outlineLevel="0" collapsed="false">
      <c r="A289" s="89" t="s">
        <v>74</v>
      </c>
      <c r="B289" s="90" t="n">
        <v>2.99</v>
      </c>
      <c r="C289" s="91" t="n">
        <v>1</v>
      </c>
      <c r="D289" s="91" t="n">
        <v>0</v>
      </c>
      <c r="E289" s="91" t="n">
        <v>1</v>
      </c>
      <c r="F289" s="46" t="n">
        <v>43831</v>
      </c>
      <c r="G289" s="91" t="n">
        <v>0</v>
      </c>
      <c r="H289" s="92" t="n">
        <v>43816</v>
      </c>
      <c r="I289" s="91" t="s">
        <v>72</v>
      </c>
    </row>
    <row r="290" customFormat="false" ht="17" hidden="false" customHeight="false" outlineLevel="0" collapsed="false">
      <c r="A290" s="93" t="s">
        <v>640</v>
      </c>
      <c r="B290" s="94" t="n">
        <v>16.9</v>
      </c>
      <c r="C290" s="91" t="n">
        <v>1</v>
      </c>
      <c r="D290" s="91" t="n">
        <v>0</v>
      </c>
      <c r="E290" s="91" t="n">
        <v>1</v>
      </c>
      <c r="F290" s="46" t="n">
        <v>43831</v>
      </c>
      <c r="G290" s="91" t="n">
        <v>0</v>
      </c>
      <c r="H290" s="95" t="s">
        <v>641</v>
      </c>
      <c r="I290" s="91"/>
    </row>
    <row r="291" customFormat="false" ht="17" hidden="false" customHeight="false" outlineLevel="0" collapsed="false">
      <c r="A291" s="93" t="s">
        <v>642</v>
      </c>
      <c r="B291" s="94" t="n">
        <v>11.9</v>
      </c>
      <c r="C291" s="91" t="n">
        <v>1</v>
      </c>
      <c r="D291" s="91" t="n">
        <v>0</v>
      </c>
      <c r="E291" s="91" t="n">
        <v>1</v>
      </c>
      <c r="F291" s="46" t="n">
        <v>43831</v>
      </c>
      <c r="G291" s="91" t="n">
        <v>0</v>
      </c>
      <c r="H291" s="95" t="s">
        <v>641</v>
      </c>
      <c r="I291" s="91"/>
    </row>
    <row r="292" customFormat="false" ht="17" hidden="false" customHeight="false" outlineLevel="0" collapsed="false">
      <c r="A292" s="93" t="s">
        <v>643</v>
      </c>
      <c r="B292" s="94" t="n">
        <v>4.5</v>
      </c>
      <c r="C292" s="91" t="n">
        <v>1</v>
      </c>
      <c r="D292" s="91" t="n">
        <v>0</v>
      </c>
      <c r="E292" s="91" t="n">
        <v>1</v>
      </c>
      <c r="F292" s="46" t="n">
        <v>43831</v>
      </c>
      <c r="G292" s="91" t="n">
        <v>0</v>
      </c>
      <c r="H292" s="95" t="s">
        <v>641</v>
      </c>
      <c r="I292" s="91"/>
    </row>
    <row r="293" customFormat="false" ht="17" hidden="false" customHeight="false" outlineLevel="0" collapsed="false">
      <c r="A293" s="93" t="s">
        <v>644</v>
      </c>
      <c r="B293" s="94" t="n">
        <v>37.4</v>
      </c>
      <c r="C293" s="91" t="n">
        <v>1</v>
      </c>
      <c r="D293" s="91" t="n">
        <v>0</v>
      </c>
      <c r="E293" s="91" t="n">
        <v>1</v>
      </c>
      <c r="F293" s="46" t="n">
        <v>43831</v>
      </c>
      <c r="G293" s="91" t="n">
        <v>0</v>
      </c>
      <c r="H293" s="95" t="s">
        <v>641</v>
      </c>
      <c r="I293" s="91"/>
    </row>
    <row r="294" customFormat="false" ht="17" hidden="false" customHeight="false" outlineLevel="0" collapsed="false">
      <c r="A294" s="93" t="s">
        <v>645</v>
      </c>
      <c r="B294" s="94" t="n">
        <v>4</v>
      </c>
      <c r="C294" s="91" t="n">
        <v>1</v>
      </c>
      <c r="D294" s="91" t="n">
        <v>0</v>
      </c>
      <c r="E294" s="91" t="n">
        <v>1</v>
      </c>
      <c r="F294" s="46" t="n">
        <v>43831</v>
      </c>
      <c r="G294" s="91" t="n">
        <v>0</v>
      </c>
      <c r="H294" s="95" t="s">
        <v>641</v>
      </c>
      <c r="I294" s="91"/>
    </row>
    <row r="295" customFormat="false" ht="17" hidden="false" customHeight="false" outlineLevel="0" collapsed="false">
      <c r="A295" s="93" t="s">
        <v>646</v>
      </c>
      <c r="B295" s="94" t="n">
        <v>49.99</v>
      </c>
      <c r="C295" s="91" t="n">
        <v>1</v>
      </c>
      <c r="D295" s="91" t="n">
        <v>0</v>
      </c>
      <c r="E295" s="91" t="n">
        <v>1</v>
      </c>
      <c r="F295" s="46" t="n">
        <v>43831</v>
      </c>
      <c r="G295" s="91" t="n">
        <v>0</v>
      </c>
      <c r="H295" s="95" t="s">
        <v>647</v>
      </c>
      <c r="I295" s="91"/>
    </row>
    <row r="296" customFormat="false" ht="17" hidden="false" customHeight="false" outlineLevel="0" collapsed="false">
      <c r="A296" s="93" t="s">
        <v>648</v>
      </c>
      <c r="B296" s="94" t="n">
        <v>79.98</v>
      </c>
      <c r="C296" s="91" t="n">
        <v>1</v>
      </c>
      <c r="D296" s="91" t="n">
        <v>0</v>
      </c>
      <c r="E296" s="91" t="n">
        <v>1</v>
      </c>
      <c r="F296" s="46" t="n">
        <v>43831</v>
      </c>
      <c r="G296" s="91" t="n">
        <v>0</v>
      </c>
      <c r="H296" s="95" t="s">
        <v>647</v>
      </c>
      <c r="I296" s="91"/>
    </row>
    <row r="297" customFormat="false" ht="17" hidden="false" customHeight="false" outlineLevel="0" collapsed="false">
      <c r="A297" s="93" t="s">
        <v>649</v>
      </c>
      <c r="B297" s="94" t="n">
        <v>15.5</v>
      </c>
      <c r="C297" s="91" t="n">
        <v>1</v>
      </c>
      <c r="D297" s="91" t="n">
        <v>0</v>
      </c>
      <c r="E297" s="91" t="n">
        <v>1</v>
      </c>
      <c r="F297" s="46" t="n">
        <v>43831</v>
      </c>
      <c r="G297" s="91" t="n">
        <v>0</v>
      </c>
      <c r="H297" s="95" t="s">
        <v>647</v>
      </c>
      <c r="I297" s="91"/>
    </row>
    <row r="298" customFormat="false" ht="17" hidden="false" customHeight="false" outlineLevel="0" collapsed="false">
      <c r="A298" s="93" t="s">
        <v>650</v>
      </c>
      <c r="B298" s="94" t="n">
        <v>375.32</v>
      </c>
      <c r="C298" s="91" t="n">
        <v>1</v>
      </c>
      <c r="D298" s="91" t="n">
        <v>0</v>
      </c>
      <c r="E298" s="91" t="n">
        <v>1</v>
      </c>
      <c r="F298" s="46" t="n">
        <v>43831</v>
      </c>
      <c r="G298" s="91" t="n">
        <v>0</v>
      </c>
      <c r="H298" s="95" t="s">
        <v>651</v>
      </c>
      <c r="I298" s="91"/>
    </row>
    <row r="299" customFormat="false" ht="17" hidden="false" customHeight="false" outlineLevel="0" collapsed="false">
      <c r="A299" s="93" t="s">
        <v>650</v>
      </c>
      <c r="B299" s="94" t="n">
        <v>161.7</v>
      </c>
      <c r="C299" s="91" t="n">
        <v>1</v>
      </c>
      <c r="D299" s="91" t="n">
        <v>0</v>
      </c>
      <c r="E299" s="91" t="n">
        <v>1</v>
      </c>
      <c r="F299" s="46" t="n">
        <v>43831</v>
      </c>
      <c r="G299" s="91" t="n">
        <v>0</v>
      </c>
      <c r="H299" s="95" t="s">
        <v>651</v>
      </c>
      <c r="I299" s="91"/>
    </row>
    <row r="300" customFormat="false" ht="17" hidden="false" customHeight="false" outlineLevel="0" collapsed="false">
      <c r="A300" s="93" t="s">
        <v>652</v>
      </c>
      <c r="B300" s="94" t="n">
        <v>104.8</v>
      </c>
      <c r="C300" s="91" t="n">
        <v>1</v>
      </c>
      <c r="D300" s="91" t="n">
        <v>0</v>
      </c>
      <c r="E300" s="91" t="n">
        <v>1</v>
      </c>
      <c r="F300" s="46" t="n">
        <v>43831</v>
      </c>
      <c r="G300" s="91" t="n">
        <v>0</v>
      </c>
      <c r="H300" s="95" t="s">
        <v>651</v>
      </c>
      <c r="I300" s="91"/>
    </row>
    <row r="301" customFormat="false" ht="17" hidden="false" customHeight="false" outlineLevel="0" collapsed="false">
      <c r="A301" s="93" t="s">
        <v>652</v>
      </c>
      <c r="B301" s="94" t="n">
        <v>547.68</v>
      </c>
      <c r="C301" s="91" t="n">
        <v>1</v>
      </c>
      <c r="D301" s="91" t="n">
        <v>0</v>
      </c>
      <c r="E301" s="91" t="n">
        <v>1</v>
      </c>
      <c r="F301" s="46" t="n">
        <v>43831</v>
      </c>
      <c r="G301" s="91" t="n">
        <v>0</v>
      </c>
      <c r="H301" s="95" t="s">
        <v>651</v>
      </c>
      <c r="I301" s="91"/>
    </row>
    <row r="302" customFormat="false" ht="17" hidden="false" customHeight="false" outlineLevel="0" collapsed="false">
      <c r="A302" s="93" t="s">
        <v>653</v>
      </c>
      <c r="B302" s="94" t="n">
        <v>19.79</v>
      </c>
      <c r="C302" s="91" t="n">
        <v>1</v>
      </c>
      <c r="D302" s="91" t="n">
        <v>0</v>
      </c>
      <c r="E302" s="91" t="n">
        <v>1</v>
      </c>
      <c r="F302" s="46" t="n">
        <v>43831</v>
      </c>
      <c r="G302" s="91" t="n">
        <v>0</v>
      </c>
      <c r="H302" s="95" t="s">
        <v>651</v>
      </c>
      <c r="I302" s="91"/>
    </row>
    <row r="303" customFormat="false" ht="17" hidden="false" customHeight="false" outlineLevel="0" collapsed="false">
      <c r="A303" s="93" t="s">
        <v>654</v>
      </c>
      <c r="B303" s="94" t="n">
        <v>220.06</v>
      </c>
      <c r="C303" s="91" t="n">
        <v>1</v>
      </c>
      <c r="D303" s="91" t="n">
        <v>0</v>
      </c>
      <c r="E303" s="91" t="n">
        <v>1</v>
      </c>
      <c r="F303" s="46" t="n">
        <v>43831</v>
      </c>
      <c r="G303" s="91" t="n">
        <v>0</v>
      </c>
      <c r="H303" s="95" t="s">
        <v>651</v>
      </c>
      <c r="I303" s="91"/>
    </row>
    <row r="304" customFormat="false" ht="17" hidden="false" customHeight="false" outlineLevel="0" collapsed="false">
      <c r="A304" s="93" t="s">
        <v>655</v>
      </c>
      <c r="B304" s="94" t="n">
        <v>58.21</v>
      </c>
      <c r="C304" s="91" t="n">
        <v>1</v>
      </c>
      <c r="D304" s="91" t="n">
        <v>0</v>
      </c>
      <c r="E304" s="91" t="n">
        <v>1</v>
      </c>
      <c r="F304" s="46" t="n">
        <v>43831</v>
      </c>
      <c r="G304" s="91" t="n">
        <v>0</v>
      </c>
      <c r="H304" s="95" t="s">
        <v>656</v>
      </c>
      <c r="I304" s="91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:I15"/>
    </sheetView>
  </sheetViews>
  <sheetFormatPr defaultRowHeight="12.8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7.86"/>
    <col collapsed="false" customWidth="true" hidden="false" outlineLevel="0" max="3" min="3" style="0" width="14.28"/>
    <col collapsed="false" customWidth="true" hidden="false" outlineLevel="0" max="4" min="4" style="0" width="14.01"/>
    <col collapsed="false" customWidth="true" hidden="false" outlineLevel="0" max="6" min="5" style="0" width="14.57"/>
    <col collapsed="false" customWidth="true" hidden="false" outlineLevel="0" max="7" min="7" style="0" width="15.29"/>
    <col collapsed="false" customWidth="true" hidden="false" outlineLevel="0" max="8" min="8" style="0" width="17.4"/>
    <col collapsed="false" customWidth="true" hidden="false" outlineLevel="0" max="9" min="9" style="0" width="14.01"/>
    <col collapsed="false" customWidth="true" hidden="false" outlineLevel="0" max="10" min="10" style="0" width="17.86"/>
    <col collapsed="false" customWidth="true" hidden="false" outlineLevel="0" max="12" min="11" style="0" width="14.01"/>
    <col collapsed="false" customWidth="true" hidden="false" outlineLevel="0" max="13" min="13" style="0" width="17.4"/>
    <col collapsed="false" customWidth="true" hidden="false" outlineLevel="0" max="14" min="14" style="0" width="17"/>
    <col collapsed="false" customWidth="true" hidden="false" outlineLevel="0" max="15" min="15" style="0" width="22.7"/>
    <col collapsed="false" customWidth="true" hidden="false" outlineLevel="0" max="1019" min="16" style="0" width="9.85"/>
    <col collapsed="false" customWidth="true" hidden="false" outlineLevel="0" max="1025" min="1020" style="0" width="8.67"/>
  </cols>
  <sheetData>
    <row r="1" customFormat="false" ht="12.8" hidden="false" customHeight="false" outlineLevel="0" collapsed="false">
      <c r="A1" s="96" t="s">
        <v>657</v>
      </c>
      <c r="B1" s="96" t="s">
        <v>658</v>
      </c>
      <c r="C1" s="96" t="s">
        <v>659</v>
      </c>
      <c r="D1" s="96" t="s">
        <v>660</v>
      </c>
      <c r="E1" s="96" t="s">
        <v>302</v>
      </c>
      <c r="F1" s="96" t="s">
        <v>661</v>
      </c>
      <c r="G1" s="96" t="s">
        <v>662</v>
      </c>
      <c r="H1" s="96" t="s">
        <v>32</v>
      </c>
      <c r="I1" s="96" t="s">
        <v>663</v>
      </c>
      <c r="J1" s="96" t="s">
        <v>664</v>
      </c>
      <c r="K1" s="97" t="s">
        <v>665</v>
      </c>
      <c r="L1" s="96"/>
      <c r="M1" s="96" t="s">
        <v>666</v>
      </c>
      <c r="N1" s="96" t="s">
        <v>667</v>
      </c>
      <c r="O1" s="96" t="s">
        <v>668</v>
      </c>
    </row>
    <row r="2" customFormat="false" ht="12.8" hidden="false" customHeight="false" outlineLevel="0" collapsed="false">
      <c r="A2" s="98" t="n">
        <v>43466</v>
      </c>
      <c r="B2" s="99" t="n">
        <v>5125.85</v>
      </c>
      <c r="C2" s="100" t="n">
        <v>3484.57</v>
      </c>
      <c r="D2" s="100" t="n">
        <v>4660.75</v>
      </c>
      <c r="E2" s="101" t="n">
        <v>0</v>
      </c>
      <c r="F2" s="100" t="n">
        <v>0</v>
      </c>
      <c r="G2" s="102" t="n">
        <f aca="false">C2+D2+F2</f>
        <v>8145.32</v>
      </c>
      <c r="H2" s="102" t="n">
        <f aca="false">B2-G2</f>
        <v>-3019.47</v>
      </c>
      <c r="I2" s="103" t="n">
        <v>9320</v>
      </c>
      <c r="J2" s="104" t="n">
        <f aca="false">H2+I2</f>
        <v>6300.53</v>
      </c>
      <c r="K2" s="104" t="n">
        <v>3000</v>
      </c>
      <c r="L2" s="104" t="n">
        <f aca="false">((C2+F2+K2))</f>
        <v>6484.57</v>
      </c>
      <c r="M2" s="104" t="n">
        <f aca="false">B2-L2</f>
        <v>-1358.72</v>
      </c>
      <c r="N2" s="104" t="n">
        <f aca="false">M2+I2</f>
        <v>7961.28</v>
      </c>
      <c r="O2" s="105" t="n">
        <f aca="false">K2-D2</f>
        <v>-1660.75</v>
      </c>
    </row>
    <row r="3" customFormat="false" ht="12.8" hidden="false" customHeight="false" outlineLevel="0" collapsed="false">
      <c r="A3" s="98" t="n">
        <v>43497</v>
      </c>
      <c r="B3" s="99" t="n">
        <v>4529.69</v>
      </c>
      <c r="C3" s="100" t="n">
        <v>5015.57</v>
      </c>
      <c r="D3" s="100" t="n">
        <v>5574.91</v>
      </c>
      <c r="E3" s="101" t="n">
        <v>0</v>
      </c>
      <c r="F3" s="100" t="n">
        <v>0</v>
      </c>
      <c r="G3" s="102" t="n">
        <f aca="false">C3+D3+F3</f>
        <v>10590.48</v>
      </c>
      <c r="H3" s="102" t="n">
        <f aca="false">B3-G3</f>
        <v>-6060.79</v>
      </c>
      <c r="I3" s="103" t="n">
        <v>9320</v>
      </c>
      <c r="J3" s="104" t="n">
        <f aca="false">H3+I3</f>
        <v>3259.21</v>
      </c>
      <c r="K3" s="104" t="n">
        <v>2700</v>
      </c>
      <c r="L3" s="104" t="n">
        <f aca="false">((C3+F3+K3))</f>
        <v>7715.57</v>
      </c>
      <c r="M3" s="104" t="n">
        <f aca="false">B3-L3</f>
        <v>-3185.88</v>
      </c>
      <c r="N3" s="104" t="n">
        <f aca="false">M3+I3</f>
        <v>6134.12</v>
      </c>
      <c r="O3" s="105" t="n">
        <f aca="false">K3-D3</f>
        <v>-2874.91</v>
      </c>
    </row>
    <row r="4" customFormat="false" ht="12.8" hidden="false" customHeight="false" outlineLevel="0" collapsed="false">
      <c r="A4" s="98" t="n">
        <v>43525</v>
      </c>
      <c r="B4" s="99" t="n">
        <v>18267.95</v>
      </c>
      <c r="C4" s="100" t="n">
        <v>2618.5</v>
      </c>
      <c r="D4" s="100" t="n">
        <v>6106.21</v>
      </c>
      <c r="E4" s="101" t="n">
        <v>0</v>
      </c>
      <c r="F4" s="100" t="n">
        <v>0</v>
      </c>
      <c r="G4" s="102" t="n">
        <f aca="false">C4+D4+F4</f>
        <v>8724.71</v>
      </c>
      <c r="H4" s="102" t="n">
        <f aca="false">B4-G4</f>
        <v>9543.24</v>
      </c>
      <c r="I4" s="103" t="n">
        <v>9320</v>
      </c>
      <c r="J4" s="104" t="n">
        <f aca="false">H4+I4</f>
        <v>18863.24</v>
      </c>
      <c r="K4" s="104" t="n">
        <v>2700</v>
      </c>
      <c r="L4" s="104" t="n">
        <f aca="false">((C4+F4+K4))</f>
        <v>5318.5</v>
      </c>
      <c r="M4" s="104" t="n">
        <f aca="false">B4-L4</f>
        <v>12949.45</v>
      </c>
      <c r="N4" s="104" t="n">
        <f aca="false">M4+I4</f>
        <v>22269.45</v>
      </c>
      <c r="O4" s="105" t="n">
        <f aca="false">K4-D4</f>
        <v>-3406.21</v>
      </c>
    </row>
    <row r="5" customFormat="false" ht="12.8" hidden="false" customHeight="false" outlineLevel="0" collapsed="false">
      <c r="A5" s="98" t="n">
        <v>43556</v>
      </c>
      <c r="B5" s="99" t="n">
        <v>12865.46</v>
      </c>
      <c r="C5" s="100" t="n">
        <v>3846.32</v>
      </c>
      <c r="D5" s="100" t="n">
        <v>5215.59</v>
      </c>
      <c r="E5" s="101" t="n">
        <v>0</v>
      </c>
      <c r="F5" s="100" t="n">
        <v>0</v>
      </c>
      <c r="G5" s="102" t="n">
        <f aca="false">C5+D5+F5</f>
        <v>9061.91</v>
      </c>
      <c r="H5" s="102" t="n">
        <f aca="false">B5-G5</f>
        <v>3803.55</v>
      </c>
      <c r="I5" s="103" t="n">
        <v>9320</v>
      </c>
      <c r="J5" s="104" t="n">
        <f aca="false">H5+I5</f>
        <v>13123.55</v>
      </c>
      <c r="K5" s="104" t="n">
        <v>2700</v>
      </c>
      <c r="L5" s="104" t="n">
        <f aca="false">((C5+F5+K5))</f>
        <v>6546.32</v>
      </c>
      <c r="M5" s="104" t="n">
        <f aca="false">B5-L5</f>
        <v>6319.14</v>
      </c>
      <c r="N5" s="104" t="n">
        <f aca="false">M5+I5</f>
        <v>15639.14</v>
      </c>
      <c r="O5" s="105" t="n">
        <f aca="false">K5-D5</f>
        <v>-2515.59</v>
      </c>
    </row>
    <row r="6" customFormat="false" ht="12.8" hidden="false" customHeight="false" outlineLevel="0" collapsed="false">
      <c r="A6" s="98" t="n">
        <v>43586</v>
      </c>
      <c r="B6" s="99" t="n">
        <v>11256.15</v>
      </c>
      <c r="C6" s="100" t="n">
        <v>2671.38</v>
      </c>
      <c r="D6" s="100" t="n">
        <v>7693.41</v>
      </c>
      <c r="E6" s="101" t="n">
        <v>0</v>
      </c>
      <c r="F6" s="100" t="n">
        <v>0</v>
      </c>
      <c r="G6" s="102" t="n">
        <f aca="false">C6+D6+F6</f>
        <v>10364.79</v>
      </c>
      <c r="H6" s="102" t="n">
        <f aca="false">B6-G6</f>
        <v>891.359999999999</v>
      </c>
      <c r="I6" s="103" t="n">
        <v>9320</v>
      </c>
      <c r="J6" s="104" t="n">
        <f aca="false">H6+I6</f>
        <v>10211.36</v>
      </c>
      <c r="K6" s="104" t="n">
        <v>2700</v>
      </c>
      <c r="L6" s="104" t="n">
        <f aca="false">((C6+F6+K6))</f>
        <v>5371.38</v>
      </c>
      <c r="M6" s="104" t="n">
        <f aca="false">B6-L6</f>
        <v>5884.77</v>
      </c>
      <c r="N6" s="104" t="n">
        <f aca="false">M6+I6</f>
        <v>15204.77</v>
      </c>
      <c r="O6" s="105" t="n">
        <f aca="false">K6-D6</f>
        <v>-4993.41</v>
      </c>
    </row>
    <row r="7" customFormat="false" ht="12.8" hidden="false" customHeight="false" outlineLevel="0" collapsed="false">
      <c r="A7" s="98" t="n">
        <v>43617</v>
      </c>
      <c r="B7" s="99" t="n">
        <v>9160.22</v>
      </c>
      <c r="C7" s="100" t="n">
        <v>1581.93</v>
      </c>
      <c r="D7" s="100" t="n">
        <v>3173.58</v>
      </c>
      <c r="E7" s="101" t="n">
        <v>0</v>
      </c>
      <c r="F7" s="100" t="n">
        <v>0</v>
      </c>
      <c r="G7" s="102" t="n">
        <f aca="false">C7+D7+F7</f>
        <v>4755.51</v>
      </c>
      <c r="H7" s="102" t="n">
        <f aca="false">B7-G7</f>
        <v>4404.71</v>
      </c>
      <c r="I7" s="103" t="n">
        <v>9320</v>
      </c>
      <c r="J7" s="104" t="n">
        <f aca="false">H7+I7</f>
        <v>13724.71</v>
      </c>
      <c r="K7" s="104" t="n">
        <v>2700</v>
      </c>
      <c r="L7" s="104" t="n">
        <f aca="false">((C7+F7+K7))</f>
        <v>4281.93</v>
      </c>
      <c r="M7" s="104" t="n">
        <f aca="false">B7-L7</f>
        <v>4878.29</v>
      </c>
      <c r="N7" s="104" t="n">
        <f aca="false">M7+I7</f>
        <v>14198.29</v>
      </c>
      <c r="O7" s="105" t="n">
        <f aca="false">K7-D7</f>
        <v>-473.580000000001</v>
      </c>
    </row>
    <row r="8" customFormat="false" ht="12.8" hidden="false" customHeight="false" outlineLevel="0" collapsed="false">
      <c r="A8" s="98" t="n">
        <v>43647</v>
      </c>
      <c r="B8" s="99" t="n">
        <v>13744.17</v>
      </c>
      <c r="C8" s="100" t="n">
        <v>1433.54</v>
      </c>
      <c r="D8" s="100" t="n">
        <v>8095.68999999999</v>
      </c>
      <c r="E8" s="101" t="n">
        <v>3000</v>
      </c>
      <c r="F8" s="100" t="n">
        <v>0</v>
      </c>
      <c r="G8" s="102" t="n">
        <f aca="false">C8+D8+F8</f>
        <v>9529.23</v>
      </c>
      <c r="H8" s="102" t="n">
        <f aca="false">B8-G8-E8</f>
        <v>1214.94</v>
      </c>
      <c r="I8" s="103" t="n">
        <v>12200</v>
      </c>
      <c r="J8" s="104" t="n">
        <f aca="false">H8+I8</f>
        <v>13414.94</v>
      </c>
      <c r="K8" s="104" t="n">
        <v>2700</v>
      </c>
      <c r="L8" s="104" t="n">
        <f aca="false">((C8+F8+K8))</f>
        <v>4133.54</v>
      </c>
      <c r="M8" s="104" t="n">
        <f aca="false">B8-L8</f>
        <v>9610.63</v>
      </c>
      <c r="N8" s="104" t="n">
        <f aca="false">M8+I8</f>
        <v>21810.63</v>
      </c>
      <c r="O8" s="105" t="n">
        <f aca="false">K8-D8</f>
        <v>-5395.68999999999</v>
      </c>
    </row>
    <row r="9" customFormat="false" ht="12.8" hidden="false" customHeight="false" outlineLevel="0" collapsed="false">
      <c r="A9" s="98" t="n">
        <v>43678</v>
      </c>
      <c r="B9" s="99" t="n">
        <v>8879.76</v>
      </c>
      <c r="C9" s="100" t="n">
        <v>1156.56</v>
      </c>
      <c r="D9" s="100" t="n">
        <v>5125.44</v>
      </c>
      <c r="E9" s="101" t="n">
        <v>0</v>
      </c>
      <c r="F9" s="100" t="n">
        <v>0</v>
      </c>
      <c r="G9" s="102" t="n">
        <f aca="false">C9+D9+F9</f>
        <v>6282</v>
      </c>
      <c r="H9" s="102" t="n">
        <f aca="false">B9-G9-E9</f>
        <v>2597.76</v>
      </c>
      <c r="I9" s="103" t="n">
        <v>12200</v>
      </c>
      <c r="J9" s="104" t="n">
        <f aca="false">H9+I9</f>
        <v>14797.76</v>
      </c>
      <c r="K9" s="104" t="n">
        <v>2700</v>
      </c>
      <c r="L9" s="104" t="n">
        <f aca="false">((C9+F9+K9))</f>
        <v>3856.56</v>
      </c>
      <c r="M9" s="104" t="n">
        <f aca="false">B9-L9</f>
        <v>5023.2</v>
      </c>
      <c r="N9" s="104" t="n">
        <f aca="false">M9+I9</f>
        <v>17223.2</v>
      </c>
      <c r="O9" s="105" t="n">
        <f aca="false">K9-D9</f>
        <v>-2425.44</v>
      </c>
    </row>
    <row r="10" customFormat="false" ht="12.8" hidden="false" customHeight="false" outlineLevel="0" collapsed="false">
      <c r="A10" s="98" t="n">
        <v>43709</v>
      </c>
      <c r="B10" s="99" t="n">
        <v>12603.93</v>
      </c>
      <c r="C10" s="100" t="n">
        <v>1100.97</v>
      </c>
      <c r="D10" s="100" t="n">
        <v>7338.18</v>
      </c>
      <c r="E10" s="101" t="n">
        <v>1000</v>
      </c>
      <c r="F10" s="100" t="n">
        <v>0</v>
      </c>
      <c r="G10" s="102" t="n">
        <f aca="false">C10+D10+F10</f>
        <v>8439.14999999999</v>
      </c>
      <c r="H10" s="102" t="n">
        <f aca="false">B10-G10-E10</f>
        <v>3164.78000000001</v>
      </c>
      <c r="I10" s="103" t="n">
        <v>12200</v>
      </c>
      <c r="J10" s="104" t="n">
        <f aca="false">H10+I10</f>
        <v>15364.78</v>
      </c>
      <c r="K10" s="104" t="n">
        <v>2700</v>
      </c>
      <c r="L10" s="104" t="n">
        <f aca="false">((C10+F10+K10))</f>
        <v>3800.97</v>
      </c>
      <c r="M10" s="104" t="n">
        <f aca="false">B10-L10</f>
        <v>8802.96</v>
      </c>
      <c r="N10" s="104" t="n">
        <f aca="false">M10+I10</f>
        <v>21002.96</v>
      </c>
      <c r="O10" s="105" t="n">
        <f aca="false">K10-D10</f>
        <v>-4638.18</v>
      </c>
    </row>
    <row r="11" customFormat="false" ht="12.8" hidden="false" customHeight="false" outlineLevel="0" collapsed="false">
      <c r="A11" s="98" t="n">
        <v>43739</v>
      </c>
      <c r="B11" s="99" t="n">
        <v>10421.65</v>
      </c>
      <c r="C11" s="100" t="n">
        <v>597.77</v>
      </c>
      <c r="D11" s="100" t="n">
        <v>7510.87</v>
      </c>
      <c r="E11" s="101" t="n">
        <v>0</v>
      </c>
      <c r="F11" s="100" t="n">
        <v>0</v>
      </c>
      <c r="G11" s="102" t="n">
        <f aca="false">C11+D11+F11</f>
        <v>8108.64</v>
      </c>
      <c r="H11" s="102" t="n">
        <f aca="false">B11-G11-E11</f>
        <v>2313.01000000001</v>
      </c>
      <c r="I11" s="103" t="n">
        <v>12200</v>
      </c>
      <c r="J11" s="104" t="n">
        <f aca="false">H11+I11</f>
        <v>14513.01</v>
      </c>
      <c r="K11" s="104" t="n">
        <v>2700</v>
      </c>
      <c r="L11" s="104" t="n">
        <f aca="false">((C11+F11+K11))</f>
        <v>3297.77</v>
      </c>
      <c r="M11" s="104" t="n">
        <f aca="false">B11-L11</f>
        <v>7123.88000000001</v>
      </c>
      <c r="N11" s="104" t="n">
        <f aca="false">M11+I11</f>
        <v>19323.88</v>
      </c>
      <c r="O11" s="105" t="n">
        <f aca="false">K11-D11</f>
        <v>-4810.87</v>
      </c>
    </row>
    <row r="12" customFormat="false" ht="12.8" hidden="false" customHeight="false" outlineLevel="0" collapsed="false">
      <c r="A12" s="98" t="n">
        <v>43770</v>
      </c>
      <c r="B12" s="99" t="n">
        <v>9767.47000000001</v>
      </c>
      <c r="C12" s="100" t="n">
        <v>2051.73</v>
      </c>
      <c r="D12" s="100" t="n">
        <v>7621.33</v>
      </c>
      <c r="E12" s="101" t="n">
        <v>0</v>
      </c>
      <c r="F12" s="100" t="n">
        <v>0</v>
      </c>
      <c r="G12" s="102" t="n">
        <f aca="false">C12+D12+F12</f>
        <v>9673.06</v>
      </c>
      <c r="H12" s="102" t="n">
        <f aca="false">B12-G12-E12</f>
        <v>94.4100000000162</v>
      </c>
      <c r="I12" s="103" t="n">
        <v>12200</v>
      </c>
      <c r="J12" s="104" t="n">
        <f aca="false">H12+I12</f>
        <v>12294.41</v>
      </c>
      <c r="K12" s="104" t="n">
        <v>2700</v>
      </c>
      <c r="L12" s="104" t="n">
        <f aca="false">((C12+F12+K12))</f>
        <v>4751.73</v>
      </c>
      <c r="M12" s="104" t="n">
        <f aca="false">B12-L12</f>
        <v>5015.74000000001</v>
      </c>
      <c r="N12" s="104" t="n">
        <f aca="false">M12+I12</f>
        <v>17215.74</v>
      </c>
      <c r="O12" s="105" t="n">
        <f aca="false">K12-D12</f>
        <v>-4921.33</v>
      </c>
    </row>
    <row r="13" customFormat="false" ht="12.8" hidden="false" customHeight="false" outlineLevel="0" collapsed="false">
      <c r="A13" s="98" t="n">
        <v>43800</v>
      </c>
      <c r="B13" s="99" t="n">
        <v>12180.38</v>
      </c>
      <c r="C13" s="100" t="n">
        <v>1036.18</v>
      </c>
      <c r="D13" s="100" t="n">
        <v>8872.37</v>
      </c>
      <c r="E13" s="101" t="n">
        <v>1000</v>
      </c>
      <c r="F13" s="100" t="n">
        <v>0</v>
      </c>
      <c r="G13" s="102" t="n">
        <f aca="false">C13+D13+F13</f>
        <v>9908.55</v>
      </c>
      <c r="H13" s="102" t="n">
        <f aca="false">B13-G13-E13</f>
        <v>1271.83000000001</v>
      </c>
      <c r="I13" s="103" t="n">
        <v>12200</v>
      </c>
      <c r="J13" s="104" t="n">
        <f aca="false">H13+I13</f>
        <v>13471.83</v>
      </c>
      <c r="K13" s="104" t="n">
        <v>2700</v>
      </c>
      <c r="L13" s="104" t="n">
        <f aca="false">((C13+F13+K13))</f>
        <v>3736.18</v>
      </c>
      <c r="M13" s="104" t="n">
        <f aca="false">B13-L13</f>
        <v>8444.20000000001</v>
      </c>
      <c r="N13" s="104" t="n">
        <f aca="false">M13+I13</f>
        <v>20644.2</v>
      </c>
      <c r="O13" s="105" t="n">
        <f aca="false">K13-D13</f>
        <v>-6172.37</v>
      </c>
    </row>
    <row r="14" customFormat="false" ht="12.8" hidden="false" customHeight="false" outlineLevel="0" collapsed="false">
      <c r="A14" s="106" t="s">
        <v>669</v>
      </c>
      <c r="B14" s="107" t="n">
        <f aca="false">SUM(B2:B13)</f>
        <v>128802.68</v>
      </c>
      <c r="C14" s="108" t="n">
        <f aca="false">SUM(C2:C13)</f>
        <v>26595.02</v>
      </c>
      <c r="D14" s="108" t="n">
        <f aca="false">SUM(D2:D13)</f>
        <v>76988.33</v>
      </c>
      <c r="E14" s="108" t="n">
        <f aca="false">SUM(E2:E13)</f>
        <v>5000</v>
      </c>
      <c r="F14" s="108" t="n">
        <f aca="false">SUM(F2:F13)</f>
        <v>0</v>
      </c>
      <c r="G14" s="107" t="n">
        <f aca="false">SUM(G2:G13)</f>
        <v>103583.35</v>
      </c>
      <c r="H14" s="107" t="n">
        <f aca="false">SUM(H2:H13)</f>
        <v>20219.33</v>
      </c>
      <c r="I14" s="97"/>
      <c r="J14" s="97" t="n">
        <f aca="false">SUM(J2:J13)</f>
        <v>149339.33</v>
      </c>
      <c r="K14" s="97" t="n">
        <f aca="false">SUM(K2:K13)</f>
        <v>32700</v>
      </c>
      <c r="L14" s="97" t="n">
        <f aca="false">((C14+F14+K14))</f>
        <v>59295.02</v>
      </c>
      <c r="M14" s="97" t="n">
        <f aca="false">SUM(M2:M13)</f>
        <v>69507.66</v>
      </c>
      <c r="N14" s="97" t="n">
        <f aca="false">SUM(N2:N13)</f>
        <v>198627.66</v>
      </c>
      <c r="O14" s="109" t="n">
        <f aca="false">SUM(O2:O13)</f>
        <v>-44288.33</v>
      </c>
    </row>
    <row r="15" customFormat="false" ht="12.8" hidden="false" customHeight="false" outlineLevel="0" collapsed="false">
      <c r="A15" s="110" t="s">
        <v>670</v>
      </c>
      <c r="B15" s="97" t="n">
        <f aca="false">B14/12</f>
        <v>10733.5566666667</v>
      </c>
      <c r="C15" s="111" t="n">
        <f aca="false">AVERAGE(C2:C13)</f>
        <v>2216.25166666667</v>
      </c>
      <c r="D15" s="111" t="n">
        <f aca="false">AVERAGE(D2:D13)</f>
        <v>6415.69416666667</v>
      </c>
      <c r="E15" s="108" t="n">
        <f aca="false">AVERAGE(E2:E13)</f>
        <v>416.666666666667</v>
      </c>
      <c r="F15" s="111" t="n">
        <f aca="false">AVERAGE(F2:F13)</f>
        <v>0</v>
      </c>
      <c r="G15" s="97" t="n">
        <f aca="false">G14/12</f>
        <v>8631.94583333333</v>
      </c>
      <c r="H15" s="107" t="n">
        <f aca="false">H14/12</f>
        <v>1684.94416666667</v>
      </c>
      <c r="I15" s="97"/>
      <c r="J15" s="97" t="n">
        <f aca="false">J14/12</f>
        <v>12444.9441666667</v>
      </c>
      <c r="K15" s="97" t="n">
        <f aca="false">K14/11</f>
        <v>2972.72727272727</v>
      </c>
      <c r="L15" s="97" t="n">
        <f aca="false">((C15+F15+K15))</f>
        <v>5188.97893939394</v>
      </c>
      <c r="M15" s="97" t="n">
        <f aca="false">M14/11</f>
        <v>6318.87818181819</v>
      </c>
      <c r="N15" s="97" t="n">
        <f aca="false">N14/12</f>
        <v>16552.305</v>
      </c>
      <c r="O15" s="109" t="n">
        <f aca="false">O14/12</f>
        <v>-3690.69416666667</v>
      </c>
    </row>
    <row r="16" customFormat="false" ht="12.8" hidden="false" customHeight="false" outlineLevel="0" collapsed="false">
      <c r="E16" s="12"/>
    </row>
  </sheetData>
  <conditionalFormatting sqref="M14">
    <cfRule type="colorScale" priority="2">
      <colorScale>
        <cfvo type="num" val="0"/>
        <cfvo type="num" val="0"/>
        <color rgb="FFFF7128"/>
        <color rgb="FF00B050"/>
      </colorScale>
    </cfRule>
  </conditionalFormatting>
  <conditionalFormatting sqref="H14">
    <cfRule type="colorScale" priority="3">
      <colorScale>
        <cfvo type="formula" val="$M$14"/>
        <cfvo type="formula" val="$M$14"/>
        <color rgb="FFFF0000"/>
        <color rgb="FF00B050"/>
      </colorScale>
    </cfRule>
    <cfRule type="colorScale" priority="4">
      <colorScale>
        <cfvo type="min" val="0"/>
        <cfvo type="max" val="0"/>
        <color rgb="FFFF0000"/>
        <color rgb="FF00B050"/>
      </colorScale>
    </cfRule>
    <cfRule type="colorScale" priority="5">
      <colorScale>
        <cfvo type="formula" val="$M$14"/>
        <cfvo type="formula" val="$M$14"/>
        <color rgb="FFFF7128"/>
        <color rgb="FFFFEF9C"/>
      </colorScale>
    </cfRule>
  </conditionalFormatting>
  <conditionalFormatting sqref="D2:E13">
    <cfRule type="cellIs" priority="6" operator="between" aboveAverage="0" equalAverage="0" bottom="0" percent="0" rank="0" text="" dxfId="0">
      <formula>0</formula>
      <formula>2700</formula>
    </cfRule>
  </conditionalFormatting>
  <conditionalFormatting sqref="D12:E12">
    <cfRule type="cellIs" priority="7" operator="between" aboveAverage="0" equalAverage="0" bottom="0" percent="0" rank="0" text="" dxfId="1">
      <formula>0</formula>
      <formula>$K$12</formula>
    </cfRule>
  </conditionalFormatting>
  <conditionalFormatting sqref="O2:O13">
    <cfRule type="cellIs" priority="8" operator="lessThan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5081</TotalTime>
  <Application>LibreOffice/6.2.5.2$Linux_X86_64 LibreOffice_project/1ec314fa52f458adc18c4f025c545a4e8b22c159</Application>
  <Company>IBM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2011-04-26T13:46:03Z</dcterms:created>
  <dc:creator>Administrator</dc:creator>
  <dc:description/>
  <dc:language>pt-BR</dc:language>
  <cp:lastModifiedBy/>
  <cp:lastPrinted>2019-01-13T03:49:06Z</cp:lastPrinted>
  <dcterms:modified xsi:type="dcterms:W3CDTF">2020-01-03T06:02:22Z</dcterms:modified>
  <cp:revision>147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
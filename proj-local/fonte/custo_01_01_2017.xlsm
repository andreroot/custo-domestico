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EstaPastaDeTrabalho"/>
  <mc:AlternateContent xmlns:mc="http://schemas.openxmlformats.org/markup-compatibility/2006">
    <mc:Choice Requires="x15">
      <x15ac:absPath xmlns:x15ac="http://schemas.microsoft.com/office/spreadsheetml/2010/11/ac" url="Z:\custo\extrator\"/>
    </mc:Choice>
  </mc:AlternateContent>
  <xr:revisionPtr revIDLastSave="0" documentId="13_ncr:1_{27D5DE57-D970-49D1-B58C-6FB1BF1F71B0}" xr6:coauthVersionLast="40" xr6:coauthVersionMax="40" xr10:uidLastSave="{00000000-0000-0000-0000-000000000000}"/>
  <bookViews>
    <workbookView xWindow="-120" yWindow="-120" windowWidth="19995" windowHeight="9675" tabRatio="985" activeTab="2" xr2:uid="{00000000-000D-0000-FFFF-FFFF00000000}"/>
  </bookViews>
  <sheets>
    <sheet name="entrada" sheetId="1" r:id="rId1"/>
    <sheet name="desconto_folha" sheetId="9" r:id="rId2"/>
    <sheet name="utilizacao" sheetId="10" r:id="rId3"/>
    <sheet name="debito" sheetId="2" r:id="rId4"/>
    <sheet name="credito" sheetId="3" r:id="rId5"/>
    <sheet name="planilha" sheetId="6" r:id="rId6"/>
  </sheets>
  <externalReferences>
    <externalReference r:id="rId7"/>
  </externalReferences>
  <definedNames>
    <definedName name="_FilterDatabase_0" localSheetId="4">credito!$A$1:$K$1</definedName>
    <definedName name="_FilterDatabase_0_0" localSheetId="4">credito!$A$1:$K$1</definedName>
    <definedName name="_xlnm._FilterDatabase" localSheetId="4" hidden="1">credito!$A$1:$K$159</definedName>
    <definedName name="_xlnm._FilterDatabase" localSheetId="3">debito!$A$1:$J$269</definedName>
  </definedNames>
  <calcPr calcId="181029"/>
  <fileRecoveryPr autoRecover="0"/>
</workbook>
</file>

<file path=xl/calcChain.xml><?xml version="1.0" encoding="utf-8"?>
<calcChain xmlns="http://schemas.openxmlformats.org/spreadsheetml/2006/main">
  <c r="E31" i="10" l="1"/>
  <c r="D26" i="10"/>
  <c r="D23" i="10"/>
  <c r="D20" i="10"/>
  <c r="D16" i="10"/>
  <c r="D13" i="10"/>
  <c r="D9" i="10"/>
  <c r="D5" i="10"/>
  <c r="B13" i="1" l="1"/>
  <c r="B12" i="1"/>
  <c r="B11" i="1"/>
  <c r="B10" i="1"/>
  <c r="B9" i="1"/>
  <c r="B8" i="1"/>
  <c r="B7" i="1"/>
  <c r="B6" i="1"/>
  <c r="B4" i="1"/>
  <c r="B3" i="1"/>
  <c r="B2" i="1"/>
  <c r="D2" i="1"/>
  <c r="J14" i="6"/>
  <c r="J15" i="6" s="1"/>
  <c r="E14" i="6"/>
  <c r="E15" i="6" s="1"/>
  <c r="D14" i="6"/>
  <c r="D15" i="6" s="1"/>
  <c r="C14" i="6"/>
  <c r="C15" i="6" s="1"/>
  <c r="B14" i="6"/>
  <c r="B15" i="6" s="1"/>
  <c r="K13" i="6"/>
  <c r="L13" i="6" s="1"/>
  <c r="M13" i="6" s="1"/>
  <c r="F13" i="6"/>
  <c r="G13" i="6" s="1"/>
  <c r="K12" i="6"/>
  <c r="L12" i="6" s="1"/>
  <c r="M12" i="6" s="1"/>
  <c r="F12" i="6"/>
  <c r="G12" i="6" s="1"/>
  <c r="K11" i="6"/>
  <c r="L11" i="6" s="1"/>
  <c r="M11" i="6" s="1"/>
  <c r="F11" i="6"/>
  <c r="G11" i="6" s="1"/>
  <c r="K10" i="6"/>
  <c r="L10" i="6" s="1"/>
  <c r="M10" i="6" s="1"/>
  <c r="F10" i="6"/>
  <c r="G10" i="6" s="1"/>
  <c r="K9" i="6"/>
  <c r="L9" i="6" s="1"/>
  <c r="M9" i="6" s="1"/>
  <c r="F9" i="6"/>
  <c r="G9" i="6" s="1"/>
  <c r="K8" i="6"/>
  <c r="L8" i="6" s="1"/>
  <c r="M8" i="6" s="1"/>
  <c r="F8" i="6"/>
  <c r="G8" i="6" s="1"/>
  <c r="K7" i="6"/>
  <c r="L7" i="6" s="1"/>
  <c r="M7" i="6" s="1"/>
  <c r="F7" i="6"/>
  <c r="G7" i="6" s="1"/>
  <c r="K6" i="6"/>
  <c r="L6" i="6" s="1"/>
  <c r="M6" i="6" s="1"/>
  <c r="F6" i="6"/>
  <c r="G6" i="6" s="1"/>
  <c r="K5" i="6"/>
  <c r="L5" i="6" s="1"/>
  <c r="M5" i="6" s="1"/>
  <c r="F5" i="6"/>
  <c r="G5" i="6" s="1"/>
  <c r="K4" i="6"/>
  <c r="L4" i="6" s="1"/>
  <c r="M4" i="6" s="1"/>
  <c r="F4" i="6"/>
  <c r="G4" i="6" s="1"/>
  <c r="K3" i="6"/>
  <c r="L3" i="6" s="1"/>
  <c r="M3" i="6" s="1"/>
  <c r="F3" i="6"/>
  <c r="G3" i="6" s="1"/>
  <c r="K2" i="6"/>
  <c r="K14" i="6" s="1"/>
  <c r="K15" i="6" s="1"/>
  <c r="F2" i="6"/>
  <c r="F14" i="6" s="1"/>
  <c r="F15" i="6" s="1"/>
  <c r="D13" i="1"/>
  <c r="G13" i="1" s="1"/>
  <c r="H13" i="1" s="1"/>
  <c r="D12" i="1"/>
  <c r="G12" i="1" s="1"/>
  <c r="H12" i="1" s="1"/>
  <c r="D11" i="1"/>
  <c r="G11" i="1" s="1"/>
  <c r="H11" i="1" s="1"/>
  <c r="D10" i="1"/>
  <c r="G10" i="1" s="1"/>
  <c r="H10" i="1" s="1"/>
  <c r="D9" i="1"/>
  <c r="G9" i="1" s="1"/>
  <c r="H9" i="1" s="1"/>
  <c r="D8" i="1"/>
  <c r="G8" i="1" s="1"/>
  <c r="H8" i="1" s="1"/>
  <c r="D7" i="1"/>
  <c r="G7" i="1" s="1"/>
  <c r="H7" i="1" s="1"/>
  <c r="D6" i="1"/>
  <c r="G6" i="1" s="1"/>
  <c r="H6" i="1" s="1"/>
  <c r="D5" i="1"/>
  <c r="D4" i="1"/>
  <c r="G4" i="1" s="1"/>
  <c r="H4" i="1" s="1"/>
  <c r="D3" i="1"/>
  <c r="G3" i="1" s="1"/>
  <c r="H3" i="1" s="1"/>
  <c r="G2" i="1"/>
  <c r="H2" i="1" s="1"/>
  <c r="B911" i="2"/>
  <c r="B824" i="2"/>
  <c r="B823" i="2"/>
  <c r="B732" i="2"/>
  <c r="B731" i="2"/>
  <c r="B624" i="2"/>
  <c r="B520" i="2"/>
  <c r="B454" i="2"/>
  <c r="B395" i="2"/>
  <c r="N3" i="6" l="1"/>
  <c r="I3" i="6"/>
  <c r="N4" i="6"/>
  <c r="I4" i="6"/>
  <c r="N5" i="6"/>
  <c r="I5" i="6"/>
  <c r="N6" i="6"/>
  <c r="I6" i="6"/>
  <c r="N7" i="6"/>
  <c r="I7" i="6"/>
  <c r="N8" i="6"/>
  <c r="I8" i="6"/>
  <c r="N9" i="6"/>
  <c r="I9" i="6"/>
  <c r="N10" i="6"/>
  <c r="I10" i="6"/>
  <c r="N11" i="6"/>
  <c r="I11" i="6"/>
  <c r="N12" i="6"/>
  <c r="I12" i="6"/>
  <c r="N13" i="6"/>
  <c r="I13" i="6"/>
  <c r="G2" i="6"/>
  <c r="L2" i="6"/>
  <c r="L14" i="6" l="1"/>
  <c r="L15" i="6" s="1"/>
  <c r="M2" i="6"/>
  <c r="M14" i="6" s="1"/>
  <c r="M15" i="6" s="1"/>
  <c r="G14" i="6"/>
  <c r="G15" i="6" s="1"/>
  <c r="N2" i="6"/>
  <c r="N14" i="6" s="1"/>
  <c r="N15" i="6" s="1"/>
  <c r="I2" i="6"/>
  <c r="I14" i="6" s="1"/>
  <c r="I15" i="6" s="1"/>
  <c r="B262" i="2" l="1"/>
  <c r="B329" i="2" l="1"/>
  <c r="B158" i="2" l="1"/>
  <c r="B95" i="2" l="1"/>
  <c r="B11" i="2"/>
</calcChain>
</file>

<file path=xl/sharedStrings.xml><?xml version="1.0" encoding="utf-8"?>
<sst xmlns="http://schemas.openxmlformats.org/spreadsheetml/2006/main" count="4058" uniqueCount="675">
  <si>
    <t>custo</t>
  </si>
  <si>
    <t>valor debito</t>
  </si>
  <si>
    <t>custo fixo</t>
  </si>
  <si>
    <t>custo variavel</t>
  </si>
  <si>
    <t>pendente</t>
  </si>
  <si>
    <t>data pagto</t>
  </si>
  <si>
    <t>semana</t>
  </si>
  <si>
    <t>data pagamento</t>
  </si>
  <si>
    <t>tipo</t>
  </si>
  <si>
    <t>Contr. INSS Remuner</t>
  </si>
  <si>
    <t>1ª semana</t>
  </si>
  <si>
    <t>folha_pagamento</t>
  </si>
  <si>
    <t>Tributo IRRF</t>
  </si>
  <si>
    <t xml:space="preserve">SEGURO VIDA GRUPO </t>
  </si>
  <si>
    <t>COMPRA DE ASSOC</t>
  </si>
  <si>
    <t>Assist. Medica Fixa</t>
  </si>
  <si>
    <t>Assist. Medica Dept</t>
  </si>
  <si>
    <t>Uti Medica Assoc.</t>
  </si>
  <si>
    <t>CONT. CONFEDERATIVA</t>
  </si>
  <si>
    <t>Part. Vale Alimenta</t>
  </si>
  <si>
    <t>cartão</t>
  </si>
  <si>
    <t>cartão credito</t>
  </si>
  <si>
    <t>carrefour</t>
  </si>
  <si>
    <t>mercado</t>
  </si>
  <si>
    <t>taxa conta corrente</t>
  </si>
  <si>
    <t>banco</t>
  </si>
  <si>
    <t>int ipva sp hoh6396 1/3</t>
  </si>
  <si>
    <t>carro</t>
  </si>
  <si>
    <t>suco varanda</t>
  </si>
  <si>
    <t>alimentação</t>
  </si>
  <si>
    <t>alimand</t>
  </si>
  <si>
    <t>dogstation</t>
  </si>
  <si>
    <t>quero mais</t>
  </si>
  <si>
    <t>sptransp</t>
  </si>
  <si>
    <t>transporte</t>
  </si>
  <si>
    <t>net</t>
  </si>
  <si>
    <t>casa</t>
  </si>
  <si>
    <t>caterine de</t>
  </si>
  <si>
    <t>nakata</t>
  </si>
  <si>
    <t>luz</t>
  </si>
  <si>
    <t>estacionamento</t>
  </si>
  <si>
    <t>feira</t>
  </si>
  <si>
    <t>custo total aluguel</t>
  </si>
  <si>
    <t>2ª semana</t>
  </si>
  <si>
    <t>michelle</t>
  </si>
  <si>
    <t>buro</t>
  </si>
  <si>
    <t>SEGURO RESIDENCIA</t>
  </si>
  <si>
    <t>contador</t>
  </si>
  <si>
    <t>SEGURO CARTÃO</t>
  </si>
  <si>
    <t>lanche</t>
  </si>
  <si>
    <t>agua</t>
  </si>
  <si>
    <t>hot dog / acaraje</t>
  </si>
  <si>
    <t>livro</t>
  </si>
  <si>
    <t>pessoal</t>
  </si>
  <si>
    <t>instalação de rede na janela</t>
  </si>
  <si>
    <t>cabelereiro</t>
  </si>
  <si>
    <t>pedagio</t>
  </si>
  <si>
    <t>consorcio</t>
  </si>
  <si>
    <t>3ª semana</t>
  </si>
  <si>
    <t>investimento</t>
  </si>
  <si>
    <t>UNICEF</t>
  </si>
  <si>
    <t>doação</t>
  </si>
  <si>
    <t>mc donald</t>
  </si>
  <si>
    <t>lanche hospital</t>
  </si>
  <si>
    <t>benção</t>
  </si>
  <si>
    <t>bolacha metro</t>
  </si>
  <si>
    <t>padaria</t>
  </si>
  <si>
    <t>bolacha/agua</t>
  </si>
  <si>
    <t>suco dexo</t>
  </si>
  <si>
    <t>sorvete</t>
  </si>
  <si>
    <t>comgas</t>
  </si>
  <si>
    <t>4ª semana</t>
  </si>
  <si>
    <t>lanche metro</t>
  </si>
  <si>
    <t xml:space="preserve">cafezinho rua </t>
  </si>
  <si>
    <t>pastel</t>
  </si>
  <si>
    <t>divergencia</t>
  </si>
  <si>
    <t>almoço</t>
  </si>
  <si>
    <t>suco</t>
  </si>
  <si>
    <t>café padaria</t>
  </si>
  <si>
    <t>chocolate</t>
  </si>
  <si>
    <t>5ª semana</t>
  </si>
  <si>
    <t>subway</t>
  </si>
  <si>
    <t>int ipva sp hoh6396 2/3</t>
  </si>
  <si>
    <t>pao de queijo</t>
  </si>
  <si>
    <t>alimanda bolacha</t>
  </si>
  <si>
    <t>saque</t>
  </si>
  <si>
    <t>milho</t>
  </si>
  <si>
    <t>queijo</t>
  </si>
  <si>
    <t>perdeu dinheiro</t>
  </si>
  <si>
    <t>biblia</t>
  </si>
  <si>
    <t>agua suco</t>
  </si>
  <si>
    <t>mc donalds</t>
  </si>
  <si>
    <t>outback</t>
  </si>
  <si>
    <t>diferença</t>
  </si>
  <si>
    <t>vitamina</t>
  </si>
  <si>
    <t>sonda</t>
  </si>
  <si>
    <t>brincos</t>
  </si>
  <si>
    <t>deposito na conta</t>
  </si>
  <si>
    <t>farmacia</t>
  </si>
  <si>
    <t>sunny days</t>
  </si>
  <si>
    <t>posto el sh</t>
  </si>
  <si>
    <t>Extra – suco</t>
  </si>
  <si>
    <t>mercado produto de limpeza</t>
  </si>
  <si>
    <t>chuveiro dicico</t>
  </si>
  <si>
    <t>rede mais</t>
  </si>
  <si>
    <t>Emporio – churrasquinho</t>
  </si>
  <si>
    <t>custo_credito</t>
  </si>
  <si>
    <t>valor_credito</t>
  </si>
  <si>
    <t>custo_fixo_credito</t>
  </si>
  <si>
    <t>custo_variavel_credito</t>
  </si>
  <si>
    <t>pendente_credito</t>
  </si>
  <si>
    <t>data_pagto_credito</t>
  </si>
  <si>
    <t>valor_parcelado</t>
  </si>
  <si>
    <t>semana_credito</t>
  </si>
  <si>
    <t>data_pagamento_credito</t>
  </si>
  <si>
    <t>tipo_credito</t>
  </si>
  <si>
    <t>TIM LIBERTY EXPRESS*2v5</t>
  </si>
  <si>
    <t>celular</t>
  </si>
  <si>
    <t>NETFLIX.COM</t>
  </si>
  <si>
    <t>netflix</t>
  </si>
  <si>
    <t>olibone 3/5</t>
  </si>
  <si>
    <t>olibone 4/5</t>
  </si>
  <si>
    <t>olibone 5/5</t>
  </si>
  <si>
    <t>mercadopago*rodov 2/4</t>
  </si>
  <si>
    <t>mercadopago*rodov 3/4</t>
  </si>
  <si>
    <t>mercadopago*rodov 4/4</t>
  </si>
  <si>
    <t>ANDORINHA SUPERMERCADO</t>
  </si>
  <si>
    <t>posto de serviço</t>
  </si>
  <si>
    <t>ascona</t>
  </si>
  <si>
    <t>kik smily</t>
  </si>
  <si>
    <t>momiji cosmetico</t>
  </si>
  <si>
    <t>CENTRO AUTOMOTIVO AGUA</t>
  </si>
  <si>
    <t>DICICO TREMEMBE 01/02</t>
  </si>
  <si>
    <t>DICICO TREMEMBE 02/02</t>
  </si>
  <si>
    <t>MUNDIAL LJ 14</t>
  </si>
  <si>
    <t>EC*SPOTIFY</t>
  </si>
  <si>
    <t>M. G. M. MAGALHAES</t>
  </si>
  <si>
    <t>PIZZA HUT ESTADAO</t>
  </si>
  <si>
    <t>lazer</t>
  </si>
  <si>
    <t>LA FLORESTA</t>
  </si>
  <si>
    <t>SONDA JACANA</t>
  </si>
  <si>
    <t>UNIDOS DA VILA</t>
  </si>
  <si>
    <t>perfurmaria 2000</t>
  </si>
  <si>
    <t>jd modas</t>
  </si>
  <si>
    <t>americanas 01/01 - hd externo</t>
  </si>
  <si>
    <t>americanas 02/02 - hd externo</t>
  </si>
  <si>
    <t>americanas 01/01 - panela eletrica</t>
  </si>
  <si>
    <t>americanas 02/02 - panela eletrica</t>
  </si>
  <si>
    <t>brooksfield 1/2</t>
  </si>
  <si>
    <t>roupa</t>
  </si>
  <si>
    <t>super troca oleo 1/2</t>
  </si>
  <si>
    <t>arizona paes e doces</t>
  </si>
  <si>
    <t xml:space="preserve">linonka coffe </t>
  </si>
  <si>
    <t>super troca oleo 2/2</t>
  </si>
  <si>
    <t>brooksfield 2/2</t>
  </si>
  <si>
    <t>FUNDACAO ABRINQ PELOS</t>
  </si>
  <si>
    <t>restaurante santa julia</t>
  </si>
  <si>
    <t>americanas.com 01/02</t>
  </si>
  <si>
    <t>brinquedo</t>
  </si>
  <si>
    <t>extra</t>
  </si>
  <si>
    <t>kilo kids presentes</t>
  </si>
  <si>
    <t>droga 2000</t>
  </si>
  <si>
    <t>americanas.com 02/02</t>
  </si>
  <si>
    <t>ARIZONA PAES E DOCES</t>
  </si>
  <si>
    <t>sonda tremembe</t>
  </si>
  <si>
    <t>fernando henrique cami</t>
  </si>
  <si>
    <t>PAD CONF JD BRASIL</t>
  </si>
  <si>
    <t>submarino 2/2</t>
  </si>
  <si>
    <t>rpc rede ponto certo</t>
  </si>
  <si>
    <t>enjoy comestico</t>
  </si>
  <si>
    <t>drogaria são paulo</t>
  </si>
  <si>
    <t>fogo de chao</t>
  </si>
  <si>
    <t>estapar shop center</t>
  </si>
  <si>
    <t>mgm magalhoes</t>
  </si>
  <si>
    <t>koi rotisseria</t>
  </si>
  <si>
    <t>mistura</t>
  </si>
  <si>
    <t>submarino 1/2</t>
  </si>
  <si>
    <t>lojas dengo</t>
  </si>
  <si>
    <t>tim viagem</t>
  </si>
  <si>
    <t>mix tudo</t>
  </si>
  <si>
    <t>lj 3009 centernorte</t>
  </si>
  <si>
    <t>maos perfeitas</t>
  </si>
  <si>
    <t>2075 extra</t>
  </si>
  <si>
    <t>auto posto</t>
  </si>
  <si>
    <t>elton</t>
  </si>
  <si>
    <t>haagen-dazs</t>
  </si>
  <si>
    <t>itau seguros 1/3</t>
  </si>
  <si>
    <t>seguro</t>
  </si>
  <si>
    <t>kroki salgados</t>
  </si>
  <si>
    <t>os alquimista</t>
  </si>
  <si>
    <t>auto posto tremembe</t>
  </si>
  <si>
    <t>dib</t>
  </si>
  <si>
    <t>aluguel</t>
  </si>
  <si>
    <t>ourinhos mercado</t>
  </si>
  <si>
    <t>parcelamento</t>
  </si>
  <si>
    <t>carrefour btu</t>
  </si>
  <si>
    <t>mgm magalhoaes</t>
  </si>
  <si>
    <t>andorinha supermercado</t>
  </si>
  <si>
    <t>linka sushi</t>
  </si>
  <si>
    <t>coisas de criança 01/02</t>
  </si>
  <si>
    <t>farmais agua fria</t>
  </si>
  <si>
    <t>perfumaria</t>
  </si>
  <si>
    <t>philip</t>
  </si>
  <si>
    <t>PIZZA HUT 6</t>
  </si>
  <si>
    <t>extra perto tucur</t>
  </si>
  <si>
    <t>mgm magalhoes - posto gasolina</t>
  </si>
  <si>
    <t>rei da carne</t>
  </si>
  <si>
    <t>coisas de criança</t>
  </si>
  <si>
    <t>pagsegurouol</t>
  </si>
  <si>
    <t>confeccoes de roupas</t>
  </si>
  <si>
    <t>hot water 1/2</t>
  </si>
  <si>
    <t>habibs</t>
  </si>
  <si>
    <t>confeccoes roupa</t>
  </si>
  <si>
    <t>anjinhos e pestin</t>
  </si>
  <si>
    <t>lazer-praia</t>
  </si>
  <si>
    <t>mercado-praia</t>
  </si>
  <si>
    <t>supermercado krill</t>
  </si>
  <si>
    <t>pizzaria luar</t>
  </si>
  <si>
    <t>nobre &amp; lacerda</t>
  </si>
  <si>
    <t>quiosque 40 graus</t>
  </si>
  <si>
    <t>atacadista de hortifr</t>
  </si>
  <si>
    <t>auto posto praias - combustivel</t>
  </si>
  <si>
    <t>dona deola</t>
  </si>
  <si>
    <t>promofarma</t>
  </si>
  <si>
    <t>sonda jacana</t>
  </si>
  <si>
    <t>sonda jacana – bebe(lenço umedecido)</t>
  </si>
  <si>
    <t>valor</t>
  </si>
  <si>
    <t>iof</t>
  </si>
  <si>
    <t>saldo inicial</t>
  </si>
  <si>
    <t>custo realizado</t>
  </si>
  <si>
    <t>custo pendente</t>
  </si>
  <si>
    <t>custo total</t>
  </si>
  <si>
    <t>saldo</t>
  </si>
  <si>
    <t>madeiro hamburguer</t>
  </si>
  <si>
    <t>posto mgm</t>
  </si>
  <si>
    <t>iof pagamento</t>
  </si>
  <si>
    <t>juros</t>
  </si>
  <si>
    <t>doc/ted</t>
  </si>
  <si>
    <t>lis/juros</t>
  </si>
  <si>
    <t>magna seiva</t>
  </si>
  <si>
    <t>o mocofava</t>
  </si>
  <si>
    <t>ragazzo</t>
  </si>
  <si>
    <t>deposito - passeio rio mae igreja</t>
  </si>
  <si>
    <t>starbucks</t>
  </si>
  <si>
    <t>frutas rua</t>
  </si>
  <si>
    <t>rei carne v aurora</t>
  </si>
  <si>
    <t>pizzaria</t>
  </si>
  <si>
    <t>emprestimo rafael</t>
  </si>
  <si>
    <t>bolacha</t>
  </si>
  <si>
    <t>chaveiro</t>
  </si>
  <si>
    <t>sptransp - TBI 0349.11000-7</t>
  </si>
  <si>
    <t>gasolina</t>
  </si>
  <si>
    <t>dentista</t>
  </si>
  <si>
    <t>cofe rua</t>
  </si>
  <si>
    <t>rotisserie</t>
  </si>
  <si>
    <t>almoço celeiro fazenda</t>
  </si>
  <si>
    <t>parcelamento entrada</t>
  </si>
  <si>
    <t>agua / panetone</t>
  </si>
  <si>
    <t>lojas americanas / chocolate</t>
  </si>
  <si>
    <t>padaria arizona</t>
  </si>
  <si>
    <t>farmacia / gillete depila</t>
  </si>
  <si>
    <t>empretimo caio</t>
  </si>
  <si>
    <t>salgado igreja</t>
  </si>
  <si>
    <t>arizona</t>
  </si>
  <si>
    <t>sonda mistura</t>
  </si>
  <si>
    <t>andorinha semanal</t>
  </si>
  <si>
    <t>androinha semanal</t>
  </si>
  <si>
    <t>sorvete wendys</t>
  </si>
  <si>
    <t>remedio</t>
  </si>
  <si>
    <t>fralda</t>
  </si>
  <si>
    <t>café metro</t>
  </si>
  <si>
    <t>cartao proto seguro - seguro do carro</t>
  </si>
  <si>
    <t>roupa pra samuel</t>
  </si>
  <si>
    <t>roupas</t>
  </si>
  <si>
    <t>açai</t>
  </si>
  <si>
    <t>peixaria mercado tucuruvi</t>
  </si>
  <si>
    <t>iof juros</t>
  </si>
  <si>
    <t>mercado car</t>
  </si>
  <si>
    <t>kroki</t>
  </si>
  <si>
    <t>contrib sindical</t>
  </si>
  <si>
    <t>VR Associados</t>
  </si>
  <si>
    <t>gasolina viagem</t>
  </si>
  <si>
    <t>pedagio viagem</t>
  </si>
  <si>
    <t>viagem</t>
  </si>
  <si>
    <t>outros</t>
  </si>
  <si>
    <t>ferro presente casamento</t>
  </si>
  <si>
    <t>perfume</t>
  </si>
  <si>
    <t>chinelo</t>
  </si>
  <si>
    <t>maquiagem</t>
  </si>
  <si>
    <t>extra suco</t>
  </si>
  <si>
    <t>posto gasolina</t>
  </si>
  <si>
    <t>mercado carrefour</t>
  </si>
  <si>
    <t>magazine luiza - bebe conforto</t>
  </si>
  <si>
    <t>imobiliaria</t>
  </si>
  <si>
    <t>adriana</t>
  </si>
  <si>
    <t>mundo das v</t>
  </si>
  <si>
    <t>pernanbucanas presentes</t>
  </si>
  <si>
    <t>pousada perto guanami</t>
  </si>
  <si>
    <t>café da manha</t>
  </si>
  <si>
    <t>padaria max</t>
  </si>
  <si>
    <t>panilar</t>
  </si>
  <si>
    <t>graal</t>
  </si>
  <si>
    <t>queijo / requeijao / carne de bode</t>
  </si>
  <si>
    <t>almoço bahia</t>
  </si>
  <si>
    <t>minilar</t>
  </si>
  <si>
    <t>restaurante</t>
  </si>
  <si>
    <t>bebe</t>
  </si>
  <si>
    <t>almoco</t>
  </si>
  <si>
    <t>CONTRIB. SINDICAL</t>
  </si>
  <si>
    <t>IRRF férias rec 1</t>
  </si>
  <si>
    <t>provisorio contr inss</t>
  </si>
  <si>
    <t>abono de férias</t>
  </si>
  <si>
    <t>férias</t>
  </si>
  <si>
    <t>férias 1/3</t>
  </si>
  <si>
    <t>vestuario 2/2</t>
  </si>
  <si>
    <t>spotfy</t>
  </si>
  <si>
    <t>abrinq</t>
  </si>
  <si>
    <t>café</t>
  </si>
  <si>
    <t>escova de dente</t>
  </si>
  <si>
    <t>lavagem de carro</t>
  </si>
  <si>
    <t>agua bolacha</t>
  </si>
  <si>
    <t>lojas americanas</t>
  </si>
  <si>
    <t>fralda / lenco umed</t>
  </si>
  <si>
    <t>suco padaria</t>
  </si>
  <si>
    <t>vitamina / bolacha</t>
  </si>
  <si>
    <t>roupa michelle</t>
  </si>
  <si>
    <t>perfurmaria</t>
  </si>
  <si>
    <t>unha</t>
  </si>
  <si>
    <t>boi mil</t>
  </si>
  <si>
    <t>emprestimo pago 500</t>
  </si>
  <si>
    <t>emprestimo</t>
  </si>
  <si>
    <t>treviolo</t>
  </si>
  <si>
    <t>agua / chocolate</t>
  </si>
  <si>
    <t>saude</t>
  </si>
  <si>
    <t>alimentacao</t>
  </si>
  <si>
    <t>presente michelle</t>
  </si>
  <si>
    <t>burger king</t>
  </si>
  <si>
    <t>drogaria</t>
  </si>
  <si>
    <t>lanchonete</t>
  </si>
  <si>
    <t>encontro casal</t>
  </si>
  <si>
    <t>choclate</t>
  </si>
  <si>
    <t>lanchocnete</t>
  </si>
  <si>
    <t>farofa / pimenta</t>
  </si>
  <si>
    <t>danilo</t>
  </si>
  <si>
    <t>cbmmg - contador</t>
  </si>
  <si>
    <t>metro nakata doces</t>
  </si>
  <si>
    <t>divergente</t>
  </si>
  <si>
    <t>gatorate - escolinha são paulo</t>
  </si>
  <si>
    <t>bolo / agua</t>
  </si>
  <si>
    <t>bella ataliba</t>
  </si>
  <si>
    <t>pipoca / lanche</t>
  </si>
  <si>
    <t>la floresta</t>
  </si>
  <si>
    <t>correios multas</t>
  </si>
  <si>
    <t>correios</t>
  </si>
  <si>
    <t>agua / bolacha</t>
  </si>
  <si>
    <t>SURARA</t>
  </si>
  <si>
    <t>carregador celular</t>
  </si>
  <si>
    <t>papelaria</t>
  </si>
  <si>
    <t>presente</t>
  </si>
  <si>
    <t>cartao de memoria</t>
  </si>
  <si>
    <t>doce</t>
  </si>
  <si>
    <t>deposito</t>
  </si>
  <si>
    <t>benção - teatro</t>
  </si>
  <si>
    <t>salgado</t>
  </si>
  <si>
    <t>bolo gceu</t>
  </si>
  <si>
    <t>esfiha</t>
  </si>
  <si>
    <t>copia documento aluguel</t>
  </si>
  <si>
    <t>suxhi restaurante</t>
  </si>
  <si>
    <t>mercadinho</t>
  </si>
  <si>
    <t>dicico chuveiro</t>
  </si>
  <si>
    <t>farmacia / fralda</t>
  </si>
  <si>
    <t>salgadinho - teatro</t>
  </si>
  <si>
    <t xml:space="preserve">sorvete - ELECTRONINOVE COMER </t>
  </si>
  <si>
    <t>agua - teatro</t>
  </si>
  <si>
    <t>pao</t>
  </si>
  <si>
    <t>farmacia / pomada</t>
  </si>
  <si>
    <t>salgadinho</t>
  </si>
  <si>
    <t>bolo e iogurte</t>
  </si>
  <si>
    <t>lanche tarde</t>
  </si>
  <si>
    <t>bolo</t>
  </si>
  <si>
    <t>parque</t>
  </si>
  <si>
    <t xml:space="preserve">ELECTRONMR &amp; JJ HOR       </t>
  </si>
  <si>
    <t>droga raia</t>
  </si>
  <si>
    <t>salgados</t>
  </si>
  <si>
    <t>credito celular</t>
  </si>
  <si>
    <t>pastel feira</t>
  </si>
  <si>
    <t>GURADIAO</t>
  </si>
  <si>
    <t>minuto pao</t>
  </si>
  <si>
    <t>almoço francgo assado</t>
  </si>
  <si>
    <t>centro de p</t>
  </si>
  <si>
    <t>meias samuel</t>
  </si>
  <si>
    <t>tolezano</t>
  </si>
  <si>
    <t>dpvat 2017</t>
  </si>
  <si>
    <t>dpvat 2016</t>
  </si>
  <si>
    <t>licenciamento 2017/2016</t>
  </si>
  <si>
    <t>tx transferencia</t>
  </si>
  <si>
    <t>lanche na igreja</t>
  </si>
  <si>
    <t>multa</t>
  </si>
  <si>
    <t>mamao</t>
  </si>
  <si>
    <t>aluguel 2017/07 cond</t>
  </si>
  <si>
    <t>lanche burguer king</t>
  </si>
  <si>
    <t>mania</t>
  </si>
  <si>
    <t>dikar vistoria</t>
  </si>
  <si>
    <t>carvao</t>
  </si>
  <si>
    <t>tobiti - sorvete</t>
  </si>
  <si>
    <t>rei carne</t>
  </si>
  <si>
    <t>andorinha</t>
  </si>
  <si>
    <t>lis/juros 14 dias</t>
  </si>
  <si>
    <t>eletropaulo</t>
  </si>
  <si>
    <t>conserto janela</t>
  </si>
  <si>
    <t>ana paula</t>
  </si>
  <si>
    <t>claudio dois</t>
  </si>
  <si>
    <t>furacao</t>
  </si>
  <si>
    <t>bergamais</t>
  </si>
  <si>
    <t>tapete</t>
  </si>
  <si>
    <t>geraldo ped</t>
  </si>
  <si>
    <t>valparaizo</t>
  </si>
  <si>
    <t>bombom delicia</t>
  </si>
  <si>
    <t>mercado tolezano</t>
  </si>
  <si>
    <t>arizona padaria</t>
  </si>
  <si>
    <t>pagamento cartao portoseguro</t>
  </si>
  <si>
    <t>mercado andorinha</t>
  </si>
  <si>
    <t>vitalita</t>
  </si>
  <si>
    <t>café lanche</t>
  </si>
  <si>
    <t>alkimia baz</t>
  </si>
  <si>
    <t>tolezane</t>
  </si>
  <si>
    <t>varanda</t>
  </si>
  <si>
    <t>corte</t>
  </si>
  <si>
    <t>alugel casa</t>
  </si>
  <si>
    <t>iptu</t>
  </si>
  <si>
    <t>condominio</t>
  </si>
  <si>
    <t>luz - residuo</t>
  </si>
  <si>
    <t>portoseguro</t>
  </si>
  <si>
    <t>almoço canellone</t>
  </si>
  <si>
    <t>lis/juros 17 dias</t>
  </si>
  <si>
    <t>lis/juros 16 dias</t>
  </si>
  <si>
    <t>michelle - gilda</t>
  </si>
  <si>
    <t>hambruguer caseiro</t>
  </si>
  <si>
    <t>açougue</t>
  </si>
  <si>
    <t>conserto torneira</t>
  </si>
  <si>
    <t>bolo celso</t>
  </si>
  <si>
    <t>refri</t>
  </si>
  <si>
    <t>praca</t>
  </si>
  <si>
    <t>koch la</t>
  </si>
  <si>
    <t>sidney</t>
  </si>
  <si>
    <t>cartorio</t>
  </si>
  <si>
    <t>digitalizado</t>
  </si>
  <si>
    <t>missoes portas abertas</t>
  </si>
  <si>
    <t>bencao</t>
  </si>
  <si>
    <t>boticario</t>
  </si>
  <si>
    <t>locao cabelo</t>
  </si>
  <si>
    <t>bras roupa michelle</t>
  </si>
  <si>
    <t>bras roupa samuel</t>
  </si>
  <si>
    <t>frutas</t>
  </si>
  <si>
    <t>bazar</t>
  </si>
  <si>
    <t>estacionamento shopp</t>
  </si>
  <si>
    <t>lojas maduro</t>
  </si>
  <si>
    <t>play land</t>
  </si>
  <si>
    <t>plet embala</t>
  </si>
  <si>
    <t>cano lava roupa</t>
  </si>
  <si>
    <t>nimax</t>
  </si>
  <si>
    <t>almoço canelone</t>
  </si>
  <si>
    <t>zoologico</t>
  </si>
  <si>
    <t>toleano</t>
  </si>
  <si>
    <t>armarinhos</t>
  </si>
  <si>
    <t>klaus keiti</t>
  </si>
  <si>
    <t>panetone</t>
  </si>
  <si>
    <t>academia</t>
  </si>
  <si>
    <t>metro</t>
  </si>
  <si>
    <t>brasmadi</t>
  </si>
  <si>
    <t xml:space="preserve">suco </t>
  </si>
  <si>
    <t>mercado extr</t>
  </si>
  <si>
    <t>centermix</t>
  </si>
  <si>
    <t>camiseta projeto</t>
  </si>
  <si>
    <t>cavaquinho brinq</t>
  </si>
  <si>
    <t>edurado</t>
  </si>
  <si>
    <t>caca baby</t>
  </si>
  <si>
    <t>perf sumire</t>
  </si>
  <si>
    <t>agua eucalipto</t>
  </si>
  <si>
    <t>joprak</t>
  </si>
  <si>
    <t>audrey doce</t>
  </si>
  <si>
    <t>garve paes</t>
  </si>
  <si>
    <t>caldo de cana</t>
  </si>
  <si>
    <t>garage</t>
  </si>
  <si>
    <t>mercearia</t>
  </si>
  <si>
    <t>bolo audrey</t>
  </si>
  <si>
    <t>casa de paes</t>
  </si>
  <si>
    <t>mullequinho</t>
  </si>
  <si>
    <t>espetinho</t>
  </si>
  <si>
    <t>mercadio</t>
  </si>
  <si>
    <t>café no cemiterio</t>
  </si>
  <si>
    <t>bauducco metro</t>
  </si>
  <si>
    <t>confraternizacao</t>
  </si>
  <si>
    <t>deposito caio</t>
  </si>
  <si>
    <t>janta mc donalds</t>
  </si>
  <si>
    <t>rodovias</t>
  </si>
  <si>
    <t>sorvetes</t>
  </si>
  <si>
    <t>café doces</t>
  </si>
  <si>
    <t>sapato michelle</t>
  </si>
  <si>
    <t>janta ragazzo</t>
  </si>
  <si>
    <t>iogurte</t>
  </si>
  <si>
    <t>cacau show</t>
  </si>
  <si>
    <t>bolacha / gatorate</t>
  </si>
  <si>
    <t>trident</t>
  </si>
  <si>
    <t>milkshake</t>
  </si>
  <si>
    <t>pizza huts</t>
  </si>
  <si>
    <t>parc 01/06 reforma hall</t>
  </si>
  <si>
    <t>repassa arera geral</t>
  </si>
  <si>
    <t>leitura gas</t>
  </si>
  <si>
    <t>com. Gas</t>
  </si>
  <si>
    <t>café e cia</t>
  </si>
  <si>
    <t>retro</t>
  </si>
  <si>
    <t>bolacha chocolate</t>
  </si>
  <si>
    <t>cereal</t>
  </si>
  <si>
    <t>salariobase</t>
  </si>
  <si>
    <t>desconto</t>
  </si>
  <si>
    <t>adiatamento</t>
  </si>
  <si>
    <t>desconto+adiant</t>
  </si>
  <si>
    <t>decimoterceiro</t>
  </si>
  <si>
    <t>abono salrial</t>
  </si>
  <si>
    <t>salario-desconto</t>
  </si>
  <si>
    <t>salario+adiant</t>
  </si>
  <si>
    <t>messalario</t>
  </si>
  <si>
    <t xml:space="preserve">mês </t>
  </si>
  <si>
    <t>seguro de vida</t>
  </si>
  <si>
    <t>compra associa</t>
  </si>
  <si>
    <t>assist medica fix</t>
  </si>
  <si>
    <t>assist medica dept</t>
  </si>
  <si>
    <t>util. Medica</t>
  </si>
  <si>
    <t>vr associado</t>
  </si>
  <si>
    <t>inss</t>
  </si>
  <si>
    <t>irrf</t>
  </si>
  <si>
    <t>mundo das variedades</t>
  </si>
  <si>
    <t>ff transportes</t>
  </si>
  <si>
    <t>fundação abrinq</t>
  </si>
  <si>
    <t>ebanx pnp02558e345</t>
  </si>
  <si>
    <t>ec*spotify</t>
  </si>
  <si>
    <t>spotify</t>
  </si>
  <si>
    <t>taty cabelereiros</t>
  </si>
  <si>
    <t>cea sean 360</t>
  </si>
  <si>
    <t>mercado extra</t>
  </si>
  <si>
    <t>parcelamento 1/4</t>
  </si>
  <si>
    <t>androinha supermercado</t>
  </si>
  <si>
    <t>DAF ACADEMIA DE GINAST</t>
  </si>
  <si>
    <t>PROMOFARMA-LJ.08</t>
  </si>
  <si>
    <t>MAGNA SEIVA</t>
  </si>
  <si>
    <t>DEPOSITO OLIVEIRA</t>
  </si>
  <si>
    <t>PROMOFARMA TUCURUVI</t>
  </si>
  <si>
    <t>GUARDIAO - gasolina</t>
  </si>
  <si>
    <t>CARREFOUR BTU</t>
  </si>
  <si>
    <t>PERFUMARIA 2000-LJ 02</t>
  </si>
  <si>
    <t>PERSONAL</t>
  </si>
  <si>
    <t>COMER. PASTEIS TONOUTI</t>
  </si>
  <si>
    <t>EMPORIO VILA RIKA</t>
  </si>
  <si>
    <t>PEIXARIA POPULAR</t>
  </si>
  <si>
    <t>REGINA FRIOS E DERIV</t>
  </si>
  <si>
    <t>DOCERIA 7 DE ABRIL</t>
  </si>
  <si>
    <t>PROMOFARMA</t>
  </si>
  <si>
    <t>HNA*OBOTICARIO</t>
  </si>
  <si>
    <t>FURACAO DA ECONOMIA</t>
  </si>
  <si>
    <t>sonda jacana 2/2</t>
  </si>
  <si>
    <t>parcelamento 2/4</t>
  </si>
  <si>
    <t>SONDA JACANA 02/02</t>
  </si>
  <si>
    <t>parcelamento 4/4</t>
  </si>
  <si>
    <t>PARCELAMEN FATURA 03/04</t>
  </si>
  <si>
    <t>PANIF STA FILOMENA</t>
  </si>
  <si>
    <t>EBANX PNP0297CF159</t>
  </si>
  <si>
    <t>CARLOS REIS</t>
  </si>
  <si>
    <t>REGINA FRIOS E DERIVAD</t>
  </si>
  <si>
    <t>PAGTO CONTA</t>
  </si>
  <si>
    <t>SONDA JACANA 01/02</t>
  </si>
  <si>
    <t>TIM LIBERTY+40</t>
  </si>
  <si>
    <t>SUPER TROCA DE OLEO</t>
  </si>
  <si>
    <t>POSTO DE SERVICOS AVAN</t>
  </si>
  <si>
    <t>PROMOFARMA-LJ.05</t>
  </si>
  <si>
    <t>JUROS PAGAMENTO CONTAS</t>
  </si>
  <si>
    <t>IOF PAGAMENTO CONTA</t>
  </si>
  <si>
    <t>entrada pacelamento</t>
  </si>
  <si>
    <t>itau</t>
  </si>
  <si>
    <t>EBANX PNP02D9BE96A</t>
  </si>
  <si>
    <t>extra shop guarulhos</t>
  </si>
  <si>
    <t>casas bahia 1/3</t>
  </si>
  <si>
    <t>casas bahia 2/3</t>
  </si>
  <si>
    <t>casas bahia 3/3</t>
  </si>
  <si>
    <t>ESTORNO JUROS DE FINANC</t>
  </si>
  <si>
    <t>net casa</t>
  </si>
  <si>
    <t>UMEN CONFECCOES 01/02</t>
  </si>
  <si>
    <t>CARAMELLA SUCOS</t>
  </si>
  <si>
    <t>KLAUS KEITI KIMURA</t>
  </si>
  <si>
    <t>parcelamento 1/4 - 6878,85-6002,41=876,44/4=219,11</t>
  </si>
  <si>
    <t>parcelamento 3/4</t>
  </si>
  <si>
    <t>UMEN CONFECCOES 02/02</t>
  </si>
  <si>
    <t>EBANX-PNP031851FC9</t>
  </si>
  <si>
    <t>AGUA</t>
  </si>
  <si>
    <t xml:space="preserve"> IOF PARCELAMENTO FATURA</t>
  </si>
  <si>
    <t>spootfy</t>
  </si>
  <si>
    <t>cartão azul</t>
  </si>
  <si>
    <t>AMERICANAS COM 01/03</t>
  </si>
  <si>
    <t>AMERICANAS MKTPLAC01/03</t>
  </si>
  <si>
    <t>ALIMAND</t>
  </si>
  <si>
    <t>PAGSEGUROUOL*pointdosu - suco</t>
  </si>
  <si>
    <t>MINNUTO PAO LJ 5425 R</t>
  </si>
  <si>
    <t>TOLEZANO COM ALIM</t>
  </si>
  <si>
    <t>AMERICANAS COM 01/02</t>
  </si>
  <si>
    <t>BURO</t>
  </si>
  <si>
    <t>AMERICANAS COM 02/02</t>
  </si>
  <si>
    <t>AMERICANAS COM 02/03</t>
  </si>
  <si>
    <t>AMERICANAS MKTPLAC02/03</t>
  </si>
  <si>
    <t>ZUL DIGITAL</t>
  </si>
  <si>
    <t>AMERICANAS.COM capa pra sofa</t>
  </si>
  <si>
    <t>ASSAI ATACADISTA</t>
  </si>
  <si>
    <t>CLUBE GUAPIRA 01/02</t>
  </si>
  <si>
    <t>MC DONALDS TUC</t>
  </si>
  <si>
    <t>CENTERMIX</t>
  </si>
  <si>
    <t>SUBWAY TUCURUVI</t>
  </si>
  <si>
    <t>VITALITA HAIR</t>
  </si>
  <si>
    <t>DOCERIA SARAH</t>
  </si>
  <si>
    <t>andorinha hiper</t>
  </si>
  <si>
    <t>lanchonete corsini</t>
  </si>
  <si>
    <t>stock north calcados</t>
  </si>
  <si>
    <t>drogaria nova estrela</t>
  </si>
  <si>
    <t>dorg soa paulo</t>
  </si>
  <si>
    <t>pernambucanas</t>
  </si>
  <si>
    <t>marginal grill</t>
  </si>
  <si>
    <t>AMERICANAS COM 03/03</t>
  </si>
  <si>
    <t>AMERICANAS MKTPLAC03/03</t>
  </si>
  <si>
    <t>CLUBE GUAPIRA 02/02</t>
  </si>
  <si>
    <t>tim</t>
  </si>
  <si>
    <t>MARIA BONITA COSMETICO</t>
  </si>
  <si>
    <t>KING SUPLEMENTOS 01/03</t>
  </si>
  <si>
    <t>KING SUPLEMENTOS 02/03</t>
  </si>
  <si>
    <t>KING SUPLEMENTOS 03/03</t>
  </si>
  <si>
    <t>AUTO POSTO F458 ITALIA</t>
  </si>
  <si>
    <t>MIX COMERCIO DE ROUPAS</t>
  </si>
  <si>
    <t>PANIF N S PROVIDENCIA</t>
  </si>
  <si>
    <t>LOJAS RENASCER</t>
  </si>
  <si>
    <t>presentes</t>
  </si>
  <si>
    <t>XIQUE XIQUE</t>
  </si>
  <si>
    <t>ZHU WEICHI</t>
  </si>
  <si>
    <t>ARMARINHOS AGUA FRIA</t>
  </si>
  <si>
    <t>SUPERMERCADO TOLEZANO</t>
  </si>
  <si>
    <t>SUMIRE</t>
  </si>
  <si>
    <t>PAG*comidaarabe</t>
  </si>
  <si>
    <t>MC DONALDS ZUM</t>
  </si>
  <si>
    <t>ANDORINHA HIPER</t>
  </si>
  <si>
    <t>marcio bernardinelli01/02</t>
  </si>
  <si>
    <t>di pollini</t>
  </si>
  <si>
    <t>ronchetti</t>
  </si>
  <si>
    <t>promofarma LJ 32</t>
  </si>
  <si>
    <t>lojas renner fl 4</t>
  </si>
  <si>
    <t>mesutilizacao</t>
  </si>
  <si>
    <t>datadeposito</t>
  </si>
  <si>
    <t>formaentrada</t>
  </si>
  <si>
    <t>valorutlizado</t>
  </si>
  <si>
    <t>dia_mes</t>
  </si>
  <si>
    <t>limite</t>
  </si>
  <si>
    <t>saldo+limite</t>
  </si>
  <si>
    <t>meta variavel</t>
  </si>
  <si>
    <t>custo meta</t>
  </si>
  <si>
    <t>saldo meta</t>
  </si>
  <si>
    <t>saldo meta+limite</t>
  </si>
  <si>
    <t>dif_real_meta_saldo</t>
  </si>
  <si>
    <t>TOTAL</t>
  </si>
  <si>
    <t>MEDIA</t>
  </si>
  <si>
    <t>Férias no mês</t>
  </si>
  <si>
    <t xml:space="preserve">Férias 1/3 no mês </t>
  </si>
  <si>
    <t>DESCONTO_INDEF</t>
  </si>
  <si>
    <t>valorfuturo</t>
  </si>
  <si>
    <t>devolução</t>
  </si>
  <si>
    <t>decimo terceiro</t>
  </si>
  <si>
    <t>rest ir</t>
  </si>
  <si>
    <t>saldo 2016</t>
  </si>
  <si>
    <t>salario</t>
  </si>
  <si>
    <t>estorno</t>
  </si>
  <si>
    <t>FÉRIAS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</si>
</sst>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d/m/yyyy"/>
    <numFmt numFmtId="165" formatCode="d/mmm"/>
    <numFmt numFmtId="166" formatCode="_(&quot;R$ &quot;* #,##0.00_);_(&quot;R$ &quot;* \(#,##0.00\);_(&quot;R$ &quot;* \-??_);_(@_)"/>
    <numFmt numFmtId="167" formatCode="[$-416]mmmm\-yy;@"/>
  </numFmts>
  <fonts count="12" x14ac:knownFonts="1">
    <font>
      <sz val="10"/>
      <name val="Arial"/>
      <family val="2"/>
      <charset val="1"/>
    </font>
    <font>
      <sz val="10"/>
      <color rgb="FFFF0000"/>
      <name val="Arial"/>
      <family val="2"/>
      <charset val="1"/>
    </font>
    <font>
      <sz val="8"/>
      <name val="Arial"/>
      <family val="2"/>
      <charset val="1"/>
    </font>
    <font>
      <sz val="10"/>
      <name val="Arial"/>
      <family val="2"/>
      <charset val="1"/>
    </font>
    <font>
      <b/>
      <sz val="10"/>
      <name val="Arial"/>
      <family val="2"/>
    </font>
    <font>
      <sz val="10"/>
      <name val="Arial"/>
      <family val="2"/>
      <charset val="1"/>
    </font>
    <font>
      <sz val="10"/>
      <color rgb="FFFF0000"/>
      <name val="Arial"/>
      <family val="2"/>
      <charset val="1"/>
    </font>
    <font>
      <sz val="10"/>
      <name val="Arial"/>
      <family val="2"/>
    </font>
    <font>
      <sz val="11"/>
      <color rgb="FFFF0000"/>
      <name val="Calibri"/>
      <family val="2"/>
      <charset val="1"/>
    </font>
    <font>
      <b/>
      <sz val="10"/>
      <color rgb="FFFF0000"/>
      <name val="Arial"/>
      <family val="2"/>
    </font>
    <font>
      <sz val="10"/>
      <color theme="0"/>
      <name val="Arial"/>
      <family val="2"/>
      <charset val="1"/>
    </font>
    <font>
      <b/>
      <sz val="10"/>
      <color theme="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D9D9D9"/>
        <bgColor rgb="FFC0C0C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C0C0C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rgb="FFFFFF00"/>
      </patternFill>
    </fill>
    <fill>
      <patternFill patternType="solid">
        <fgColor theme="0" tint="-4.9989318521683403E-2"/>
        <bgColor rgb="FFFFFF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rgb="FFFFFF00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6" fontId="3" fillId="0" borderId="0" applyBorder="0" applyProtection="0"/>
  </cellStyleXfs>
  <cellXfs count="94">
    <xf numFmtId="0" fontId="0" fillId="0" borderId="0" xfId="0"/>
    <xf numFmtId="164" fontId="0" fillId="0" borderId="0" xfId="0" applyNumberFormat="1"/>
    <xf numFmtId="0" fontId="1" fillId="0" borderId="0" xfId="0" applyFont="1"/>
    <xf numFmtId="2" fontId="0" fillId="0" borderId="0" xfId="0" applyNumberFormat="1"/>
    <xf numFmtId="0" fontId="0" fillId="3" borderId="0" xfId="0" applyFill="1"/>
    <xf numFmtId="0" fontId="1" fillId="3" borderId="0" xfId="0" applyFont="1" applyFill="1"/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wrapText="1"/>
    </xf>
    <xf numFmtId="164" fontId="0" fillId="0" borderId="0" xfId="0" applyNumberFormat="1" applyAlignment="1">
      <alignment vertical="top" wrapText="1"/>
    </xf>
    <xf numFmtId="0" fontId="2" fillId="3" borderId="0" xfId="0" applyFont="1" applyFill="1" applyAlignment="1">
      <alignment horizontal="left" vertical="center"/>
    </xf>
    <xf numFmtId="164" fontId="0" fillId="3" borderId="0" xfId="0" applyNumberFormat="1" applyFill="1"/>
    <xf numFmtId="166" fontId="3" fillId="0" borderId="0" xfId="1"/>
    <xf numFmtId="164" fontId="1" fillId="0" borderId="0" xfId="0" applyNumberFormat="1" applyFont="1"/>
    <xf numFmtId="164" fontId="1" fillId="3" borderId="0" xfId="0" applyNumberFormat="1" applyFont="1" applyFill="1"/>
    <xf numFmtId="14" fontId="0" fillId="0" borderId="0" xfId="0" applyNumberFormat="1"/>
    <xf numFmtId="0" fontId="1" fillId="5" borderId="0" xfId="0" applyFont="1" applyFill="1"/>
    <xf numFmtId="0" fontId="1" fillId="4" borderId="0" xfId="0" applyFont="1" applyFill="1"/>
    <xf numFmtId="0" fontId="5" fillId="0" borderId="0" xfId="0" applyFont="1"/>
    <xf numFmtId="0" fontId="6" fillId="0" borderId="0" xfId="0" applyFont="1"/>
    <xf numFmtId="164" fontId="6" fillId="0" borderId="0" xfId="0" applyNumberFormat="1" applyFont="1"/>
    <xf numFmtId="0" fontId="5" fillId="3" borderId="0" xfId="0" applyFont="1" applyFill="1"/>
    <xf numFmtId="0" fontId="6" fillId="3" borderId="0" xfId="0" applyFont="1" applyFill="1"/>
    <xf numFmtId="164" fontId="6" fillId="3" borderId="0" xfId="0" applyNumberFormat="1" applyFont="1" applyFill="1"/>
    <xf numFmtId="165" fontId="5" fillId="3" borderId="0" xfId="0" applyNumberFormat="1" applyFont="1" applyFill="1"/>
    <xf numFmtId="16" fontId="5" fillId="0" borderId="0" xfId="0" applyNumberFormat="1" applyFont="1"/>
    <xf numFmtId="0" fontId="5" fillId="4" borderId="0" xfId="0" applyFont="1" applyFill="1"/>
    <xf numFmtId="166" fontId="6" fillId="4" borderId="0" xfId="1" applyFont="1" applyFill="1"/>
    <xf numFmtId="0" fontId="6" fillId="4" borderId="0" xfId="0" applyFont="1" applyFill="1"/>
    <xf numFmtId="14" fontId="5" fillId="0" borderId="0" xfId="0" applyNumberFormat="1" applyFont="1"/>
    <xf numFmtId="167" fontId="5" fillId="0" borderId="0" xfId="0" applyNumberFormat="1" applyFont="1"/>
    <xf numFmtId="0" fontId="6" fillId="5" borderId="0" xfId="0" applyFont="1" applyFill="1"/>
    <xf numFmtId="165" fontId="0" fillId="0" borderId="0" xfId="0" applyNumberFormat="1"/>
    <xf numFmtId="164" fontId="1" fillId="5" borderId="0" xfId="0" applyNumberFormat="1" applyFont="1" applyFill="1"/>
    <xf numFmtId="0" fontId="1" fillId="4" borderId="0" xfId="0" applyFont="1" applyFill="1" applyAlignment="1">
      <alignment horizontal="left" vertical="center"/>
    </xf>
    <xf numFmtId="14" fontId="1" fillId="4" borderId="0" xfId="0" applyNumberFormat="1" applyFont="1" applyFill="1"/>
    <xf numFmtId="0" fontId="0" fillId="0" borderId="0" xfId="0" applyAlignment="1">
      <alignment horizontal="left" vertical="center"/>
    </xf>
    <xf numFmtId="0" fontId="8" fillId="0" borderId="0" xfId="0" applyFont="1"/>
    <xf numFmtId="166" fontId="8" fillId="0" borderId="0" xfId="1" applyFont="1"/>
    <xf numFmtId="4" fontId="0" fillId="0" borderId="0" xfId="0" applyNumberFormat="1"/>
    <xf numFmtId="0" fontId="7" fillId="0" borderId="0" xfId="0" applyFont="1"/>
    <xf numFmtId="164" fontId="7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right"/>
    </xf>
    <xf numFmtId="164" fontId="7" fillId="0" borderId="0" xfId="0" applyNumberFormat="1" applyFont="1" applyAlignment="1">
      <alignment horizontal="right"/>
    </xf>
    <xf numFmtId="14" fontId="7" fillId="0" borderId="0" xfId="0" applyNumberFormat="1" applyFont="1" applyAlignment="1">
      <alignment horizontal="right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 wrapText="1"/>
    </xf>
    <xf numFmtId="14" fontId="7" fillId="0" borderId="0" xfId="0" applyNumberFormat="1" applyFont="1" applyAlignment="1">
      <alignment horizontal="right" vertical="center" wrapText="1"/>
    </xf>
    <xf numFmtId="0" fontId="7" fillId="0" borderId="0" xfId="0" applyFont="1" applyAlignment="1">
      <alignment horizontal="left" vertical="center" wrapText="1"/>
    </xf>
    <xf numFmtId="164" fontId="0" fillId="2" borderId="0" xfId="0" applyNumberFormat="1" applyFill="1"/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66" fontId="3" fillId="0" borderId="1" xfId="1" applyBorder="1"/>
    <xf numFmtId="0" fontId="1" fillId="8" borderId="1" xfId="0" applyFont="1" applyFill="1" applyBorder="1" applyAlignment="1">
      <alignment horizontal="center"/>
    </xf>
    <xf numFmtId="0" fontId="9" fillId="9" borderId="1" xfId="0" applyFont="1" applyFill="1" applyBorder="1" applyAlignment="1">
      <alignment horizontal="center"/>
    </xf>
    <xf numFmtId="0" fontId="1" fillId="9" borderId="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164" fontId="0" fillId="0" borderId="1" xfId="0" applyNumberFormat="1" applyBorder="1"/>
    <xf numFmtId="166" fontId="4" fillId="0" borderId="1" xfId="1" applyFont="1" applyBorder="1"/>
    <xf numFmtId="166" fontId="1" fillId="2" borderId="1" xfId="1" applyFont="1" applyFill="1" applyBorder="1"/>
    <xf numFmtId="166" fontId="10" fillId="10" borderId="1" xfId="1" applyFont="1" applyFill="1" applyBorder="1"/>
    <xf numFmtId="166" fontId="0" fillId="7" borderId="1" xfId="1" applyFont="1" applyFill="1" applyBorder="1"/>
    <xf numFmtId="166" fontId="4" fillId="4" borderId="1" xfId="1" applyFont="1" applyFill="1" applyBorder="1"/>
    <xf numFmtId="166" fontId="0" fillId="4" borderId="1" xfId="1" applyFont="1" applyFill="1" applyBorder="1"/>
    <xf numFmtId="166" fontId="1" fillId="8" borderId="1" xfId="1" applyFont="1" applyFill="1" applyBorder="1"/>
    <xf numFmtId="166" fontId="9" fillId="9" borderId="1" xfId="1" applyFont="1" applyFill="1" applyBorder="1"/>
    <xf numFmtId="166" fontId="1" fillId="9" borderId="2" xfId="1" applyFont="1" applyFill="1" applyBorder="1"/>
    <xf numFmtId="43" fontId="4" fillId="6" borderId="4" xfId="0" applyNumberFormat="1" applyFont="1" applyFill="1" applyBorder="1" applyAlignment="1">
      <alignment horizontal="center"/>
    </xf>
    <xf numFmtId="166" fontId="4" fillId="0" borderId="5" xfId="1" applyFont="1" applyBorder="1"/>
    <xf numFmtId="166" fontId="1" fillId="2" borderId="5" xfId="1" applyFont="1" applyFill="1" applyBorder="1"/>
    <xf numFmtId="166" fontId="10" fillId="10" borderId="5" xfId="1" applyFont="1" applyFill="1" applyBorder="1"/>
    <xf numFmtId="166" fontId="0" fillId="7" borderId="5" xfId="1" applyFont="1" applyFill="1" applyBorder="1"/>
    <xf numFmtId="166" fontId="4" fillId="4" borderId="5" xfId="1" applyFont="1" applyFill="1" applyBorder="1"/>
    <xf numFmtId="166" fontId="3" fillId="0" borderId="5" xfId="1" applyBorder="1"/>
    <xf numFmtId="166" fontId="3" fillId="11" borderId="6" xfId="1" applyFill="1" applyBorder="1"/>
    <xf numFmtId="166" fontId="4" fillId="11" borderId="7" xfId="1" applyFont="1" applyFill="1" applyBorder="1"/>
    <xf numFmtId="166" fontId="3" fillId="11" borderId="7" xfId="1" applyFill="1" applyBorder="1"/>
    <xf numFmtId="166" fontId="0" fillId="11" borderId="7" xfId="1" applyFont="1" applyFill="1" applyBorder="1"/>
    <xf numFmtId="166" fontId="11" fillId="11" borderId="7" xfId="1" applyFont="1" applyFill="1" applyBorder="1"/>
    <xf numFmtId="166" fontId="0" fillId="11" borderId="8" xfId="1" applyFont="1" applyFill="1" applyBorder="1"/>
    <xf numFmtId="166" fontId="4" fillId="6" borderId="3" xfId="1" applyFont="1" applyFill="1" applyBorder="1" applyAlignment="1">
      <alignment horizontal="center"/>
    </xf>
    <xf numFmtId="166" fontId="3" fillId="11" borderId="9" xfId="1" applyFill="1" applyBorder="1"/>
    <xf numFmtId="166" fontId="4" fillId="11" borderId="10" xfId="1" applyFont="1" applyFill="1" applyBorder="1"/>
    <xf numFmtId="166" fontId="3" fillId="11" borderId="10" xfId="1" applyFill="1" applyBorder="1"/>
    <xf numFmtId="166" fontId="0" fillId="11" borderId="10" xfId="1" applyFont="1" applyFill="1" applyBorder="1"/>
    <xf numFmtId="166" fontId="0" fillId="11" borderId="11" xfId="1" applyFont="1" applyFill="1" applyBorder="1"/>
    <xf numFmtId="166" fontId="4" fillId="6" borderId="12" xfId="1" applyFon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16" fontId="0" fillId="0" borderId="0" xfId="0" applyNumberFormat="1"/>
  </cellXfs>
  <cellStyles count="2">
    <cellStyle name="Moeda" xfId="1" builtinId="4"/>
    <cellStyle name="Normal" xfId="0" builtinId="0"/>
  </cellStyles>
  <dxfs count="3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alidacao05_12_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rada"/>
      <sheetName val="desconto_folha"/>
      <sheetName val="utilizacao"/>
      <sheetName val="debito"/>
      <sheetName val="portoseguro"/>
      <sheetName val="credito"/>
      <sheetName val="planilha"/>
      <sheetName val="atual"/>
    </sheetNames>
    <sheetDataSet>
      <sheetData sheetId="0" refreshError="1"/>
      <sheetData sheetId="1" refreshError="1"/>
      <sheetData sheetId="2">
        <row r="5">
          <cell r="A5">
            <v>42887</v>
          </cell>
        </row>
        <row r="9">
          <cell r="A9">
            <v>42917</v>
          </cell>
        </row>
        <row r="13">
          <cell r="A13">
            <v>42948</v>
          </cell>
        </row>
        <row r="16">
          <cell r="A16">
            <v>42979</v>
          </cell>
        </row>
        <row r="20">
          <cell r="A20">
            <v>43009</v>
          </cell>
        </row>
        <row r="23">
          <cell r="A23">
            <v>43040</v>
          </cell>
        </row>
        <row r="26">
          <cell r="A26">
            <v>43070</v>
          </cell>
        </row>
      </sheetData>
      <sheetData sheetId="3" refreshError="1"/>
      <sheetData sheetId="4">
        <row r="2">
          <cell r="B2">
            <v>4.4000000000000004</v>
          </cell>
          <cell r="F2">
            <v>42979</v>
          </cell>
          <cell r="G2">
            <v>0</v>
          </cell>
        </row>
        <row r="3">
          <cell r="B3">
            <v>4.99</v>
          </cell>
          <cell r="F3">
            <v>42979</v>
          </cell>
          <cell r="G3">
            <v>0</v>
          </cell>
        </row>
        <row r="4">
          <cell r="B4">
            <v>4.99</v>
          </cell>
          <cell r="F4">
            <v>43009</v>
          </cell>
          <cell r="G4">
            <v>0</v>
          </cell>
        </row>
        <row r="5">
          <cell r="B5">
            <v>7.9</v>
          </cell>
          <cell r="F5">
            <v>43009</v>
          </cell>
          <cell r="G5">
            <v>0</v>
          </cell>
        </row>
        <row r="6">
          <cell r="B6">
            <v>27.9</v>
          </cell>
          <cell r="F6">
            <v>43009</v>
          </cell>
          <cell r="G6">
            <v>0</v>
          </cell>
        </row>
        <row r="7">
          <cell r="B7">
            <v>10</v>
          </cell>
          <cell r="F7">
            <v>43009</v>
          </cell>
          <cell r="G7">
            <v>0</v>
          </cell>
        </row>
        <row r="8">
          <cell r="B8">
            <v>3.08</v>
          </cell>
          <cell r="F8">
            <v>43009</v>
          </cell>
          <cell r="G8">
            <v>0</v>
          </cell>
        </row>
        <row r="9">
          <cell r="B9">
            <v>7.48</v>
          </cell>
          <cell r="F9">
            <v>43009</v>
          </cell>
          <cell r="G9">
            <v>0</v>
          </cell>
        </row>
        <row r="10">
          <cell r="B10">
            <v>11</v>
          </cell>
          <cell r="F10">
            <v>43009</v>
          </cell>
          <cell r="G10">
            <v>0</v>
          </cell>
        </row>
        <row r="11">
          <cell r="B11">
            <v>2.4500000000000002</v>
          </cell>
          <cell r="F11">
            <v>43009</v>
          </cell>
          <cell r="G11">
            <v>0</v>
          </cell>
        </row>
        <row r="12">
          <cell r="B12">
            <v>52.2</v>
          </cell>
          <cell r="F12">
            <v>43009</v>
          </cell>
          <cell r="G12">
            <v>0</v>
          </cell>
        </row>
        <row r="13">
          <cell r="B13">
            <v>27.9</v>
          </cell>
          <cell r="F13">
            <v>43040</v>
          </cell>
          <cell r="G13">
            <v>0</v>
          </cell>
        </row>
        <row r="14">
          <cell r="B14">
            <v>2.54</v>
          </cell>
          <cell r="F14">
            <v>43040</v>
          </cell>
          <cell r="G14">
            <v>0</v>
          </cell>
        </row>
      </sheetData>
      <sheetData sheetId="5">
        <row r="2">
          <cell r="B2">
            <v>93</v>
          </cell>
          <cell r="F2">
            <v>42856</v>
          </cell>
          <cell r="G2">
            <v>0</v>
          </cell>
        </row>
        <row r="3">
          <cell r="B3">
            <v>30</v>
          </cell>
          <cell r="F3">
            <v>42856</v>
          </cell>
          <cell r="G3">
            <v>0</v>
          </cell>
        </row>
        <row r="4">
          <cell r="B4">
            <v>81.96</v>
          </cell>
          <cell r="F4">
            <v>42856</v>
          </cell>
          <cell r="G4">
            <v>0</v>
          </cell>
        </row>
        <row r="5">
          <cell r="B5">
            <v>33</v>
          </cell>
          <cell r="F5">
            <v>42856</v>
          </cell>
          <cell r="G5">
            <v>0</v>
          </cell>
        </row>
        <row r="6">
          <cell r="B6">
            <v>16.899999999999999</v>
          </cell>
          <cell r="F6">
            <v>42887</v>
          </cell>
          <cell r="G6">
            <v>0</v>
          </cell>
        </row>
        <row r="7">
          <cell r="B7">
            <v>16.899999999999999</v>
          </cell>
          <cell r="F7">
            <v>42856</v>
          </cell>
          <cell r="G7">
            <v>0</v>
          </cell>
        </row>
        <row r="8">
          <cell r="B8">
            <v>70</v>
          </cell>
          <cell r="F8">
            <v>42856</v>
          </cell>
          <cell r="G8">
            <v>0</v>
          </cell>
        </row>
        <row r="9">
          <cell r="B9">
            <v>31.99</v>
          </cell>
          <cell r="F9">
            <v>42856</v>
          </cell>
          <cell r="G9">
            <v>0</v>
          </cell>
        </row>
        <row r="10">
          <cell r="B10">
            <v>10</v>
          </cell>
          <cell r="F10">
            <v>42856</v>
          </cell>
          <cell r="G10">
            <v>0</v>
          </cell>
        </row>
        <row r="11">
          <cell r="B11">
            <v>33</v>
          </cell>
          <cell r="F11">
            <v>42856</v>
          </cell>
          <cell r="G11">
            <v>0</v>
          </cell>
        </row>
        <row r="12">
          <cell r="B12">
            <v>0</v>
          </cell>
          <cell r="F12">
            <v>42887</v>
          </cell>
          <cell r="G12">
            <v>0</v>
          </cell>
        </row>
        <row r="13">
          <cell r="B13">
            <v>157.93</v>
          </cell>
          <cell r="F13">
            <v>42887</v>
          </cell>
          <cell r="G13">
            <v>0</v>
          </cell>
        </row>
        <row r="14">
          <cell r="B14">
            <v>1567.22</v>
          </cell>
          <cell r="F14">
            <v>42856</v>
          </cell>
          <cell r="G14">
            <v>0</v>
          </cell>
        </row>
        <row r="15">
          <cell r="B15">
            <v>118</v>
          </cell>
          <cell r="F15">
            <v>42887</v>
          </cell>
          <cell r="G15">
            <v>0</v>
          </cell>
        </row>
        <row r="16">
          <cell r="B16">
            <v>19.97</v>
          </cell>
          <cell r="F16">
            <v>42887</v>
          </cell>
          <cell r="G16">
            <v>0</v>
          </cell>
        </row>
        <row r="17">
          <cell r="B17">
            <v>12</v>
          </cell>
          <cell r="F17">
            <v>42887</v>
          </cell>
          <cell r="G17">
            <v>0</v>
          </cell>
        </row>
        <row r="18">
          <cell r="B18">
            <v>30.7</v>
          </cell>
          <cell r="F18">
            <v>42887</v>
          </cell>
          <cell r="G18">
            <v>0</v>
          </cell>
        </row>
        <row r="19">
          <cell r="B19">
            <v>33</v>
          </cell>
          <cell r="F19">
            <v>42887</v>
          </cell>
          <cell r="G19">
            <v>0</v>
          </cell>
        </row>
        <row r="20">
          <cell r="B20">
            <v>10</v>
          </cell>
          <cell r="F20">
            <v>42887</v>
          </cell>
          <cell r="G20">
            <v>0</v>
          </cell>
        </row>
        <row r="21">
          <cell r="B21">
            <v>11.82</v>
          </cell>
          <cell r="F21">
            <v>42887</v>
          </cell>
          <cell r="G21">
            <v>0</v>
          </cell>
        </row>
        <row r="22">
          <cell r="B22">
            <v>181.26</v>
          </cell>
          <cell r="F22">
            <v>42887</v>
          </cell>
          <cell r="G22">
            <v>0</v>
          </cell>
        </row>
        <row r="23">
          <cell r="B23">
            <v>46.18</v>
          </cell>
          <cell r="F23">
            <v>42887</v>
          </cell>
          <cell r="G23">
            <v>0</v>
          </cell>
        </row>
        <row r="24">
          <cell r="B24">
            <v>20</v>
          </cell>
          <cell r="F24">
            <v>42887</v>
          </cell>
          <cell r="G24">
            <v>0</v>
          </cell>
        </row>
        <row r="25">
          <cell r="B25">
            <v>44.5</v>
          </cell>
          <cell r="F25">
            <v>42887</v>
          </cell>
          <cell r="G25">
            <v>0</v>
          </cell>
        </row>
        <row r="26">
          <cell r="B26">
            <v>70.790000000000006</v>
          </cell>
          <cell r="F26">
            <v>42887</v>
          </cell>
          <cell r="G26">
            <v>0</v>
          </cell>
        </row>
        <row r="27">
          <cell r="B27">
            <v>14.97</v>
          </cell>
          <cell r="F27">
            <v>42887</v>
          </cell>
          <cell r="G27">
            <v>0</v>
          </cell>
        </row>
        <row r="28">
          <cell r="B28">
            <v>10</v>
          </cell>
          <cell r="F28">
            <v>42887</v>
          </cell>
          <cell r="G28">
            <v>0</v>
          </cell>
        </row>
        <row r="29">
          <cell r="B29">
            <v>21.65</v>
          </cell>
          <cell r="F29">
            <v>42887</v>
          </cell>
          <cell r="G29">
            <v>0</v>
          </cell>
        </row>
        <row r="30">
          <cell r="B30">
            <v>13.8</v>
          </cell>
          <cell r="F30">
            <v>42887</v>
          </cell>
          <cell r="G30">
            <v>0</v>
          </cell>
        </row>
        <row r="31">
          <cell r="B31">
            <v>9.6</v>
          </cell>
          <cell r="F31">
            <v>42887</v>
          </cell>
          <cell r="G31">
            <v>0</v>
          </cell>
        </row>
        <row r="32">
          <cell r="B32">
            <v>37.81</v>
          </cell>
          <cell r="F32">
            <v>42887</v>
          </cell>
          <cell r="G32">
            <v>0</v>
          </cell>
        </row>
        <row r="33">
          <cell r="B33">
            <v>23.96</v>
          </cell>
          <cell r="F33">
            <v>42887</v>
          </cell>
          <cell r="G33">
            <v>0</v>
          </cell>
        </row>
        <row r="34">
          <cell r="B34">
            <v>177.83</v>
          </cell>
          <cell r="F34">
            <v>42887</v>
          </cell>
          <cell r="G34">
            <v>0</v>
          </cell>
        </row>
        <row r="35">
          <cell r="B35">
            <v>22.9</v>
          </cell>
          <cell r="F35">
            <v>42887</v>
          </cell>
          <cell r="G35">
            <v>0</v>
          </cell>
        </row>
        <row r="36">
          <cell r="B36">
            <v>172.8</v>
          </cell>
          <cell r="F36">
            <v>42887</v>
          </cell>
          <cell r="G36">
            <v>0</v>
          </cell>
        </row>
        <row r="37">
          <cell r="B37">
            <v>158.80000000000001</v>
          </cell>
          <cell r="F37">
            <v>42887</v>
          </cell>
          <cell r="G37">
            <v>0</v>
          </cell>
        </row>
        <row r="38">
          <cell r="B38">
            <v>123.1</v>
          </cell>
          <cell r="F38">
            <v>42887</v>
          </cell>
          <cell r="G38">
            <v>0</v>
          </cell>
        </row>
        <row r="39">
          <cell r="B39">
            <v>0</v>
          </cell>
          <cell r="F39">
            <v>42948</v>
          </cell>
          <cell r="G39">
            <v>1</v>
          </cell>
        </row>
        <row r="40">
          <cell r="B40">
            <v>70.94</v>
          </cell>
          <cell r="F40">
            <v>42887</v>
          </cell>
          <cell r="G40">
            <v>0</v>
          </cell>
        </row>
        <row r="41">
          <cell r="B41">
            <v>81.760000000000005</v>
          </cell>
          <cell r="F41">
            <v>42887</v>
          </cell>
          <cell r="G41">
            <v>0</v>
          </cell>
        </row>
        <row r="42">
          <cell r="B42">
            <v>4</v>
          </cell>
          <cell r="F42">
            <v>42887</v>
          </cell>
          <cell r="G42">
            <v>0</v>
          </cell>
        </row>
        <row r="43">
          <cell r="B43">
            <v>83.08</v>
          </cell>
          <cell r="F43">
            <v>42887</v>
          </cell>
          <cell r="G43">
            <v>0</v>
          </cell>
        </row>
        <row r="44">
          <cell r="B44">
            <v>89.8</v>
          </cell>
          <cell r="F44">
            <v>42887</v>
          </cell>
          <cell r="G44">
            <v>0</v>
          </cell>
        </row>
        <row r="45">
          <cell r="B45">
            <v>0</v>
          </cell>
          <cell r="F45">
            <v>42887</v>
          </cell>
          <cell r="G45">
            <v>0</v>
          </cell>
        </row>
        <row r="46">
          <cell r="B46">
            <v>33</v>
          </cell>
          <cell r="F46">
            <v>42887</v>
          </cell>
          <cell r="G46">
            <v>0</v>
          </cell>
        </row>
        <row r="47">
          <cell r="B47">
            <v>121.59</v>
          </cell>
          <cell r="F47">
            <v>42948</v>
          </cell>
          <cell r="G47">
            <v>1</v>
          </cell>
        </row>
        <row r="48">
          <cell r="B48">
            <v>1567.22</v>
          </cell>
          <cell r="F48">
            <v>42887</v>
          </cell>
          <cell r="G48">
            <v>0</v>
          </cell>
        </row>
        <row r="49">
          <cell r="B49">
            <v>91.44</v>
          </cell>
          <cell r="F49">
            <v>42948</v>
          </cell>
          <cell r="G49">
            <v>1</v>
          </cell>
        </row>
        <row r="50">
          <cell r="B50">
            <v>89.8</v>
          </cell>
          <cell r="F50">
            <v>42856</v>
          </cell>
          <cell r="G50">
            <v>0</v>
          </cell>
        </row>
        <row r="51">
          <cell r="B51">
            <v>22.9</v>
          </cell>
          <cell r="F51">
            <v>42856</v>
          </cell>
          <cell r="G51">
            <v>0</v>
          </cell>
        </row>
        <row r="52">
          <cell r="B52">
            <v>89.8</v>
          </cell>
          <cell r="F52">
            <v>42948</v>
          </cell>
          <cell r="G52">
            <v>1</v>
          </cell>
        </row>
        <row r="53">
          <cell r="B53">
            <v>27.9</v>
          </cell>
          <cell r="F53">
            <v>42948</v>
          </cell>
          <cell r="G53">
            <v>1</v>
          </cell>
        </row>
        <row r="54">
          <cell r="B54">
            <v>33</v>
          </cell>
          <cell r="F54">
            <v>42948</v>
          </cell>
          <cell r="G54">
            <v>1</v>
          </cell>
        </row>
        <row r="55">
          <cell r="B55">
            <v>1567.22</v>
          </cell>
          <cell r="F55">
            <v>42948</v>
          </cell>
          <cell r="G55">
            <v>1</v>
          </cell>
        </row>
        <row r="56">
          <cell r="B56">
            <v>89.8</v>
          </cell>
          <cell r="F56">
            <v>42979</v>
          </cell>
          <cell r="G56">
            <v>1</v>
          </cell>
        </row>
        <row r="57">
          <cell r="B57">
            <v>22.9</v>
          </cell>
          <cell r="F57">
            <v>42979</v>
          </cell>
          <cell r="G57">
            <v>1</v>
          </cell>
        </row>
        <row r="58">
          <cell r="B58">
            <v>33</v>
          </cell>
          <cell r="F58">
            <v>42979</v>
          </cell>
          <cell r="G58">
            <v>1</v>
          </cell>
        </row>
        <row r="59">
          <cell r="B59">
            <v>1567.22</v>
          </cell>
          <cell r="F59">
            <v>42917</v>
          </cell>
          <cell r="G59">
            <v>0</v>
          </cell>
        </row>
        <row r="60">
          <cell r="B60">
            <v>-172.8</v>
          </cell>
          <cell r="F60">
            <v>42917</v>
          </cell>
          <cell r="G60">
            <v>0</v>
          </cell>
        </row>
        <row r="61">
          <cell r="B61">
            <v>11</v>
          </cell>
          <cell r="F61">
            <v>42917</v>
          </cell>
          <cell r="G61">
            <v>0</v>
          </cell>
        </row>
        <row r="62">
          <cell r="B62">
            <v>23.79</v>
          </cell>
          <cell r="F62">
            <v>42917</v>
          </cell>
          <cell r="G62">
            <v>0</v>
          </cell>
        </row>
        <row r="63">
          <cell r="B63">
            <v>16.899999999999999</v>
          </cell>
          <cell r="F63">
            <v>42917</v>
          </cell>
          <cell r="G63">
            <v>0</v>
          </cell>
        </row>
        <row r="64">
          <cell r="B64">
            <v>10.1</v>
          </cell>
          <cell r="F64">
            <v>42917</v>
          </cell>
          <cell r="G64">
            <v>0</v>
          </cell>
        </row>
        <row r="65">
          <cell r="B65">
            <v>23.8</v>
          </cell>
          <cell r="F65">
            <v>42917</v>
          </cell>
          <cell r="G65">
            <v>0</v>
          </cell>
        </row>
        <row r="66">
          <cell r="B66">
            <v>173.01</v>
          </cell>
          <cell r="F66">
            <v>42917</v>
          </cell>
          <cell r="G66">
            <v>0</v>
          </cell>
        </row>
        <row r="67">
          <cell r="B67">
            <v>22.09</v>
          </cell>
          <cell r="F67">
            <v>42917</v>
          </cell>
          <cell r="G67">
            <v>0</v>
          </cell>
        </row>
        <row r="68">
          <cell r="B68">
            <v>1476.3</v>
          </cell>
          <cell r="F68">
            <v>42917</v>
          </cell>
          <cell r="G68">
            <v>0</v>
          </cell>
        </row>
        <row r="69">
          <cell r="B69">
            <v>121.59</v>
          </cell>
          <cell r="F69">
            <v>42917</v>
          </cell>
          <cell r="G69">
            <v>0</v>
          </cell>
        </row>
        <row r="70">
          <cell r="B70">
            <v>470.66</v>
          </cell>
          <cell r="F70">
            <v>42917</v>
          </cell>
          <cell r="G70">
            <v>0</v>
          </cell>
        </row>
        <row r="71">
          <cell r="B71">
            <v>50</v>
          </cell>
          <cell r="F71">
            <v>42917</v>
          </cell>
          <cell r="G71">
            <v>0</v>
          </cell>
        </row>
        <row r="72">
          <cell r="B72">
            <v>89.8</v>
          </cell>
          <cell r="F72">
            <v>42917</v>
          </cell>
          <cell r="G72">
            <v>0</v>
          </cell>
        </row>
        <row r="73">
          <cell r="B73">
            <v>19.989999999999998</v>
          </cell>
          <cell r="F73">
            <v>42917</v>
          </cell>
          <cell r="G73">
            <v>0</v>
          </cell>
        </row>
        <row r="74">
          <cell r="B74">
            <v>15</v>
          </cell>
          <cell r="F74">
            <v>42917</v>
          </cell>
          <cell r="G74">
            <v>0</v>
          </cell>
        </row>
        <row r="75">
          <cell r="B75">
            <v>125.14</v>
          </cell>
          <cell r="F75">
            <v>42917</v>
          </cell>
          <cell r="G75">
            <v>0</v>
          </cell>
        </row>
        <row r="76">
          <cell r="B76">
            <v>155</v>
          </cell>
          <cell r="F76">
            <v>42917</v>
          </cell>
          <cell r="G76">
            <v>0</v>
          </cell>
        </row>
        <row r="77">
          <cell r="B77">
            <v>50</v>
          </cell>
          <cell r="F77">
            <v>42917</v>
          </cell>
          <cell r="G77">
            <v>0</v>
          </cell>
        </row>
        <row r="78">
          <cell r="B78">
            <v>91.44</v>
          </cell>
          <cell r="F78">
            <v>42917</v>
          </cell>
          <cell r="G78">
            <v>0</v>
          </cell>
        </row>
        <row r="79">
          <cell r="B79">
            <v>23.98</v>
          </cell>
          <cell r="F79">
            <v>42917</v>
          </cell>
          <cell r="G79">
            <v>0</v>
          </cell>
        </row>
        <row r="80">
          <cell r="B80">
            <v>28</v>
          </cell>
          <cell r="F80">
            <v>42917</v>
          </cell>
          <cell r="G80">
            <v>0</v>
          </cell>
        </row>
        <row r="81">
          <cell r="B81">
            <v>40.28</v>
          </cell>
          <cell r="F81">
            <v>42917</v>
          </cell>
          <cell r="G81">
            <v>0</v>
          </cell>
        </row>
        <row r="82">
          <cell r="B82">
            <v>22.9</v>
          </cell>
          <cell r="F82">
            <v>42917</v>
          </cell>
          <cell r="G82">
            <v>0</v>
          </cell>
        </row>
        <row r="83">
          <cell r="B83">
            <v>33</v>
          </cell>
          <cell r="F83">
            <v>42917</v>
          </cell>
          <cell r="G83">
            <v>0</v>
          </cell>
        </row>
        <row r="84">
          <cell r="B84">
            <v>45.72</v>
          </cell>
          <cell r="F84">
            <v>42917</v>
          </cell>
          <cell r="G84">
            <v>0</v>
          </cell>
        </row>
        <row r="85">
          <cell r="B85">
            <v>13.64</v>
          </cell>
          <cell r="F85">
            <v>42917</v>
          </cell>
          <cell r="G85">
            <v>0</v>
          </cell>
        </row>
        <row r="86">
          <cell r="B86">
            <v>9.7100000000000009</v>
          </cell>
          <cell r="F86">
            <v>42917</v>
          </cell>
          <cell r="G86">
            <v>0</v>
          </cell>
        </row>
        <row r="87">
          <cell r="B87">
            <v>2074.44</v>
          </cell>
          <cell r="F87">
            <v>42917</v>
          </cell>
          <cell r="G87">
            <v>1</v>
          </cell>
        </row>
        <row r="88">
          <cell r="B88">
            <v>470.66</v>
          </cell>
          <cell r="F88">
            <v>42948</v>
          </cell>
          <cell r="G88">
            <v>1</v>
          </cell>
        </row>
        <row r="89">
          <cell r="B89">
            <v>1484.26</v>
          </cell>
          <cell r="F89">
            <v>42948</v>
          </cell>
          <cell r="G89">
            <v>1</v>
          </cell>
        </row>
        <row r="90">
          <cell r="B90">
            <v>16.899999999999999</v>
          </cell>
          <cell r="F90">
            <v>42948</v>
          </cell>
          <cell r="G90">
            <v>1</v>
          </cell>
        </row>
        <row r="91">
          <cell r="B91">
            <v>50</v>
          </cell>
          <cell r="F91">
            <v>42948</v>
          </cell>
          <cell r="G91">
            <v>1</v>
          </cell>
        </row>
        <row r="92">
          <cell r="B92">
            <v>39.159999999999997</v>
          </cell>
          <cell r="F92">
            <v>42948</v>
          </cell>
          <cell r="G92">
            <v>1</v>
          </cell>
        </row>
        <row r="93">
          <cell r="B93">
            <v>274.68</v>
          </cell>
          <cell r="F93">
            <v>42948</v>
          </cell>
          <cell r="G93">
            <v>1</v>
          </cell>
        </row>
        <row r="94">
          <cell r="B94">
            <v>274.68</v>
          </cell>
          <cell r="F94">
            <v>42979</v>
          </cell>
          <cell r="G94">
            <v>0</v>
          </cell>
        </row>
        <row r="95">
          <cell r="B95">
            <v>274.68</v>
          </cell>
          <cell r="F95">
            <v>43009</v>
          </cell>
          <cell r="G95">
            <v>0</v>
          </cell>
        </row>
        <row r="96">
          <cell r="B96">
            <v>-1.41</v>
          </cell>
          <cell r="F96">
            <v>42948</v>
          </cell>
          <cell r="G96">
            <v>1</v>
          </cell>
        </row>
        <row r="97">
          <cell r="B97">
            <v>-4.43</v>
          </cell>
          <cell r="F97">
            <v>42948</v>
          </cell>
          <cell r="G97">
            <v>1</v>
          </cell>
        </row>
        <row r="98">
          <cell r="B98">
            <v>12.22</v>
          </cell>
          <cell r="F98">
            <v>42948</v>
          </cell>
          <cell r="G98">
            <v>1</v>
          </cell>
        </row>
        <row r="99">
          <cell r="B99">
            <v>-0.04</v>
          </cell>
          <cell r="F99">
            <v>42979</v>
          </cell>
          <cell r="G99">
            <v>0</v>
          </cell>
        </row>
        <row r="100">
          <cell r="B100">
            <v>900</v>
          </cell>
          <cell r="F100">
            <v>42948</v>
          </cell>
          <cell r="G100">
            <v>1</v>
          </cell>
        </row>
        <row r="101">
          <cell r="B101">
            <v>22</v>
          </cell>
          <cell r="F101">
            <v>42948</v>
          </cell>
          <cell r="G101">
            <v>1</v>
          </cell>
        </row>
        <row r="102">
          <cell r="B102">
            <v>461.12</v>
          </cell>
          <cell r="F102">
            <v>42948</v>
          </cell>
          <cell r="G102">
            <v>1</v>
          </cell>
        </row>
        <row r="103">
          <cell r="B103">
            <v>83.5</v>
          </cell>
          <cell r="F103">
            <v>42948</v>
          </cell>
          <cell r="G103">
            <v>1</v>
          </cell>
        </row>
        <row r="104">
          <cell r="B104">
            <v>13.5</v>
          </cell>
          <cell r="F104">
            <v>42948</v>
          </cell>
          <cell r="G104">
            <v>1</v>
          </cell>
        </row>
        <row r="105">
          <cell r="B105">
            <v>9</v>
          </cell>
          <cell r="F105">
            <v>42948</v>
          </cell>
          <cell r="G105">
            <v>1</v>
          </cell>
        </row>
        <row r="106">
          <cell r="B106">
            <v>158.5</v>
          </cell>
          <cell r="F106">
            <v>42948</v>
          </cell>
          <cell r="G106">
            <v>1</v>
          </cell>
        </row>
        <row r="107">
          <cell r="B107">
            <v>15.05</v>
          </cell>
          <cell r="F107">
            <v>42948</v>
          </cell>
          <cell r="G107">
            <v>1</v>
          </cell>
        </row>
        <row r="108">
          <cell r="B108">
            <v>47.45</v>
          </cell>
          <cell r="F108">
            <v>42948</v>
          </cell>
          <cell r="G108">
            <v>1</v>
          </cell>
        </row>
        <row r="109">
          <cell r="B109">
            <v>19.3</v>
          </cell>
          <cell r="F109">
            <v>42948</v>
          </cell>
          <cell r="G109">
            <v>1</v>
          </cell>
        </row>
        <row r="110">
          <cell r="B110">
            <v>1708.45</v>
          </cell>
          <cell r="F110">
            <v>42948</v>
          </cell>
          <cell r="G110">
            <v>0</v>
          </cell>
        </row>
        <row r="111">
          <cell r="B111">
            <v>1708.45</v>
          </cell>
          <cell r="F111">
            <v>42979</v>
          </cell>
          <cell r="G111">
            <v>0</v>
          </cell>
        </row>
        <row r="112">
          <cell r="B112">
            <v>1708.45</v>
          </cell>
          <cell r="F112">
            <v>43009</v>
          </cell>
          <cell r="G112">
            <v>0</v>
          </cell>
        </row>
        <row r="113">
          <cell r="B113">
            <v>1708.45</v>
          </cell>
          <cell r="F113">
            <v>43040</v>
          </cell>
          <cell r="G113">
            <v>0</v>
          </cell>
        </row>
        <row r="114">
          <cell r="B114">
            <v>89.8</v>
          </cell>
          <cell r="F114">
            <v>43009</v>
          </cell>
          <cell r="G114">
            <v>0</v>
          </cell>
        </row>
        <row r="115">
          <cell r="B115">
            <v>22.9</v>
          </cell>
          <cell r="F115">
            <v>43009</v>
          </cell>
          <cell r="G115">
            <v>1</v>
          </cell>
        </row>
        <row r="116">
          <cell r="B116">
            <v>33</v>
          </cell>
          <cell r="F116">
            <v>43009</v>
          </cell>
          <cell r="G116">
            <v>0</v>
          </cell>
        </row>
        <row r="117">
          <cell r="B117">
            <v>89.8</v>
          </cell>
          <cell r="F117">
            <v>43040</v>
          </cell>
          <cell r="G117">
            <v>0</v>
          </cell>
        </row>
        <row r="118">
          <cell r="B118">
            <v>22.9</v>
          </cell>
          <cell r="F118">
            <v>43040</v>
          </cell>
          <cell r="G118">
            <v>1</v>
          </cell>
        </row>
        <row r="119">
          <cell r="B119">
            <v>33</v>
          </cell>
          <cell r="F119">
            <v>43040</v>
          </cell>
          <cell r="G119">
            <v>1</v>
          </cell>
        </row>
        <row r="120">
          <cell r="B120">
            <v>89.8</v>
          </cell>
          <cell r="F120">
            <v>43070</v>
          </cell>
          <cell r="G120">
            <v>1</v>
          </cell>
        </row>
        <row r="121">
          <cell r="B121">
            <v>22.9</v>
          </cell>
          <cell r="F121">
            <v>43070</v>
          </cell>
          <cell r="G121">
            <v>1</v>
          </cell>
        </row>
        <row r="122">
          <cell r="B122">
            <v>33</v>
          </cell>
          <cell r="F122">
            <v>43070</v>
          </cell>
          <cell r="G122">
            <v>0</v>
          </cell>
        </row>
        <row r="123">
          <cell r="B123">
            <v>83.5</v>
          </cell>
          <cell r="F123">
            <v>42979</v>
          </cell>
          <cell r="G123">
            <v>0</v>
          </cell>
        </row>
        <row r="124">
          <cell r="B124">
            <v>16.899999999999999</v>
          </cell>
          <cell r="F124">
            <v>42979</v>
          </cell>
          <cell r="G124">
            <v>0</v>
          </cell>
        </row>
        <row r="125">
          <cell r="B125">
            <v>2.99</v>
          </cell>
          <cell r="F125">
            <v>42979</v>
          </cell>
          <cell r="G125">
            <v>0</v>
          </cell>
        </row>
        <row r="126">
          <cell r="B126">
            <v>10</v>
          </cell>
          <cell r="F126">
            <v>42979</v>
          </cell>
          <cell r="G126">
            <v>0</v>
          </cell>
        </row>
        <row r="127">
          <cell r="B127">
            <v>45.05</v>
          </cell>
          <cell r="F127">
            <v>42979</v>
          </cell>
          <cell r="G127">
            <v>0</v>
          </cell>
        </row>
        <row r="128">
          <cell r="B128">
            <v>9.41</v>
          </cell>
          <cell r="F128">
            <v>42979</v>
          </cell>
          <cell r="G128">
            <v>0</v>
          </cell>
        </row>
        <row r="129">
          <cell r="B129">
            <v>16.899999999999999</v>
          </cell>
          <cell r="F129">
            <v>43009</v>
          </cell>
          <cell r="G129">
            <v>0</v>
          </cell>
        </row>
        <row r="130">
          <cell r="B130">
            <v>10</v>
          </cell>
          <cell r="F130">
            <v>43009</v>
          </cell>
          <cell r="G130">
            <v>0</v>
          </cell>
        </row>
        <row r="131">
          <cell r="B131">
            <v>5</v>
          </cell>
          <cell r="F131">
            <v>43009</v>
          </cell>
          <cell r="G131">
            <v>0</v>
          </cell>
        </row>
        <row r="132">
          <cell r="B132">
            <v>5</v>
          </cell>
          <cell r="F132">
            <v>43009</v>
          </cell>
          <cell r="G132">
            <v>0</v>
          </cell>
        </row>
        <row r="133">
          <cell r="B133">
            <v>11.9</v>
          </cell>
          <cell r="F133">
            <v>43009</v>
          </cell>
          <cell r="G133">
            <v>0</v>
          </cell>
        </row>
        <row r="134">
          <cell r="B134">
            <v>84.55</v>
          </cell>
          <cell r="F134">
            <v>43009</v>
          </cell>
          <cell r="G134">
            <v>0</v>
          </cell>
        </row>
        <row r="135">
          <cell r="B135">
            <v>6.36</v>
          </cell>
          <cell r="F135">
            <v>43009</v>
          </cell>
          <cell r="G135">
            <v>0</v>
          </cell>
        </row>
        <row r="136">
          <cell r="B136">
            <v>4</v>
          </cell>
          <cell r="F136">
            <v>43009</v>
          </cell>
          <cell r="G136">
            <v>0</v>
          </cell>
        </row>
        <row r="137">
          <cell r="B137">
            <v>2.4900000000000002</v>
          </cell>
          <cell r="F137">
            <v>43009</v>
          </cell>
          <cell r="G137">
            <v>0</v>
          </cell>
        </row>
        <row r="138">
          <cell r="B138">
            <v>35.75</v>
          </cell>
          <cell r="F138">
            <v>43009</v>
          </cell>
          <cell r="G138">
            <v>0</v>
          </cell>
        </row>
        <row r="139">
          <cell r="B139">
            <v>11.07</v>
          </cell>
          <cell r="F139">
            <v>43009</v>
          </cell>
          <cell r="G139">
            <v>0</v>
          </cell>
        </row>
        <row r="140">
          <cell r="B140">
            <v>74.790000000000006</v>
          </cell>
          <cell r="F140">
            <v>43009</v>
          </cell>
          <cell r="G140">
            <v>0</v>
          </cell>
        </row>
        <row r="141">
          <cell r="B141">
            <v>4.7699999999999996</v>
          </cell>
          <cell r="F141">
            <v>43009</v>
          </cell>
          <cell r="G141">
            <v>0</v>
          </cell>
        </row>
        <row r="142">
          <cell r="B142">
            <v>5.5</v>
          </cell>
          <cell r="F142">
            <v>43009</v>
          </cell>
          <cell r="G142">
            <v>0</v>
          </cell>
        </row>
        <row r="143">
          <cell r="B143">
            <v>11.07</v>
          </cell>
          <cell r="F143">
            <v>43040</v>
          </cell>
          <cell r="G143">
            <v>0</v>
          </cell>
        </row>
        <row r="144">
          <cell r="B144">
            <v>74.790000000000006</v>
          </cell>
          <cell r="F144">
            <v>43040</v>
          </cell>
          <cell r="G144">
            <v>0</v>
          </cell>
        </row>
        <row r="145">
          <cell r="B145">
            <v>11.9</v>
          </cell>
          <cell r="F145">
            <v>43040</v>
          </cell>
          <cell r="G145">
            <v>0</v>
          </cell>
        </row>
        <row r="146">
          <cell r="B146">
            <v>84.55</v>
          </cell>
          <cell r="F146">
            <v>43040</v>
          </cell>
          <cell r="G146">
            <v>0</v>
          </cell>
        </row>
        <row r="147">
          <cell r="B147">
            <v>33</v>
          </cell>
          <cell r="F147">
            <v>43009</v>
          </cell>
          <cell r="G147">
            <v>0</v>
          </cell>
        </row>
        <row r="148">
          <cell r="B148">
            <v>16.899999999999999</v>
          </cell>
          <cell r="F148">
            <v>43040</v>
          </cell>
          <cell r="G148">
            <v>0</v>
          </cell>
        </row>
        <row r="149">
          <cell r="B149">
            <v>30</v>
          </cell>
          <cell r="F149">
            <v>43040</v>
          </cell>
          <cell r="G149">
            <v>0</v>
          </cell>
        </row>
        <row r="150">
          <cell r="B150">
            <v>116.95</v>
          </cell>
          <cell r="F150">
            <v>43040</v>
          </cell>
          <cell r="G150">
            <v>0</v>
          </cell>
        </row>
        <row r="151">
          <cell r="B151">
            <v>118.69</v>
          </cell>
          <cell r="F151">
            <v>43040</v>
          </cell>
          <cell r="G151">
            <v>0</v>
          </cell>
        </row>
        <row r="152">
          <cell r="B152">
            <v>118</v>
          </cell>
          <cell r="F152">
            <v>43040</v>
          </cell>
          <cell r="G152">
            <v>0</v>
          </cell>
        </row>
        <row r="153">
          <cell r="B153">
            <v>2</v>
          </cell>
          <cell r="F153">
            <v>43040</v>
          </cell>
          <cell r="G153">
            <v>0</v>
          </cell>
        </row>
        <row r="154">
          <cell r="B154">
            <v>10</v>
          </cell>
          <cell r="F154">
            <v>43040</v>
          </cell>
          <cell r="G154">
            <v>0</v>
          </cell>
        </row>
        <row r="155">
          <cell r="B155">
            <v>10</v>
          </cell>
          <cell r="F155">
            <v>43040</v>
          </cell>
          <cell r="G155">
            <v>0</v>
          </cell>
        </row>
        <row r="156">
          <cell r="B156">
            <v>5</v>
          </cell>
          <cell r="F156">
            <v>43040</v>
          </cell>
          <cell r="G156">
            <v>0</v>
          </cell>
        </row>
        <row r="157">
          <cell r="B157">
            <v>3</v>
          </cell>
          <cell r="F157">
            <v>43040</v>
          </cell>
          <cell r="G157">
            <v>0</v>
          </cell>
        </row>
        <row r="158">
          <cell r="B158">
            <v>75</v>
          </cell>
          <cell r="F158">
            <v>43040</v>
          </cell>
          <cell r="G158">
            <v>0</v>
          </cell>
        </row>
        <row r="159">
          <cell r="B159">
            <v>36.93</v>
          </cell>
          <cell r="F159">
            <v>43040</v>
          </cell>
          <cell r="G159">
            <v>0</v>
          </cell>
        </row>
        <row r="160">
          <cell r="B160">
            <v>6.5</v>
          </cell>
          <cell r="F160">
            <v>43040</v>
          </cell>
          <cell r="G160">
            <v>0</v>
          </cell>
        </row>
        <row r="161">
          <cell r="B161">
            <v>152.18</v>
          </cell>
          <cell r="F161">
            <v>43040</v>
          </cell>
          <cell r="G161">
            <v>0</v>
          </cell>
        </row>
        <row r="162">
          <cell r="B162">
            <v>18.5</v>
          </cell>
          <cell r="F162">
            <v>43040</v>
          </cell>
          <cell r="G162">
            <v>0</v>
          </cell>
        </row>
        <row r="163">
          <cell r="B163">
            <v>7.5</v>
          </cell>
          <cell r="F163">
            <v>43040</v>
          </cell>
          <cell r="G163">
            <v>0</v>
          </cell>
        </row>
        <row r="164">
          <cell r="B164">
            <v>6.5</v>
          </cell>
          <cell r="F164">
            <v>43040</v>
          </cell>
          <cell r="G164">
            <v>0</v>
          </cell>
        </row>
        <row r="165">
          <cell r="B165">
            <v>59.99</v>
          </cell>
          <cell r="F165">
            <v>43040</v>
          </cell>
          <cell r="G165">
            <v>0</v>
          </cell>
        </row>
        <row r="166">
          <cell r="B166">
            <v>11.5</v>
          </cell>
          <cell r="F166">
            <v>43040</v>
          </cell>
          <cell r="G166">
            <v>0</v>
          </cell>
        </row>
        <row r="167">
          <cell r="B167">
            <v>24.47</v>
          </cell>
          <cell r="F167">
            <v>43040</v>
          </cell>
          <cell r="G167">
            <v>0</v>
          </cell>
        </row>
        <row r="168">
          <cell r="B168">
            <v>46.91</v>
          </cell>
          <cell r="F168">
            <v>43040</v>
          </cell>
          <cell r="G168">
            <v>0</v>
          </cell>
        </row>
        <row r="169">
          <cell r="B169">
            <v>66.89</v>
          </cell>
          <cell r="F169">
            <v>43040</v>
          </cell>
          <cell r="G169">
            <v>0</v>
          </cell>
        </row>
        <row r="170">
          <cell r="B170">
            <v>31.57</v>
          </cell>
          <cell r="F170">
            <v>43040</v>
          </cell>
          <cell r="G170">
            <v>0</v>
          </cell>
        </row>
        <row r="171">
          <cell r="B171">
            <v>33</v>
          </cell>
          <cell r="F171">
            <v>43040</v>
          </cell>
          <cell r="G171">
            <v>0</v>
          </cell>
        </row>
        <row r="172">
          <cell r="B172">
            <v>5</v>
          </cell>
          <cell r="F172">
            <v>43040</v>
          </cell>
          <cell r="G172">
            <v>0</v>
          </cell>
        </row>
        <row r="173">
          <cell r="B173">
            <v>56.97</v>
          </cell>
          <cell r="F173">
            <v>43040</v>
          </cell>
          <cell r="G173">
            <v>0</v>
          </cell>
        </row>
        <row r="174">
          <cell r="B174">
            <v>13</v>
          </cell>
          <cell r="F174">
            <v>43040</v>
          </cell>
          <cell r="G174">
            <v>0</v>
          </cell>
        </row>
        <row r="175">
          <cell r="B175">
            <v>104.02</v>
          </cell>
          <cell r="F175">
            <v>43040</v>
          </cell>
          <cell r="G175">
            <v>0</v>
          </cell>
        </row>
        <row r="176">
          <cell r="B176">
            <v>11.9</v>
          </cell>
          <cell r="F176">
            <v>43070</v>
          </cell>
          <cell r="G176">
            <v>0</v>
          </cell>
        </row>
        <row r="177">
          <cell r="B177">
            <v>84.55</v>
          </cell>
          <cell r="F177">
            <v>43070</v>
          </cell>
          <cell r="G177">
            <v>0</v>
          </cell>
        </row>
        <row r="178">
          <cell r="B178">
            <v>118</v>
          </cell>
          <cell r="F178">
            <v>43070</v>
          </cell>
          <cell r="G178">
            <v>0</v>
          </cell>
        </row>
        <row r="179">
          <cell r="B179">
            <v>89.8</v>
          </cell>
          <cell r="F179">
            <v>43070</v>
          </cell>
          <cell r="G179">
            <v>0</v>
          </cell>
        </row>
        <row r="180">
          <cell r="B180">
            <v>19.940000000000001</v>
          </cell>
          <cell r="F180">
            <v>43070</v>
          </cell>
          <cell r="G180">
            <v>0</v>
          </cell>
        </row>
        <row r="181">
          <cell r="B181">
            <v>16.899999999999999</v>
          </cell>
          <cell r="F181">
            <v>43070</v>
          </cell>
          <cell r="G181">
            <v>0</v>
          </cell>
        </row>
        <row r="182">
          <cell r="B182">
            <v>7.5</v>
          </cell>
          <cell r="F182">
            <v>43070</v>
          </cell>
          <cell r="G182">
            <v>0</v>
          </cell>
        </row>
        <row r="183">
          <cell r="B183">
            <v>42.99</v>
          </cell>
          <cell r="F183">
            <v>43070</v>
          </cell>
          <cell r="G183">
            <v>0</v>
          </cell>
        </row>
        <row r="184">
          <cell r="B184">
            <v>34.9</v>
          </cell>
          <cell r="F184">
            <v>43070</v>
          </cell>
          <cell r="G184">
            <v>0</v>
          </cell>
        </row>
        <row r="185">
          <cell r="B185">
            <v>46.68</v>
          </cell>
          <cell r="F185">
            <v>43070</v>
          </cell>
          <cell r="G185">
            <v>0</v>
          </cell>
        </row>
        <row r="186">
          <cell r="B186">
            <v>46.68</v>
          </cell>
          <cell r="F186">
            <v>43101</v>
          </cell>
          <cell r="G186">
            <v>0</v>
          </cell>
        </row>
        <row r="187">
          <cell r="B187">
            <v>46.68</v>
          </cell>
          <cell r="F187">
            <v>43132</v>
          </cell>
          <cell r="G187">
            <v>0</v>
          </cell>
        </row>
        <row r="188">
          <cell r="B188">
            <v>117.67</v>
          </cell>
          <cell r="F188">
            <v>43070</v>
          </cell>
          <cell r="G188">
            <v>0</v>
          </cell>
        </row>
        <row r="189">
          <cell r="B189">
            <v>8.9</v>
          </cell>
          <cell r="F189">
            <v>43070</v>
          </cell>
          <cell r="G189">
            <v>0</v>
          </cell>
        </row>
        <row r="190">
          <cell r="B190">
            <v>2.5</v>
          </cell>
          <cell r="F190">
            <v>43070</v>
          </cell>
          <cell r="G190">
            <v>0</v>
          </cell>
        </row>
        <row r="191">
          <cell r="B191">
            <v>29.9</v>
          </cell>
          <cell r="F191">
            <v>43070</v>
          </cell>
          <cell r="G191">
            <v>0</v>
          </cell>
        </row>
        <row r="192">
          <cell r="B192">
            <v>0.3</v>
          </cell>
          <cell r="F192">
            <v>43070</v>
          </cell>
          <cell r="G192">
            <v>0</v>
          </cell>
        </row>
        <row r="193">
          <cell r="B193">
            <v>56</v>
          </cell>
          <cell r="F193">
            <v>43070</v>
          </cell>
          <cell r="G193">
            <v>0</v>
          </cell>
        </row>
        <row r="194">
          <cell r="B194">
            <v>5</v>
          </cell>
          <cell r="F194">
            <v>43070</v>
          </cell>
          <cell r="G194">
            <v>0</v>
          </cell>
        </row>
        <row r="195">
          <cell r="B195">
            <v>44.65</v>
          </cell>
          <cell r="F195">
            <v>43070</v>
          </cell>
          <cell r="G195">
            <v>0</v>
          </cell>
        </row>
        <row r="196">
          <cell r="B196">
            <v>67.569999999999993</v>
          </cell>
          <cell r="F196">
            <v>43070</v>
          </cell>
          <cell r="G196">
            <v>0</v>
          </cell>
        </row>
        <row r="197">
          <cell r="B197">
            <v>25</v>
          </cell>
          <cell r="F197">
            <v>43070</v>
          </cell>
          <cell r="G197">
            <v>0</v>
          </cell>
        </row>
        <row r="198">
          <cell r="B198">
            <v>36.15</v>
          </cell>
          <cell r="F198">
            <v>43070</v>
          </cell>
          <cell r="G198">
            <v>0</v>
          </cell>
        </row>
        <row r="199">
          <cell r="B199">
            <v>113.32</v>
          </cell>
          <cell r="F199">
            <v>43070</v>
          </cell>
          <cell r="G199">
            <v>0</v>
          </cell>
        </row>
        <row r="200">
          <cell r="B200">
            <v>34.130000000000003</v>
          </cell>
          <cell r="F200">
            <v>43070</v>
          </cell>
          <cell r="G200">
            <v>0</v>
          </cell>
        </row>
        <row r="201">
          <cell r="B201">
            <v>23</v>
          </cell>
          <cell r="F201">
            <v>43070</v>
          </cell>
          <cell r="G201">
            <v>0</v>
          </cell>
        </row>
        <row r="202">
          <cell r="B202">
            <v>18.11</v>
          </cell>
          <cell r="F202">
            <v>43070</v>
          </cell>
          <cell r="G202">
            <v>0</v>
          </cell>
        </row>
        <row r="203">
          <cell r="B203">
            <v>61.4</v>
          </cell>
          <cell r="F203">
            <v>43070</v>
          </cell>
          <cell r="G203">
            <v>0</v>
          </cell>
        </row>
        <row r="204">
          <cell r="B204">
            <v>7</v>
          </cell>
          <cell r="F204">
            <v>43070</v>
          </cell>
          <cell r="G204">
            <v>0</v>
          </cell>
        </row>
        <row r="205">
          <cell r="B205">
            <v>3.5</v>
          </cell>
          <cell r="F205">
            <v>43070</v>
          </cell>
          <cell r="G205">
            <v>0</v>
          </cell>
        </row>
        <row r="206">
          <cell r="B206">
            <v>30.84</v>
          </cell>
          <cell r="F206">
            <v>43070</v>
          </cell>
          <cell r="G206">
            <v>0</v>
          </cell>
        </row>
        <row r="207">
          <cell r="B207">
            <v>278.05</v>
          </cell>
          <cell r="F207">
            <v>43070</v>
          </cell>
          <cell r="G207">
            <v>0</v>
          </cell>
        </row>
        <row r="208">
          <cell r="B208">
            <v>175</v>
          </cell>
          <cell r="F208">
            <v>43070</v>
          </cell>
          <cell r="G208">
            <v>0</v>
          </cell>
        </row>
        <row r="209">
          <cell r="B209">
            <v>152.44</v>
          </cell>
          <cell r="F209">
            <v>43070</v>
          </cell>
          <cell r="G209">
            <v>0</v>
          </cell>
        </row>
        <row r="210">
          <cell r="B210">
            <v>226.93</v>
          </cell>
          <cell r="F210">
            <v>43070</v>
          </cell>
          <cell r="G210">
            <v>0</v>
          </cell>
        </row>
        <row r="211">
          <cell r="B211">
            <v>89.5</v>
          </cell>
          <cell r="F211">
            <v>43070</v>
          </cell>
          <cell r="G211">
            <v>0</v>
          </cell>
        </row>
        <row r="212">
          <cell r="B212">
            <v>44.15</v>
          </cell>
          <cell r="F212">
            <v>43070</v>
          </cell>
          <cell r="G212">
            <v>0</v>
          </cell>
        </row>
        <row r="213">
          <cell r="B213">
            <v>33.76</v>
          </cell>
          <cell r="F213">
            <v>43070</v>
          </cell>
          <cell r="G213">
            <v>0</v>
          </cell>
        </row>
        <row r="214">
          <cell r="B214">
            <v>16.5</v>
          </cell>
          <cell r="F214">
            <v>43070</v>
          </cell>
          <cell r="G214">
            <v>0</v>
          </cell>
        </row>
        <row r="215">
          <cell r="B215">
            <v>19.989999999999998</v>
          </cell>
          <cell r="F215">
            <v>43070</v>
          </cell>
          <cell r="G215">
            <v>0</v>
          </cell>
        </row>
        <row r="216">
          <cell r="B216">
            <v>119.7</v>
          </cell>
          <cell r="F216">
            <v>43101</v>
          </cell>
          <cell r="G216">
            <v>0</v>
          </cell>
        </row>
        <row r="217">
          <cell r="B217">
            <v>269.39999999999998</v>
          </cell>
          <cell r="F217">
            <v>43101</v>
          </cell>
          <cell r="G217">
            <v>0</v>
          </cell>
        </row>
        <row r="218">
          <cell r="B218">
            <v>165.78</v>
          </cell>
          <cell r="F218">
            <v>43070</v>
          </cell>
          <cell r="G218">
            <v>0</v>
          </cell>
        </row>
      </sheetData>
      <sheetData sheetId="6">
        <row r="2">
          <cell r="A2">
            <v>42856</v>
          </cell>
          <cell r="G2">
            <v>58.290000000000873</v>
          </cell>
        </row>
        <row r="3">
          <cell r="A3">
            <v>42887</v>
          </cell>
          <cell r="G3">
            <v>-516.79999999999927</v>
          </cell>
        </row>
        <row r="4">
          <cell r="A4">
            <v>42917</v>
          </cell>
          <cell r="G4">
            <v>-1382.6899999999969</v>
          </cell>
        </row>
        <row r="5">
          <cell r="A5">
            <v>42948</v>
          </cell>
          <cell r="G5">
            <v>-2383.6299999999974</v>
          </cell>
        </row>
        <row r="6">
          <cell r="A6">
            <v>42979</v>
          </cell>
          <cell r="G6">
            <v>733.56000000000313</v>
          </cell>
        </row>
        <row r="7">
          <cell r="A7">
            <v>43009</v>
          </cell>
          <cell r="G7">
            <v>-565.48999999999705</v>
          </cell>
        </row>
        <row r="8">
          <cell r="A8">
            <v>43040</v>
          </cell>
          <cell r="G8">
            <v>-1568.3599999999951</v>
          </cell>
        </row>
        <row r="9">
          <cell r="A9">
            <v>43070</v>
          </cell>
          <cell r="G9">
            <v>1798.7100000000055</v>
          </cell>
        </row>
      </sheetData>
      <sheetData sheetId="7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L22"/>
  <sheetViews>
    <sheetView topLeftCell="B1" zoomScaleNormal="100" workbookViewId="0">
      <selection activeCell="H17" sqref="H17"/>
    </sheetView>
  </sheetViews>
  <sheetFormatPr defaultRowHeight="12.75" x14ac:dyDescent="0.2"/>
  <cols>
    <col min="1" max="1" width="16.5703125"/>
    <col min="2" max="2" width="21.5703125" style="1"/>
    <col min="3" max="3" width="14.42578125" bestFit="1" customWidth="1"/>
    <col min="4" max="4" width="18.140625"/>
    <col min="5" max="5" width="14" bestFit="1" customWidth="1"/>
    <col min="6" max="6" width="16.42578125" style="3"/>
    <col min="7" max="7" width="15.42578125" bestFit="1" customWidth="1"/>
    <col min="8" max="8" width="14.42578125" bestFit="1" customWidth="1"/>
    <col min="10" max="10" width="10.140625" bestFit="1" customWidth="1"/>
    <col min="12" max="12" width="10.140625" bestFit="1" customWidth="1"/>
  </cols>
  <sheetData>
    <row r="1" spans="1:12" ht="15" x14ac:dyDescent="0.25">
      <c r="A1" s="36" t="s">
        <v>514</v>
      </c>
      <c r="B1" s="36" t="s">
        <v>515</v>
      </c>
      <c r="C1" s="36" t="s">
        <v>516</v>
      </c>
      <c r="D1" s="36" t="s">
        <v>517</v>
      </c>
      <c r="E1" s="36" t="s">
        <v>518</v>
      </c>
      <c r="F1" s="36" t="s">
        <v>519</v>
      </c>
      <c r="G1" s="36" t="s">
        <v>520</v>
      </c>
      <c r="H1" s="3" t="s">
        <v>521</v>
      </c>
      <c r="I1" s="36" t="s">
        <v>522</v>
      </c>
    </row>
    <row r="2" spans="1:12" ht="15" x14ac:dyDescent="0.25">
      <c r="A2" s="37">
        <v>9053</v>
      </c>
      <c r="B2" s="37">
        <f>SUMIFS(desconto_folha!$B$2:$B$206,desconto_folha!$C$2:$C$206,I2)</f>
        <v>1999.8300000000002</v>
      </c>
      <c r="C2" s="37">
        <v>3407</v>
      </c>
      <c r="D2" s="37">
        <f>B2+C2</f>
        <v>5406.83</v>
      </c>
      <c r="E2" s="37">
        <v>0</v>
      </c>
      <c r="F2" s="37">
        <v>0</v>
      </c>
      <c r="G2" s="37">
        <f>A2-D2</f>
        <v>3646.17</v>
      </c>
      <c r="H2" s="37">
        <f>G2+C2</f>
        <v>7053.17</v>
      </c>
      <c r="I2" s="1">
        <v>42736</v>
      </c>
      <c r="J2" s="14"/>
      <c r="L2" s="14"/>
    </row>
    <row r="3" spans="1:12" ht="15" x14ac:dyDescent="0.25">
      <c r="A3" s="37">
        <v>9053</v>
      </c>
      <c r="B3" s="37">
        <f>SUMIFS(desconto_folha!$B$2:$B$206,desconto_folha!$C$2:$C$206,I3)</f>
        <v>1971.89</v>
      </c>
      <c r="C3" s="37">
        <v>3407</v>
      </c>
      <c r="D3" s="37">
        <f t="shared" ref="D3:D11" si="0">B3+C3</f>
        <v>5378.89</v>
      </c>
      <c r="E3" s="37">
        <v>0</v>
      </c>
      <c r="F3" s="37">
        <v>0</v>
      </c>
      <c r="G3" s="37">
        <f t="shared" ref="G3:G11" si="1">A3-D3</f>
        <v>3674.1099999999997</v>
      </c>
      <c r="H3" s="37">
        <f t="shared" ref="H3:H11" si="2">G3+C3</f>
        <v>7081.11</v>
      </c>
      <c r="I3" s="1">
        <v>42767</v>
      </c>
      <c r="J3" s="14"/>
      <c r="L3" s="14"/>
    </row>
    <row r="4" spans="1:12" ht="15" x14ac:dyDescent="0.25">
      <c r="A4" s="37">
        <v>9053</v>
      </c>
      <c r="B4" s="37">
        <f>SUMIFS(desconto_folha!$B$2:$B$206,desconto_folha!$C$2:$C$206,I4)</f>
        <v>2468.29</v>
      </c>
      <c r="C4" s="37">
        <v>3407</v>
      </c>
      <c r="D4" s="37">
        <f t="shared" si="0"/>
        <v>5875.29</v>
      </c>
      <c r="E4" s="37">
        <v>0</v>
      </c>
      <c r="F4" s="37">
        <v>0</v>
      </c>
      <c r="G4" s="37">
        <f t="shared" si="1"/>
        <v>3177.71</v>
      </c>
      <c r="H4" s="37">
        <f t="shared" si="2"/>
        <v>6584.71</v>
      </c>
      <c r="I4" s="1">
        <v>42795</v>
      </c>
    </row>
    <row r="5" spans="1:12" ht="15" x14ac:dyDescent="0.25">
      <c r="A5" s="37">
        <v>3017.67</v>
      </c>
      <c r="B5" s="37">
        <v>1019.26</v>
      </c>
      <c r="C5" s="37">
        <v>12070.67</v>
      </c>
      <c r="D5" s="37">
        <f t="shared" si="0"/>
        <v>13089.93</v>
      </c>
      <c r="E5" s="37">
        <v>0</v>
      </c>
      <c r="F5" s="37">
        <v>0</v>
      </c>
      <c r="G5" s="37">
        <v>2918.73</v>
      </c>
      <c r="H5" s="37">
        <v>10081.81</v>
      </c>
      <c r="I5" s="1">
        <v>42826</v>
      </c>
    </row>
    <row r="6" spans="1:12" ht="15" x14ac:dyDescent="0.25">
      <c r="A6" s="37">
        <v>9053</v>
      </c>
      <c r="B6" s="37">
        <f>SUMIFS(desconto_folha!$B$2:$B$206,desconto_folha!$C$2:$C$206,I6)</f>
        <v>3047.22</v>
      </c>
      <c r="C6" s="37">
        <v>3407</v>
      </c>
      <c r="D6" s="37">
        <f t="shared" si="0"/>
        <v>6454.2199999999993</v>
      </c>
      <c r="E6" s="37">
        <v>0</v>
      </c>
      <c r="F6" s="37">
        <v>0</v>
      </c>
      <c r="G6" s="37">
        <f t="shared" si="1"/>
        <v>2598.7800000000007</v>
      </c>
      <c r="H6" s="37">
        <f t="shared" si="2"/>
        <v>6005.7800000000007</v>
      </c>
      <c r="I6" s="1">
        <v>42856</v>
      </c>
    </row>
    <row r="7" spans="1:12" ht="15" x14ac:dyDescent="0.25">
      <c r="A7" s="37">
        <v>9053</v>
      </c>
      <c r="B7" s="37">
        <f>SUMIFS(desconto_folha!$B$2:$B$206,desconto_folha!$C$2:$C$206,I7)</f>
        <v>2431.25</v>
      </c>
      <c r="C7" s="37">
        <v>3407</v>
      </c>
      <c r="D7" s="37">
        <f t="shared" si="0"/>
        <v>5838.25</v>
      </c>
      <c r="E7" s="37">
        <v>0</v>
      </c>
      <c r="F7" s="37">
        <v>0</v>
      </c>
      <c r="G7" s="37">
        <f t="shared" si="1"/>
        <v>3214.75</v>
      </c>
      <c r="H7" s="37">
        <f t="shared" si="2"/>
        <v>6621.75</v>
      </c>
      <c r="I7" s="1">
        <v>42887</v>
      </c>
    </row>
    <row r="8" spans="1:12" ht="15" x14ac:dyDescent="0.25">
      <c r="A8" s="37">
        <v>9053</v>
      </c>
      <c r="B8" s="37">
        <f>SUMIFS(desconto_folha!$B$2:$B$206,desconto_folha!$C$2:$C$206,I8)</f>
        <v>2221.1999999999998</v>
      </c>
      <c r="C8" s="37">
        <v>3407</v>
      </c>
      <c r="D8" s="37">
        <f t="shared" si="0"/>
        <v>5628.2</v>
      </c>
      <c r="E8" s="37">
        <v>0</v>
      </c>
      <c r="F8" s="37">
        <v>0</v>
      </c>
      <c r="G8" s="37">
        <f t="shared" si="1"/>
        <v>3424.8</v>
      </c>
      <c r="H8" s="37">
        <f t="shared" si="2"/>
        <v>6831.8</v>
      </c>
      <c r="I8" s="1">
        <v>42917</v>
      </c>
    </row>
    <row r="9" spans="1:12" ht="15" x14ac:dyDescent="0.25">
      <c r="A9" s="37">
        <v>9053</v>
      </c>
      <c r="B9" s="37">
        <f>SUMIFS(desconto_folha!$B$2:$B$206,desconto_folha!$C$2:$C$206,I9)</f>
        <v>2119.4899999999998</v>
      </c>
      <c r="C9" s="37">
        <v>3407</v>
      </c>
      <c r="D9" s="37">
        <f t="shared" si="0"/>
        <v>5526.49</v>
      </c>
      <c r="E9" s="37">
        <v>0</v>
      </c>
      <c r="F9" s="37">
        <v>0</v>
      </c>
      <c r="G9" s="37">
        <f t="shared" si="1"/>
        <v>3526.51</v>
      </c>
      <c r="H9" s="37">
        <f t="shared" si="2"/>
        <v>6933.51</v>
      </c>
      <c r="I9" s="1">
        <v>42948</v>
      </c>
    </row>
    <row r="10" spans="1:12" ht="15" x14ac:dyDescent="0.25">
      <c r="A10" s="37">
        <v>9053</v>
      </c>
      <c r="B10" s="37">
        <f>SUMIFS(desconto_folha!$B$2:$B$206,desconto_folha!$C$2:$C$206,I10)</f>
        <v>2156.4499999999998</v>
      </c>
      <c r="C10" s="37">
        <v>3407</v>
      </c>
      <c r="D10" s="37">
        <f t="shared" si="0"/>
        <v>5563.45</v>
      </c>
      <c r="E10" s="37">
        <v>0</v>
      </c>
      <c r="F10" s="37">
        <v>0</v>
      </c>
      <c r="G10" s="37">
        <f t="shared" si="1"/>
        <v>3489.55</v>
      </c>
      <c r="H10" s="37">
        <f t="shared" si="2"/>
        <v>6896.55</v>
      </c>
      <c r="I10" s="1">
        <v>42979</v>
      </c>
    </row>
    <row r="11" spans="1:12" ht="15" x14ac:dyDescent="0.25">
      <c r="A11" s="37">
        <v>9053</v>
      </c>
      <c r="B11" s="37">
        <f>SUMIFS(desconto_folha!$B$2:$B$206,desconto_folha!$C$2:$C$206,I11)</f>
        <v>2363.2799999999997</v>
      </c>
      <c r="C11" s="37">
        <v>3407</v>
      </c>
      <c r="D11" s="37">
        <f t="shared" si="0"/>
        <v>5770.28</v>
      </c>
      <c r="E11" s="37">
        <v>0</v>
      </c>
      <c r="F11" s="37">
        <v>0</v>
      </c>
      <c r="G11" s="37">
        <f t="shared" si="1"/>
        <v>3282.7200000000003</v>
      </c>
      <c r="H11" s="37">
        <f t="shared" si="2"/>
        <v>6689.72</v>
      </c>
      <c r="I11" s="1">
        <v>43009</v>
      </c>
    </row>
    <row r="12" spans="1:12" ht="15" x14ac:dyDescent="0.25">
      <c r="A12" s="37">
        <v>9053</v>
      </c>
      <c r="B12" s="37">
        <f>SUMIFS(desconto_folha!$B$2:$B$206,desconto_folha!$C$2:$C$206,I12)</f>
        <v>2408.98</v>
      </c>
      <c r="C12" s="37">
        <v>3407</v>
      </c>
      <c r="D12" s="37">
        <f>B12+C12+E12</f>
        <v>5815.98</v>
      </c>
      <c r="E12" s="37">
        <v>0</v>
      </c>
      <c r="F12" s="37">
        <v>0</v>
      </c>
      <c r="G12" s="37">
        <f>A12-D12+E12</f>
        <v>3237.0200000000004</v>
      </c>
      <c r="H12" s="37">
        <f>G12+C12</f>
        <v>6644.02</v>
      </c>
      <c r="I12" s="1">
        <v>43040</v>
      </c>
    </row>
    <row r="13" spans="1:12" ht="15" x14ac:dyDescent="0.25">
      <c r="A13" s="37">
        <v>9053</v>
      </c>
      <c r="B13" s="37">
        <f>SUMIFS(desconto_folha!$B$2:$B$206,desconto_folha!$C$2:$C$206,I13)</f>
        <v>2408.98</v>
      </c>
      <c r="C13" s="37">
        <v>3407</v>
      </c>
      <c r="D13" s="37">
        <f t="shared" ref="D13" si="3">B13+C13</f>
        <v>5815.98</v>
      </c>
      <c r="E13" s="37">
        <v>0</v>
      </c>
      <c r="F13" s="37">
        <v>0</v>
      </c>
      <c r="G13" s="37">
        <f t="shared" ref="G13" si="4">A13-D13</f>
        <v>3237.0200000000004</v>
      </c>
      <c r="H13" s="37">
        <f t="shared" ref="H13" si="5">G13+C13</f>
        <v>6644.02</v>
      </c>
      <c r="I13" s="1">
        <v>43070</v>
      </c>
    </row>
    <row r="14" spans="1:12" x14ac:dyDescent="0.2">
      <c r="D14" s="14"/>
    </row>
    <row r="15" spans="1:12" x14ac:dyDescent="0.2">
      <c r="D15" s="14"/>
    </row>
    <row r="16" spans="1:12" x14ac:dyDescent="0.2">
      <c r="D16" s="14"/>
    </row>
    <row r="17" spans="4:4" x14ac:dyDescent="0.2">
      <c r="D17" s="14"/>
    </row>
    <row r="18" spans="4:4" x14ac:dyDescent="0.2">
      <c r="D18" s="14"/>
    </row>
    <row r="19" spans="4:4" x14ac:dyDescent="0.2">
      <c r="D19" s="14"/>
    </row>
    <row r="20" spans="4:4" x14ac:dyDescent="0.2">
      <c r="D20" s="14"/>
    </row>
    <row r="21" spans="4:4" x14ac:dyDescent="0.2">
      <c r="D21" s="14"/>
    </row>
    <row r="22" spans="4:4" x14ac:dyDescent="0.2">
      <c r="D22" s="14"/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15D23-F50E-4AC4-8521-9BDCB56DCE16}">
  <sheetPr codeName="Planilha2"/>
  <dimension ref="A1:C113"/>
  <sheetViews>
    <sheetView topLeftCell="A16" workbookViewId="0">
      <selection activeCell="B28" sqref="B28"/>
    </sheetView>
  </sheetViews>
  <sheetFormatPr defaultRowHeight="12.75" x14ac:dyDescent="0.2"/>
  <cols>
    <col min="1" max="1" width="18" bestFit="1" customWidth="1"/>
  </cols>
  <sheetData>
    <row r="1" spans="1:3" x14ac:dyDescent="0.2">
      <c r="A1" t="s">
        <v>515</v>
      </c>
      <c r="B1" t="s">
        <v>226</v>
      </c>
      <c r="C1" t="s">
        <v>523</v>
      </c>
    </row>
    <row r="2" spans="1:3" x14ac:dyDescent="0.2">
      <c r="A2" t="s">
        <v>524</v>
      </c>
      <c r="B2">
        <v>9.92</v>
      </c>
      <c r="C2" s="1">
        <v>42736</v>
      </c>
    </row>
    <row r="3" spans="1:3" x14ac:dyDescent="0.2">
      <c r="A3" t="s">
        <v>279</v>
      </c>
      <c r="C3" s="1">
        <v>42736</v>
      </c>
    </row>
    <row r="4" spans="1:3" x14ac:dyDescent="0.2">
      <c r="A4" t="s">
        <v>525</v>
      </c>
      <c r="B4">
        <v>8.99</v>
      </c>
      <c r="C4" s="1">
        <v>42736</v>
      </c>
    </row>
    <row r="5" spans="1:3" x14ac:dyDescent="0.2">
      <c r="A5" t="s">
        <v>526</v>
      </c>
      <c r="B5">
        <v>36.96</v>
      </c>
      <c r="C5" s="1">
        <v>42736</v>
      </c>
    </row>
    <row r="6" spans="1:3" x14ac:dyDescent="0.2">
      <c r="A6" t="s">
        <v>527</v>
      </c>
      <c r="B6">
        <v>121.62</v>
      </c>
      <c r="C6" s="1">
        <v>42736</v>
      </c>
    </row>
    <row r="7" spans="1:3" x14ac:dyDescent="0.2">
      <c r="A7" t="s">
        <v>528</v>
      </c>
      <c r="B7">
        <v>12.68</v>
      </c>
      <c r="C7" s="1">
        <v>42736</v>
      </c>
    </row>
    <row r="8" spans="1:3" x14ac:dyDescent="0.2">
      <c r="A8" t="s">
        <v>529</v>
      </c>
      <c r="C8" s="1">
        <v>42736</v>
      </c>
    </row>
    <row r="9" spans="1:3" x14ac:dyDescent="0.2">
      <c r="A9" t="s">
        <v>530</v>
      </c>
      <c r="B9">
        <v>608.44000000000005</v>
      </c>
      <c r="C9" s="1">
        <v>42736</v>
      </c>
    </row>
    <row r="10" spans="1:3" x14ac:dyDescent="0.2">
      <c r="A10" t="s">
        <v>531</v>
      </c>
      <c r="B10">
        <v>1201.22</v>
      </c>
      <c r="C10" s="1">
        <v>42736</v>
      </c>
    </row>
    <row r="11" spans="1:3" x14ac:dyDescent="0.2">
      <c r="A11" t="s">
        <v>524</v>
      </c>
      <c r="C11" s="1">
        <v>42767</v>
      </c>
    </row>
    <row r="12" spans="1:3" x14ac:dyDescent="0.2">
      <c r="A12" t="s">
        <v>279</v>
      </c>
      <c r="C12" s="1">
        <v>42767</v>
      </c>
    </row>
    <row r="13" spans="1:3" x14ac:dyDescent="0.2">
      <c r="A13" t="s">
        <v>525</v>
      </c>
      <c r="C13" s="1">
        <v>42767</v>
      </c>
    </row>
    <row r="14" spans="1:3" x14ac:dyDescent="0.2">
      <c r="A14" t="s">
        <v>526</v>
      </c>
      <c r="B14">
        <v>36.96</v>
      </c>
      <c r="C14" s="1">
        <v>42767</v>
      </c>
    </row>
    <row r="15" spans="1:3" x14ac:dyDescent="0.2">
      <c r="A15" t="s">
        <v>527</v>
      </c>
      <c r="B15">
        <v>121.62</v>
      </c>
      <c r="C15" s="1">
        <v>42767</v>
      </c>
    </row>
    <row r="16" spans="1:3" x14ac:dyDescent="0.2">
      <c r="A16" t="s">
        <v>528</v>
      </c>
      <c r="C16" s="1">
        <v>42767</v>
      </c>
    </row>
    <row r="17" spans="1:3" x14ac:dyDescent="0.2">
      <c r="A17" t="s">
        <v>529</v>
      </c>
      <c r="B17">
        <v>3.65</v>
      </c>
      <c r="C17" s="1">
        <v>42767</v>
      </c>
    </row>
    <row r="18" spans="1:3" x14ac:dyDescent="0.2">
      <c r="A18" t="s">
        <v>530</v>
      </c>
      <c r="B18">
        <v>608.44000000000005</v>
      </c>
      <c r="C18" s="1">
        <v>42767</v>
      </c>
    </row>
    <row r="19" spans="1:3" x14ac:dyDescent="0.2">
      <c r="A19" t="s">
        <v>531</v>
      </c>
      <c r="B19">
        <v>1201.22</v>
      </c>
      <c r="C19" s="1">
        <v>42767</v>
      </c>
    </row>
    <row r="20" spans="1:3" x14ac:dyDescent="0.2">
      <c r="A20" t="s">
        <v>524</v>
      </c>
      <c r="C20" s="1">
        <v>42795</v>
      </c>
    </row>
    <row r="21" spans="1:3" x14ac:dyDescent="0.2">
      <c r="A21" t="s">
        <v>279</v>
      </c>
      <c r="B21">
        <v>283.89999999999998</v>
      </c>
      <c r="C21" s="1">
        <v>42795</v>
      </c>
    </row>
    <row r="22" spans="1:3" x14ac:dyDescent="0.2">
      <c r="A22" t="s">
        <v>525</v>
      </c>
      <c r="C22" s="1">
        <v>42795</v>
      </c>
    </row>
    <row r="23" spans="1:3" x14ac:dyDescent="0.2">
      <c r="A23" t="s">
        <v>526</v>
      </c>
      <c r="B23">
        <v>36.96</v>
      </c>
      <c r="C23" s="1">
        <v>42795</v>
      </c>
    </row>
    <row r="24" spans="1:3" x14ac:dyDescent="0.2">
      <c r="A24" t="s">
        <v>527</v>
      </c>
      <c r="B24">
        <v>121.62</v>
      </c>
      <c r="C24" s="1">
        <v>42795</v>
      </c>
    </row>
    <row r="25" spans="1:3" x14ac:dyDescent="0.2">
      <c r="A25" t="s">
        <v>528</v>
      </c>
      <c r="B25">
        <v>212.5</v>
      </c>
      <c r="C25" s="1">
        <v>42795</v>
      </c>
    </row>
    <row r="26" spans="1:3" x14ac:dyDescent="0.2">
      <c r="A26" t="s">
        <v>529</v>
      </c>
      <c r="B26">
        <v>3.65</v>
      </c>
      <c r="C26" s="1">
        <v>42795</v>
      </c>
    </row>
    <row r="27" spans="1:3" x14ac:dyDescent="0.2">
      <c r="A27" t="s">
        <v>530</v>
      </c>
      <c r="B27">
        <v>608.44000000000005</v>
      </c>
      <c r="C27" s="1">
        <v>42795</v>
      </c>
    </row>
    <row r="28" spans="1:3" x14ac:dyDescent="0.2">
      <c r="A28" t="s">
        <v>531</v>
      </c>
      <c r="B28">
        <v>1201.22</v>
      </c>
      <c r="C28" s="1">
        <v>42795</v>
      </c>
    </row>
    <row r="29" spans="1:3" x14ac:dyDescent="0.2">
      <c r="A29" t="s">
        <v>524</v>
      </c>
      <c r="C29" s="1">
        <v>42826</v>
      </c>
    </row>
    <row r="30" spans="1:3" x14ac:dyDescent="0.2">
      <c r="A30" t="s">
        <v>279</v>
      </c>
      <c r="C30" s="1">
        <v>42826</v>
      </c>
    </row>
    <row r="31" spans="1:3" x14ac:dyDescent="0.2">
      <c r="A31" t="s">
        <v>525</v>
      </c>
      <c r="B31">
        <v>45.88</v>
      </c>
      <c r="C31" s="1">
        <v>42826</v>
      </c>
    </row>
    <row r="32" spans="1:3" x14ac:dyDescent="0.2">
      <c r="A32" t="s">
        <v>526</v>
      </c>
      <c r="B32">
        <v>36.96</v>
      </c>
      <c r="C32" s="1">
        <v>42826</v>
      </c>
    </row>
    <row r="33" spans="1:3" x14ac:dyDescent="0.2">
      <c r="A33" t="s">
        <v>527</v>
      </c>
      <c r="B33">
        <v>121.62</v>
      </c>
      <c r="C33" s="1">
        <v>42826</v>
      </c>
    </row>
    <row r="34" spans="1:3" x14ac:dyDescent="0.2">
      <c r="A34" t="s">
        <v>528</v>
      </c>
      <c r="B34">
        <v>463.53</v>
      </c>
      <c r="C34" s="1">
        <v>42826</v>
      </c>
    </row>
    <row r="35" spans="1:3" x14ac:dyDescent="0.2">
      <c r="A35" t="s">
        <v>529</v>
      </c>
      <c r="B35">
        <v>3.65</v>
      </c>
      <c r="C35" s="1">
        <v>42826</v>
      </c>
    </row>
    <row r="36" spans="1:3" x14ac:dyDescent="0.2">
      <c r="A36" t="s">
        <v>530</v>
      </c>
      <c r="B36">
        <v>608.44000000000005</v>
      </c>
      <c r="C36" s="1">
        <v>42826</v>
      </c>
    </row>
    <row r="37" spans="1:3" x14ac:dyDescent="0.2">
      <c r="A37" t="s">
        <v>531</v>
      </c>
      <c r="B37">
        <v>447.66</v>
      </c>
      <c r="C37" s="1">
        <v>42826</v>
      </c>
    </row>
    <row r="38" spans="1:3" x14ac:dyDescent="0.2">
      <c r="A38" t="s">
        <v>524</v>
      </c>
      <c r="B38">
        <v>0</v>
      </c>
      <c r="C38" s="1">
        <v>42856</v>
      </c>
    </row>
    <row r="39" spans="1:3" x14ac:dyDescent="0.2">
      <c r="A39" t="s">
        <v>279</v>
      </c>
      <c r="B39">
        <v>0</v>
      </c>
      <c r="C39" s="1">
        <v>42856</v>
      </c>
    </row>
    <row r="40" spans="1:3" x14ac:dyDescent="0.2">
      <c r="A40" t="s">
        <v>525</v>
      </c>
      <c r="B40">
        <v>0</v>
      </c>
      <c r="C40" s="1">
        <v>42856</v>
      </c>
    </row>
    <row r="41" spans="1:3" x14ac:dyDescent="0.2">
      <c r="A41" t="s">
        <v>526</v>
      </c>
      <c r="B41">
        <v>36.96</v>
      </c>
      <c r="C41" s="1">
        <v>42856</v>
      </c>
    </row>
    <row r="42" spans="1:3" x14ac:dyDescent="0.2">
      <c r="A42" t="s">
        <v>527</v>
      </c>
      <c r="B42">
        <v>121.62</v>
      </c>
      <c r="C42" s="1">
        <v>42856</v>
      </c>
    </row>
    <row r="43" spans="1:3" x14ac:dyDescent="0.2">
      <c r="A43" t="s">
        <v>528</v>
      </c>
      <c r="B43">
        <v>272.26</v>
      </c>
      <c r="C43" s="1">
        <v>42856</v>
      </c>
    </row>
    <row r="44" spans="1:3" x14ac:dyDescent="0.2">
      <c r="A44" t="s">
        <v>529</v>
      </c>
      <c r="B44">
        <v>3.85</v>
      </c>
      <c r="C44" s="1">
        <v>42856</v>
      </c>
    </row>
    <row r="45" spans="1:3" x14ac:dyDescent="0.2">
      <c r="A45" t="s">
        <v>530</v>
      </c>
      <c r="B45">
        <v>608.44000000000005</v>
      </c>
      <c r="C45" s="1">
        <v>42856</v>
      </c>
    </row>
    <row r="46" spans="1:3" x14ac:dyDescent="0.2">
      <c r="A46" t="s">
        <v>531</v>
      </c>
      <c r="B46">
        <v>1199.3800000000001</v>
      </c>
      <c r="C46" s="1">
        <v>42856</v>
      </c>
    </row>
    <row r="47" spans="1:3" x14ac:dyDescent="0.2">
      <c r="A47" t="s">
        <v>664</v>
      </c>
      <c r="B47">
        <v>603.53</v>
      </c>
      <c r="C47" s="1">
        <v>42856</v>
      </c>
    </row>
    <row r="48" spans="1:3" x14ac:dyDescent="0.2">
      <c r="A48" t="s">
        <v>665</v>
      </c>
      <c r="B48">
        <v>201.18</v>
      </c>
      <c r="C48" s="1">
        <v>42856</v>
      </c>
    </row>
    <row r="49" spans="1:3" x14ac:dyDescent="0.2">
      <c r="A49" t="s">
        <v>524</v>
      </c>
      <c r="B49">
        <v>0</v>
      </c>
      <c r="C49" s="1">
        <v>42887</v>
      </c>
    </row>
    <row r="50" spans="1:3" x14ac:dyDescent="0.2">
      <c r="A50" t="s">
        <v>279</v>
      </c>
      <c r="B50">
        <v>0</v>
      </c>
      <c r="C50" s="1">
        <v>42887</v>
      </c>
    </row>
    <row r="51" spans="1:3" x14ac:dyDescent="0.2">
      <c r="A51" t="s">
        <v>525</v>
      </c>
      <c r="B51">
        <v>31.48</v>
      </c>
      <c r="C51" s="1">
        <v>42887</v>
      </c>
    </row>
    <row r="52" spans="1:3" x14ac:dyDescent="0.2">
      <c r="A52" t="s">
        <v>526</v>
      </c>
      <c r="B52">
        <v>36.96</v>
      </c>
      <c r="C52" s="1">
        <v>42887</v>
      </c>
    </row>
    <row r="53" spans="1:3" x14ac:dyDescent="0.2">
      <c r="A53" t="s">
        <v>527</v>
      </c>
      <c r="B53">
        <v>121.62</v>
      </c>
      <c r="C53" s="1">
        <v>42887</v>
      </c>
    </row>
    <row r="54" spans="1:3" x14ac:dyDescent="0.2">
      <c r="A54" t="s">
        <v>528</v>
      </c>
      <c r="B54">
        <v>280.48</v>
      </c>
      <c r="C54" s="1">
        <v>42887</v>
      </c>
    </row>
    <row r="55" spans="1:3" x14ac:dyDescent="0.2">
      <c r="A55" t="s">
        <v>529</v>
      </c>
      <c r="B55">
        <v>3.65</v>
      </c>
      <c r="C55" s="1">
        <v>42887</v>
      </c>
    </row>
    <row r="56" spans="1:3" x14ac:dyDescent="0.2">
      <c r="A56" t="s">
        <v>530</v>
      </c>
      <c r="B56">
        <v>608.44000000000005</v>
      </c>
      <c r="C56" s="1">
        <v>42887</v>
      </c>
    </row>
    <row r="57" spans="1:3" x14ac:dyDescent="0.2">
      <c r="A57" t="s">
        <v>531</v>
      </c>
      <c r="B57">
        <v>1348.62</v>
      </c>
      <c r="C57" s="1">
        <v>42887</v>
      </c>
    </row>
    <row r="58" spans="1:3" x14ac:dyDescent="0.2">
      <c r="A58" t="s">
        <v>666</v>
      </c>
      <c r="B58">
        <v>0</v>
      </c>
      <c r="C58" s="1">
        <v>42887</v>
      </c>
    </row>
    <row r="59" spans="1:3" x14ac:dyDescent="0.2">
      <c r="A59" t="s">
        <v>524</v>
      </c>
      <c r="B59">
        <v>0</v>
      </c>
      <c r="C59" s="1">
        <v>42917</v>
      </c>
    </row>
    <row r="60" spans="1:3" x14ac:dyDescent="0.2">
      <c r="A60" t="s">
        <v>279</v>
      </c>
      <c r="B60">
        <v>0</v>
      </c>
      <c r="C60" s="1">
        <v>42917</v>
      </c>
    </row>
    <row r="61" spans="1:3" x14ac:dyDescent="0.2">
      <c r="A61" t="s">
        <v>525</v>
      </c>
      <c r="B61">
        <v>6.29</v>
      </c>
      <c r="C61" s="1">
        <v>42917</v>
      </c>
    </row>
    <row r="62" spans="1:3" x14ac:dyDescent="0.2">
      <c r="A62" t="s">
        <v>526</v>
      </c>
      <c r="B62">
        <v>36.96</v>
      </c>
      <c r="C62" s="1">
        <v>42917</v>
      </c>
    </row>
    <row r="63" spans="1:3" x14ac:dyDescent="0.2">
      <c r="A63" t="s">
        <v>527</v>
      </c>
      <c r="B63">
        <v>121.62</v>
      </c>
      <c r="C63" s="1">
        <v>42917</v>
      </c>
    </row>
    <row r="64" spans="1:3" x14ac:dyDescent="0.2">
      <c r="A64" t="s">
        <v>528</v>
      </c>
      <c r="B64">
        <v>95.62</v>
      </c>
      <c r="C64" s="1">
        <v>42917</v>
      </c>
    </row>
    <row r="65" spans="1:3" x14ac:dyDescent="0.2">
      <c r="A65" t="s">
        <v>529</v>
      </c>
      <c r="B65">
        <v>3.65</v>
      </c>
      <c r="C65" s="1">
        <v>42917</v>
      </c>
    </row>
    <row r="66" spans="1:3" x14ac:dyDescent="0.2">
      <c r="A66" t="s">
        <v>530</v>
      </c>
      <c r="B66">
        <v>608.44000000000005</v>
      </c>
      <c r="C66" s="1">
        <v>42917</v>
      </c>
    </row>
    <row r="67" spans="1:3" x14ac:dyDescent="0.2">
      <c r="A67" t="s">
        <v>531</v>
      </c>
      <c r="B67">
        <v>1348.62</v>
      </c>
      <c r="C67" s="1">
        <v>42917</v>
      </c>
    </row>
    <row r="68" spans="1:3" x14ac:dyDescent="0.2">
      <c r="A68" t="s">
        <v>666</v>
      </c>
      <c r="B68">
        <v>0</v>
      </c>
      <c r="C68" s="1">
        <v>42917</v>
      </c>
    </row>
    <row r="69" spans="1:3" x14ac:dyDescent="0.2">
      <c r="A69" t="s">
        <v>524</v>
      </c>
      <c r="B69">
        <v>0</v>
      </c>
      <c r="C69" s="1">
        <v>42948</v>
      </c>
    </row>
    <row r="70" spans="1:3" x14ac:dyDescent="0.2">
      <c r="A70" t="s">
        <v>279</v>
      </c>
      <c r="B70">
        <v>0</v>
      </c>
      <c r="C70" s="1">
        <v>42948</v>
      </c>
    </row>
    <row r="71" spans="1:3" x14ac:dyDescent="0.2">
      <c r="A71" t="s">
        <v>525</v>
      </c>
      <c r="B71">
        <v>0</v>
      </c>
      <c r="C71" s="1">
        <v>42948</v>
      </c>
    </row>
    <row r="72" spans="1:3" x14ac:dyDescent="0.2">
      <c r="A72" t="s">
        <v>526</v>
      </c>
      <c r="B72">
        <v>36.96</v>
      </c>
      <c r="C72" s="1">
        <v>42948</v>
      </c>
    </row>
    <row r="73" spans="1:3" x14ac:dyDescent="0.2">
      <c r="A73" t="s">
        <v>527</v>
      </c>
      <c r="B73">
        <v>121.62</v>
      </c>
      <c r="C73" s="1">
        <v>42948</v>
      </c>
    </row>
    <row r="74" spans="1:3" x14ac:dyDescent="0.2">
      <c r="A74" t="s">
        <v>528</v>
      </c>
      <c r="B74">
        <v>0</v>
      </c>
      <c r="C74" s="1">
        <v>42948</v>
      </c>
    </row>
    <row r="75" spans="1:3" x14ac:dyDescent="0.2">
      <c r="A75" t="s">
        <v>529</v>
      </c>
      <c r="B75">
        <v>3.85</v>
      </c>
      <c r="C75" s="1">
        <v>42948</v>
      </c>
    </row>
    <row r="76" spans="1:3" x14ac:dyDescent="0.2">
      <c r="A76" t="s">
        <v>530</v>
      </c>
      <c r="B76">
        <v>608.44000000000005</v>
      </c>
      <c r="C76" s="1">
        <v>42948</v>
      </c>
    </row>
    <row r="77" spans="1:3" x14ac:dyDescent="0.2">
      <c r="A77" t="s">
        <v>531</v>
      </c>
      <c r="B77">
        <v>1348.62</v>
      </c>
      <c r="C77" s="1">
        <v>42948</v>
      </c>
    </row>
    <row r="78" spans="1:3" x14ac:dyDescent="0.2">
      <c r="A78" t="s">
        <v>524</v>
      </c>
      <c r="B78">
        <v>0</v>
      </c>
      <c r="C78" s="1">
        <v>42979</v>
      </c>
    </row>
    <row r="79" spans="1:3" x14ac:dyDescent="0.2">
      <c r="A79" t="s">
        <v>279</v>
      </c>
      <c r="B79">
        <v>0</v>
      </c>
      <c r="C79" s="1">
        <v>42979</v>
      </c>
    </row>
    <row r="80" spans="1:3" x14ac:dyDescent="0.2">
      <c r="A80" t="s">
        <v>525</v>
      </c>
      <c r="B80">
        <v>0</v>
      </c>
      <c r="C80" s="1">
        <v>42979</v>
      </c>
    </row>
    <row r="81" spans="1:3" x14ac:dyDescent="0.2">
      <c r="A81" t="s">
        <v>526</v>
      </c>
      <c r="B81">
        <v>36.96</v>
      </c>
      <c r="C81" s="1">
        <v>42979</v>
      </c>
    </row>
    <row r="82" spans="1:3" x14ac:dyDescent="0.2">
      <c r="A82" t="s">
        <v>527</v>
      </c>
      <c r="B82">
        <v>158.58000000000001</v>
      </c>
      <c r="C82" s="1">
        <v>42979</v>
      </c>
    </row>
    <row r="83" spans="1:3" x14ac:dyDescent="0.2">
      <c r="A83" t="s">
        <v>528</v>
      </c>
      <c r="B83">
        <v>0</v>
      </c>
      <c r="C83" s="1">
        <v>42979</v>
      </c>
    </row>
    <row r="84" spans="1:3" x14ac:dyDescent="0.2">
      <c r="A84" t="s">
        <v>529</v>
      </c>
      <c r="B84">
        <v>3.85</v>
      </c>
      <c r="C84" s="1">
        <v>42979</v>
      </c>
    </row>
    <row r="85" spans="1:3" x14ac:dyDescent="0.2">
      <c r="A85" t="s">
        <v>530</v>
      </c>
      <c r="B85">
        <v>608.44000000000005</v>
      </c>
      <c r="C85" s="1">
        <v>42979</v>
      </c>
    </row>
    <row r="86" spans="1:3" x14ac:dyDescent="0.2">
      <c r="A86" t="s">
        <v>531</v>
      </c>
      <c r="B86">
        <v>1348.62</v>
      </c>
      <c r="C86" s="1">
        <v>42979</v>
      </c>
    </row>
    <row r="87" spans="1:3" x14ac:dyDescent="0.2">
      <c r="A87" t="s">
        <v>524</v>
      </c>
      <c r="B87">
        <v>0</v>
      </c>
      <c r="C87" s="1">
        <v>43009</v>
      </c>
    </row>
    <row r="88" spans="1:3" x14ac:dyDescent="0.2">
      <c r="A88" t="s">
        <v>279</v>
      </c>
      <c r="B88">
        <v>0</v>
      </c>
      <c r="C88" s="1">
        <v>43009</v>
      </c>
    </row>
    <row r="89" spans="1:3" x14ac:dyDescent="0.2">
      <c r="A89" t="s">
        <v>525</v>
      </c>
      <c r="B89">
        <v>23.96</v>
      </c>
      <c r="C89" s="1">
        <v>43009</v>
      </c>
    </row>
    <row r="90" spans="1:3" x14ac:dyDescent="0.2">
      <c r="A90" t="s">
        <v>526</v>
      </c>
      <c r="B90">
        <v>56.57</v>
      </c>
      <c r="C90" s="1">
        <v>43009</v>
      </c>
    </row>
    <row r="91" spans="1:3" x14ac:dyDescent="0.2">
      <c r="A91" t="s">
        <v>527</v>
      </c>
      <c r="B91">
        <v>242.72</v>
      </c>
      <c r="C91" s="1">
        <v>43009</v>
      </c>
    </row>
    <row r="92" spans="1:3" x14ac:dyDescent="0.2">
      <c r="A92" t="s">
        <v>528</v>
      </c>
      <c r="B92">
        <v>79.12</v>
      </c>
      <c r="C92" s="1">
        <v>43009</v>
      </c>
    </row>
    <row r="93" spans="1:3" x14ac:dyDescent="0.2">
      <c r="A93" t="s">
        <v>529</v>
      </c>
      <c r="B93">
        <v>3.85</v>
      </c>
      <c r="C93" s="1">
        <v>43009</v>
      </c>
    </row>
    <row r="94" spans="1:3" x14ac:dyDescent="0.2">
      <c r="A94" t="s">
        <v>530</v>
      </c>
      <c r="B94">
        <v>608.44000000000005</v>
      </c>
      <c r="C94" s="1">
        <v>43009</v>
      </c>
    </row>
    <row r="95" spans="1:3" x14ac:dyDescent="0.2">
      <c r="A95" t="s">
        <v>531</v>
      </c>
      <c r="B95">
        <v>1348.62</v>
      </c>
      <c r="C95" s="1">
        <v>43009</v>
      </c>
    </row>
    <row r="96" spans="1:3" x14ac:dyDescent="0.2">
      <c r="A96" t="s">
        <v>524</v>
      </c>
      <c r="B96">
        <v>0</v>
      </c>
      <c r="C96" s="1">
        <v>43040</v>
      </c>
    </row>
    <row r="97" spans="1:3" x14ac:dyDescent="0.2">
      <c r="A97" t="s">
        <v>279</v>
      </c>
      <c r="B97">
        <v>0</v>
      </c>
      <c r="C97" s="1">
        <v>43040</v>
      </c>
    </row>
    <row r="98" spans="1:3" x14ac:dyDescent="0.2">
      <c r="A98" t="s">
        <v>525</v>
      </c>
      <c r="B98">
        <v>85.03</v>
      </c>
      <c r="C98" s="1">
        <v>43040</v>
      </c>
    </row>
    <row r="99" spans="1:3" x14ac:dyDescent="0.2">
      <c r="A99" t="s">
        <v>526</v>
      </c>
      <c r="B99">
        <v>56.57</v>
      </c>
      <c r="C99" s="1">
        <v>43040</v>
      </c>
    </row>
    <row r="100" spans="1:3" x14ac:dyDescent="0.2">
      <c r="A100" t="s">
        <v>527</v>
      </c>
      <c r="B100">
        <v>242.72</v>
      </c>
      <c r="C100" s="1">
        <v>43040</v>
      </c>
    </row>
    <row r="101" spans="1:3" x14ac:dyDescent="0.2">
      <c r="A101" t="s">
        <v>528</v>
      </c>
      <c r="B101">
        <v>63.75</v>
      </c>
      <c r="C101" s="1">
        <v>43040</v>
      </c>
    </row>
    <row r="102" spans="1:3" x14ac:dyDescent="0.2">
      <c r="A102" t="s">
        <v>529</v>
      </c>
      <c r="B102">
        <v>3.85</v>
      </c>
      <c r="C102" s="1">
        <v>43040</v>
      </c>
    </row>
    <row r="103" spans="1:3" x14ac:dyDescent="0.2">
      <c r="A103" t="s">
        <v>530</v>
      </c>
      <c r="B103">
        <v>608.44000000000005</v>
      </c>
      <c r="C103" s="1">
        <v>43040</v>
      </c>
    </row>
    <row r="104" spans="1:3" x14ac:dyDescent="0.2">
      <c r="A104" t="s">
        <v>531</v>
      </c>
      <c r="B104">
        <v>1348.62</v>
      </c>
      <c r="C104" s="1">
        <v>43040</v>
      </c>
    </row>
    <row r="105" spans="1:3" x14ac:dyDescent="0.2">
      <c r="A105" t="s">
        <v>524</v>
      </c>
      <c r="B105">
        <v>0</v>
      </c>
      <c r="C105" s="1">
        <v>43070</v>
      </c>
    </row>
    <row r="106" spans="1:3" x14ac:dyDescent="0.2">
      <c r="A106" t="s">
        <v>279</v>
      </c>
      <c r="B106">
        <v>0</v>
      </c>
      <c r="C106" s="1">
        <v>43070</v>
      </c>
    </row>
    <row r="107" spans="1:3" x14ac:dyDescent="0.2">
      <c r="A107" t="s">
        <v>525</v>
      </c>
      <c r="B107">
        <v>85.03</v>
      </c>
      <c r="C107" s="1">
        <v>43070</v>
      </c>
    </row>
    <row r="108" spans="1:3" x14ac:dyDescent="0.2">
      <c r="A108" t="s">
        <v>526</v>
      </c>
      <c r="B108">
        <v>56.57</v>
      </c>
      <c r="C108" s="1">
        <v>43070</v>
      </c>
    </row>
    <row r="109" spans="1:3" x14ac:dyDescent="0.2">
      <c r="A109" t="s">
        <v>527</v>
      </c>
      <c r="B109">
        <v>242.72</v>
      </c>
      <c r="C109" s="1">
        <v>43070</v>
      </c>
    </row>
    <row r="110" spans="1:3" x14ac:dyDescent="0.2">
      <c r="A110" t="s">
        <v>528</v>
      </c>
      <c r="B110">
        <v>63.75</v>
      </c>
      <c r="C110" s="1">
        <v>43070</v>
      </c>
    </row>
    <row r="111" spans="1:3" x14ac:dyDescent="0.2">
      <c r="A111" t="s">
        <v>529</v>
      </c>
      <c r="B111">
        <v>3.85</v>
      </c>
      <c r="C111" s="1">
        <v>43070</v>
      </c>
    </row>
    <row r="112" spans="1:3" x14ac:dyDescent="0.2">
      <c r="A112" t="s">
        <v>530</v>
      </c>
      <c r="B112">
        <v>608.44000000000005</v>
      </c>
      <c r="C112" s="1">
        <v>43070</v>
      </c>
    </row>
    <row r="113" spans="1:3" x14ac:dyDescent="0.2">
      <c r="A113" t="s">
        <v>531</v>
      </c>
      <c r="B113">
        <v>1348.62</v>
      </c>
      <c r="C113" s="1">
        <v>43070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23844-5E79-4C59-BE21-EE44EBB937DE}">
  <sheetPr codeName="Planilha3"/>
  <dimension ref="A1:E51"/>
  <sheetViews>
    <sheetView tabSelected="1" topLeftCell="A34" workbookViewId="0">
      <selection activeCell="F32" sqref="F32"/>
    </sheetView>
  </sheetViews>
  <sheetFormatPr defaultRowHeight="12.75" x14ac:dyDescent="0.2"/>
  <cols>
    <col min="1" max="1" width="12.5703125" bestFit="1" customWidth="1"/>
    <col min="2" max="2" width="12.42578125" bestFit="1" customWidth="1"/>
    <col min="3" max="3" width="15.7109375" bestFit="1" customWidth="1"/>
    <col min="4" max="4" width="13.28515625" style="11" bestFit="1" customWidth="1"/>
    <col min="5" max="5" width="12.140625" bestFit="1" customWidth="1"/>
  </cols>
  <sheetData>
    <row r="1" spans="1:5" ht="15" x14ac:dyDescent="0.25">
      <c r="A1" s="36" t="s">
        <v>650</v>
      </c>
      <c r="B1" s="36" t="s">
        <v>651</v>
      </c>
      <c r="C1" s="36" t="s">
        <v>652</v>
      </c>
      <c r="D1" s="11" t="s">
        <v>653</v>
      </c>
      <c r="E1" s="36" t="s">
        <v>667</v>
      </c>
    </row>
    <row r="2" spans="1:5" ht="15" x14ac:dyDescent="0.25">
      <c r="A2" s="1">
        <v>42856</v>
      </c>
      <c r="B2" s="1">
        <v>42855</v>
      </c>
      <c r="C2" s="1" t="s">
        <v>232</v>
      </c>
      <c r="D2" s="11">
        <v>1961.29</v>
      </c>
      <c r="E2" s="37"/>
    </row>
    <row r="3" spans="1:5" x14ac:dyDescent="0.2">
      <c r="A3" s="1">
        <v>42856</v>
      </c>
      <c r="B3" s="1">
        <v>42858</v>
      </c>
      <c r="C3" s="1" t="s">
        <v>361</v>
      </c>
      <c r="D3" s="11">
        <v>4709.71</v>
      </c>
    </row>
    <row r="4" spans="1:5" ht="15" x14ac:dyDescent="0.25">
      <c r="A4" s="1">
        <v>42856</v>
      </c>
      <c r="B4" s="1">
        <v>42870</v>
      </c>
      <c r="C4" s="1" t="s">
        <v>361</v>
      </c>
      <c r="D4" s="11">
        <v>3700</v>
      </c>
      <c r="E4" s="37"/>
    </row>
    <row r="5" spans="1:5" ht="15" x14ac:dyDescent="0.25">
      <c r="A5" s="49">
        <v>42887</v>
      </c>
      <c r="B5" s="49">
        <v>42886</v>
      </c>
      <c r="C5" s="49" t="s">
        <v>232</v>
      </c>
      <c r="D5" s="11">
        <f>SUMIFS([1]planilha!$G$2:$G$9,[1]planilha!$A$2:$A$9,DATE(YEAR([1]utilizacao!A5),MONTH([1]utilizacao!A5)-1,DAY([1]utilizacao!A5)))</f>
        <v>58.290000000000873</v>
      </c>
      <c r="E5" s="37"/>
    </row>
    <row r="6" spans="1:5" ht="15" x14ac:dyDescent="0.25">
      <c r="A6" s="1">
        <v>42887</v>
      </c>
      <c r="B6" s="1">
        <v>42886</v>
      </c>
      <c r="C6" s="1" t="s">
        <v>361</v>
      </c>
      <c r="D6" s="11">
        <v>2647</v>
      </c>
      <c r="E6" s="37"/>
    </row>
    <row r="7" spans="1:5" x14ac:dyDescent="0.2">
      <c r="A7" s="1">
        <v>42887</v>
      </c>
      <c r="B7" s="1">
        <v>42900</v>
      </c>
      <c r="C7" s="1" t="s">
        <v>361</v>
      </c>
      <c r="D7" s="11">
        <v>3622</v>
      </c>
    </row>
    <row r="8" spans="1:5" x14ac:dyDescent="0.2">
      <c r="A8" s="1">
        <v>42887</v>
      </c>
      <c r="B8" s="1">
        <v>42887</v>
      </c>
      <c r="C8" s="1" t="s">
        <v>668</v>
      </c>
      <c r="D8" s="11">
        <v>500</v>
      </c>
    </row>
    <row r="9" spans="1:5" x14ac:dyDescent="0.2">
      <c r="A9" s="49">
        <v>42917</v>
      </c>
      <c r="B9" s="49">
        <v>42916</v>
      </c>
      <c r="C9" s="49" t="s">
        <v>232</v>
      </c>
      <c r="D9" s="11">
        <f>SUMIFS([1]planilha!$G$2:$G$9,[1]planilha!$A$2:$A$9,DATE(YEAR([1]utilizacao!A9),MONTH([1]utilizacao!A9)-1,DAY([1]utilizacao!A9)))</f>
        <v>-516.79999999999927</v>
      </c>
      <c r="E9" s="1"/>
    </row>
    <row r="10" spans="1:5" x14ac:dyDescent="0.2">
      <c r="A10" s="1">
        <v>42917</v>
      </c>
      <c r="B10" s="1">
        <v>42916</v>
      </c>
      <c r="C10" s="1" t="s">
        <v>361</v>
      </c>
      <c r="D10" s="11">
        <v>2999.55</v>
      </c>
    </row>
    <row r="11" spans="1:5" x14ac:dyDescent="0.2">
      <c r="A11" s="1">
        <v>42917</v>
      </c>
      <c r="B11" s="1">
        <v>42916</v>
      </c>
      <c r="C11" s="1" t="s">
        <v>669</v>
      </c>
      <c r="D11" s="11">
        <v>4526.5</v>
      </c>
    </row>
    <row r="12" spans="1:5" x14ac:dyDescent="0.2">
      <c r="A12" s="1">
        <v>42917</v>
      </c>
      <c r="B12" s="1">
        <v>42931</v>
      </c>
      <c r="C12" s="1" t="s">
        <v>361</v>
      </c>
      <c r="D12" s="11">
        <v>3622</v>
      </c>
    </row>
    <row r="13" spans="1:5" x14ac:dyDescent="0.2">
      <c r="A13" s="49">
        <v>42948</v>
      </c>
      <c r="B13" s="49">
        <v>42947</v>
      </c>
      <c r="C13" s="49" t="s">
        <v>232</v>
      </c>
      <c r="D13" s="11">
        <f>SUMIFS([1]planilha!$G$2:$G$9,[1]planilha!$A$2:$A$9,DATE(YEAR([1]utilizacao!A13),MONTH([1]utilizacao!A13)-1,DAY([1]utilizacao!A13)))</f>
        <v>-1382.6899999999969</v>
      </c>
    </row>
    <row r="14" spans="1:5" x14ac:dyDescent="0.2">
      <c r="A14" s="1">
        <v>42948</v>
      </c>
      <c r="B14" s="1">
        <v>42947</v>
      </c>
      <c r="C14" s="1" t="s">
        <v>361</v>
      </c>
      <c r="D14" s="11">
        <v>3209.6</v>
      </c>
    </row>
    <row r="15" spans="1:5" x14ac:dyDescent="0.2">
      <c r="A15" s="1">
        <v>42948</v>
      </c>
      <c r="B15" s="1">
        <v>42962</v>
      </c>
      <c r="C15" s="1" t="s">
        <v>361</v>
      </c>
      <c r="D15" s="11">
        <v>3622</v>
      </c>
    </row>
    <row r="16" spans="1:5" x14ac:dyDescent="0.2">
      <c r="A16" s="49">
        <v>42979</v>
      </c>
      <c r="B16" s="49">
        <v>42978</v>
      </c>
      <c r="C16" s="49" t="s">
        <v>232</v>
      </c>
      <c r="D16" s="11" t="e">
        <f>SUMIFS([1]planilha!$G$2:$G$9,[1]planilha!$A$2:$A$9,DATE(YEAR([1]utilizacao!A16),MONTH([1]utilizacao!A16)-1,DAY([1]utilizacao!A16)))</f>
        <v>#VALUE!</v>
      </c>
    </row>
    <row r="17" spans="1:5" x14ac:dyDescent="0.2">
      <c r="A17" s="1">
        <v>42979</v>
      </c>
      <c r="B17" s="1">
        <v>42978</v>
      </c>
      <c r="C17" s="1" t="s">
        <v>361</v>
      </c>
      <c r="D17" s="11">
        <v>4021.26</v>
      </c>
    </row>
    <row r="18" spans="1:5" x14ac:dyDescent="0.2">
      <c r="A18" s="1">
        <v>42979</v>
      </c>
      <c r="B18" s="1">
        <v>42993</v>
      </c>
      <c r="C18" s="1" t="s">
        <v>361</v>
      </c>
      <c r="D18" s="11">
        <v>3622</v>
      </c>
    </row>
    <row r="19" spans="1:5" x14ac:dyDescent="0.2">
      <c r="A19" s="1">
        <v>42979</v>
      </c>
      <c r="B19" s="1">
        <v>42992</v>
      </c>
      <c r="C19" s="1" t="s">
        <v>670</v>
      </c>
      <c r="D19" s="11">
        <v>3893.88</v>
      </c>
    </row>
    <row r="20" spans="1:5" x14ac:dyDescent="0.2">
      <c r="A20" s="49">
        <v>43009</v>
      </c>
      <c r="B20" s="49">
        <v>43008</v>
      </c>
      <c r="C20" s="49" t="s">
        <v>232</v>
      </c>
      <c r="D20" s="11">
        <f>SUMIFS([1]planilha!$G$2:$G$9,[1]planilha!$A$2:$A$9,DATE(YEAR([1]utilizacao!A20),MONTH([1]utilizacao!A20)-1,DAY([1]utilizacao!A20)))</f>
        <v>733.56000000000313</v>
      </c>
    </row>
    <row r="21" spans="1:5" x14ac:dyDescent="0.2">
      <c r="A21" s="1">
        <v>43009</v>
      </c>
      <c r="B21" s="1">
        <v>43008</v>
      </c>
      <c r="C21" s="1" t="s">
        <v>361</v>
      </c>
      <c r="D21" s="11">
        <v>3274.55</v>
      </c>
    </row>
    <row r="22" spans="1:5" x14ac:dyDescent="0.2">
      <c r="A22" s="1">
        <v>43009</v>
      </c>
      <c r="B22" s="1">
        <v>43023</v>
      </c>
      <c r="C22" s="1" t="s">
        <v>361</v>
      </c>
      <c r="D22" s="11">
        <v>3622</v>
      </c>
      <c r="E22" s="11"/>
    </row>
    <row r="23" spans="1:5" x14ac:dyDescent="0.2">
      <c r="A23" s="49">
        <v>43040</v>
      </c>
      <c r="B23" s="49">
        <v>43038</v>
      </c>
      <c r="C23" s="49" t="s">
        <v>232</v>
      </c>
      <c r="D23" s="11">
        <f>SUMIFS([1]planilha!$G$2:$G$9,[1]planilha!$A$2:$A$9,DATE(YEAR([1]utilizacao!A23),MONTH([1]utilizacao!A23)-1,DAY([1]utilizacao!A23)))</f>
        <v>-565.48999999999705</v>
      </c>
    </row>
    <row r="24" spans="1:5" x14ac:dyDescent="0.2">
      <c r="A24" s="1">
        <v>43040</v>
      </c>
      <c r="B24" s="1">
        <v>43038</v>
      </c>
      <c r="C24" s="1" t="s">
        <v>361</v>
      </c>
      <c r="D24" s="11">
        <v>3067.72</v>
      </c>
    </row>
    <row r="25" spans="1:5" x14ac:dyDescent="0.2">
      <c r="A25" s="1">
        <v>43040</v>
      </c>
      <c r="B25" s="1">
        <v>43054</v>
      </c>
      <c r="C25" s="1" t="s">
        <v>361</v>
      </c>
      <c r="D25" s="11">
        <v>3622</v>
      </c>
    </row>
    <row r="26" spans="1:5" x14ac:dyDescent="0.2">
      <c r="A26" s="49">
        <v>43070</v>
      </c>
      <c r="B26" s="49">
        <v>43069</v>
      </c>
      <c r="C26" s="49" t="s">
        <v>232</v>
      </c>
      <c r="D26" s="11">
        <f>SUMIFS([1]planilha!$G$2:$G$9,[1]planilha!$A$2:$A$9,DATE(YEAR([1]utilizacao!A26),MONTH([1]utilizacao!A26)-1,DAY([1]utilizacao!A26)))</f>
        <v>-1568.3599999999951</v>
      </c>
    </row>
    <row r="27" spans="1:5" x14ac:dyDescent="0.2">
      <c r="A27" s="1">
        <v>43070</v>
      </c>
      <c r="B27" s="1">
        <v>43069</v>
      </c>
      <c r="C27" s="1" t="s">
        <v>361</v>
      </c>
      <c r="D27" s="11">
        <v>3022.02</v>
      </c>
    </row>
    <row r="28" spans="1:5" x14ac:dyDescent="0.2">
      <c r="A28" s="1">
        <v>43070</v>
      </c>
      <c r="B28" s="1">
        <v>43084</v>
      </c>
      <c r="C28" s="1" t="s">
        <v>361</v>
      </c>
      <c r="D28" s="11">
        <v>3622</v>
      </c>
      <c r="E28" s="11">
        <v>0</v>
      </c>
    </row>
    <row r="29" spans="1:5" x14ac:dyDescent="0.2">
      <c r="A29" s="1">
        <v>43070</v>
      </c>
      <c r="B29" s="1">
        <v>43089</v>
      </c>
      <c r="C29" s="1" t="s">
        <v>669</v>
      </c>
      <c r="D29" s="11">
        <v>0</v>
      </c>
      <c r="E29" s="11">
        <v>2526.5</v>
      </c>
    </row>
    <row r="30" spans="1:5" x14ac:dyDescent="0.2">
      <c r="A30" s="1">
        <v>43070</v>
      </c>
      <c r="B30" s="1">
        <v>43089</v>
      </c>
      <c r="C30" s="1" t="s">
        <v>361</v>
      </c>
      <c r="D30" s="11">
        <v>0</v>
      </c>
      <c r="E30" s="11">
        <v>3022.02</v>
      </c>
    </row>
    <row r="31" spans="1:5" x14ac:dyDescent="0.2">
      <c r="A31" s="1">
        <v>42736</v>
      </c>
      <c r="B31" s="1">
        <v>42736</v>
      </c>
      <c r="C31" t="s">
        <v>671</v>
      </c>
      <c r="D31" s="11">
        <v>8089.26</v>
      </c>
      <c r="E31" s="92">
        <f>SUM(E2:E29)</f>
        <v>2526.5</v>
      </c>
    </row>
    <row r="32" spans="1:5" x14ac:dyDescent="0.2">
      <c r="A32" s="1">
        <v>42736</v>
      </c>
      <c r="B32" s="1">
        <v>42748</v>
      </c>
      <c r="C32" t="s">
        <v>672</v>
      </c>
      <c r="D32" s="11">
        <v>3407</v>
      </c>
    </row>
    <row r="33" spans="1:5" x14ac:dyDescent="0.2">
      <c r="A33" s="1">
        <v>42767</v>
      </c>
      <c r="B33" s="1">
        <v>42765</v>
      </c>
      <c r="C33" t="s">
        <v>672</v>
      </c>
      <c r="D33" s="11">
        <v>5110</v>
      </c>
    </row>
    <row r="34" spans="1:5" x14ac:dyDescent="0.2">
      <c r="A34" s="1">
        <v>42767</v>
      </c>
      <c r="B34" s="1">
        <v>42781</v>
      </c>
      <c r="C34" t="s">
        <v>672</v>
      </c>
      <c r="D34" s="11">
        <v>3407</v>
      </c>
    </row>
    <row r="35" spans="1:5" x14ac:dyDescent="0.2">
      <c r="A35" s="1">
        <v>42795</v>
      </c>
      <c r="B35" s="1">
        <v>42795</v>
      </c>
      <c r="C35" t="s">
        <v>672</v>
      </c>
      <c r="D35" s="11">
        <v>5110</v>
      </c>
    </row>
    <row r="36" spans="1:5" x14ac:dyDescent="0.2">
      <c r="A36" s="1">
        <v>42795</v>
      </c>
      <c r="B36" s="1">
        <v>42809</v>
      </c>
      <c r="C36" t="s">
        <v>672</v>
      </c>
      <c r="D36" s="11">
        <v>3407</v>
      </c>
    </row>
    <row r="37" spans="1:5" x14ac:dyDescent="0.2">
      <c r="A37" s="1">
        <v>42826</v>
      </c>
      <c r="B37" s="1">
        <v>42824</v>
      </c>
      <c r="C37" t="s">
        <v>672</v>
      </c>
      <c r="D37" s="11">
        <v>5110</v>
      </c>
    </row>
    <row r="38" spans="1:5" x14ac:dyDescent="0.2">
      <c r="A38" s="1">
        <v>42767</v>
      </c>
      <c r="B38" s="1">
        <v>42779</v>
      </c>
      <c r="C38" t="s">
        <v>672</v>
      </c>
      <c r="D38" s="11">
        <v>294</v>
      </c>
    </row>
    <row r="39" spans="1:5" x14ac:dyDescent="0.2">
      <c r="A39" s="1">
        <v>42795</v>
      </c>
      <c r="B39" s="1">
        <v>42795</v>
      </c>
      <c r="C39" t="s">
        <v>673</v>
      </c>
      <c r="D39" s="11">
        <v>16.600000000000001</v>
      </c>
      <c r="E39" s="11">
        <v>2835.03</v>
      </c>
    </row>
    <row r="40" spans="1:5" x14ac:dyDescent="0.2">
      <c r="A40" s="1">
        <v>42826</v>
      </c>
      <c r="B40" s="14">
        <v>42832</v>
      </c>
      <c r="C40" t="s">
        <v>674</v>
      </c>
      <c r="D40" s="11">
        <v>0</v>
      </c>
    </row>
    <row r="41" spans="1:5" x14ac:dyDescent="0.2">
      <c r="A41" s="1">
        <v>42826</v>
      </c>
      <c r="B41" s="93">
        <v>42853</v>
      </c>
      <c r="C41" t="s">
        <v>672</v>
      </c>
      <c r="D41" s="11">
        <v>0</v>
      </c>
      <c r="E41" s="11">
        <v>4120</v>
      </c>
    </row>
    <row r="42" spans="1:5" x14ac:dyDescent="0.2">
      <c r="A42" s="1">
        <v>42826</v>
      </c>
      <c r="B42" s="14">
        <v>42832</v>
      </c>
      <c r="C42" t="s">
        <v>674</v>
      </c>
      <c r="D42" s="11">
        <v>1798.91</v>
      </c>
      <c r="E42" s="11">
        <v>3000</v>
      </c>
    </row>
    <row r="43" spans="1:5" x14ac:dyDescent="0.2">
      <c r="A43" s="1">
        <v>42826</v>
      </c>
      <c r="B43" s="14">
        <v>42832</v>
      </c>
      <c r="C43" t="s">
        <v>674</v>
      </c>
      <c r="D43" s="11">
        <v>3621.2</v>
      </c>
      <c r="E43" s="11">
        <v>3400</v>
      </c>
    </row>
    <row r="44" spans="1:5" x14ac:dyDescent="0.2">
      <c r="A44" s="1">
        <v>42826</v>
      </c>
      <c r="B44" s="14">
        <v>42832</v>
      </c>
      <c r="C44" t="s">
        <v>674</v>
      </c>
      <c r="D44" s="11">
        <v>112.7</v>
      </c>
    </row>
    <row r="45" spans="1:5" x14ac:dyDescent="0.2">
      <c r="A45" s="1">
        <v>42826</v>
      </c>
      <c r="B45" s="14">
        <v>42832</v>
      </c>
      <c r="C45" t="s">
        <v>674</v>
      </c>
      <c r="D45" s="11">
        <v>436.65</v>
      </c>
    </row>
    <row r="46" spans="1:5" x14ac:dyDescent="0.2">
      <c r="A46" s="1">
        <v>42826</v>
      </c>
      <c r="B46" s="14">
        <v>42832</v>
      </c>
      <c r="C46" t="s">
        <v>674</v>
      </c>
      <c r="D46" s="11">
        <v>5431.8</v>
      </c>
    </row>
    <row r="47" spans="1:5" x14ac:dyDescent="0.2">
      <c r="A47" s="1">
        <v>42826</v>
      </c>
      <c r="B47" s="14">
        <v>42832</v>
      </c>
      <c r="C47" t="s">
        <v>674</v>
      </c>
      <c r="D47" s="11">
        <v>1810.6</v>
      </c>
    </row>
    <row r="48" spans="1:5" x14ac:dyDescent="0.2">
      <c r="A48" s="1">
        <v>42826</v>
      </c>
      <c r="B48" s="14">
        <v>42832</v>
      </c>
      <c r="C48" t="s">
        <v>674</v>
      </c>
      <c r="D48" s="11">
        <v>3017.67</v>
      </c>
    </row>
    <row r="49" spans="1:4" x14ac:dyDescent="0.2">
      <c r="A49" s="1">
        <v>42826</v>
      </c>
      <c r="B49" s="14">
        <v>42832</v>
      </c>
      <c r="C49" t="s">
        <v>674</v>
      </c>
      <c r="D49" s="11">
        <v>1005.89</v>
      </c>
    </row>
    <row r="50" spans="1:4" x14ac:dyDescent="0.2">
      <c r="A50" s="1">
        <v>42826</v>
      </c>
      <c r="B50" s="14">
        <v>42832</v>
      </c>
      <c r="C50" t="s">
        <v>674</v>
      </c>
      <c r="D50" s="11">
        <v>603.53</v>
      </c>
    </row>
    <row r="51" spans="1:4" x14ac:dyDescent="0.2">
      <c r="A51" s="1">
        <v>42826</v>
      </c>
      <c r="B51" s="14">
        <v>42832</v>
      </c>
      <c r="C51" t="s">
        <v>674</v>
      </c>
      <c r="D51" s="11">
        <v>201.18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/>
  <dimension ref="A1:L1033"/>
  <sheetViews>
    <sheetView topLeftCell="A986" zoomScale="78" zoomScaleNormal="78" workbookViewId="0">
      <selection activeCell="C1034" sqref="C1034"/>
    </sheetView>
  </sheetViews>
  <sheetFormatPr defaultRowHeight="12.75" x14ac:dyDescent="0.2"/>
  <cols>
    <col min="1" max="1" width="33.5703125" style="17" customWidth="1"/>
    <col min="2" max="2" width="16.5703125" style="17"/>
    <col min="3" max="3" width="9.140625" style="17"/>
    <col min="4" max="4" width="19.28515625" style="17"/>
    <col min="5" max="5" width="16.42578125" style="17"/>
    <col min="6" max="6" width="16.42578125" style="19"/>
    <col min="7" max="7" width="9.140625" style="17"/>
    <col min="8" max="8" width="16.42578125" style="19"/>
    <col min="9" max="9" width="24.42578125" style="17"/>
    <col min="10" max="10" width="16.42578125" style="17"/>
    <col min="11" max="11" width="11.140625" style="17" bestFit="1" customWidth="1"/>
    <col min="12" max="16384" width="9.140625" style="17"/>
  </cols>
  <sheetData>
    <row r="1" spans="1:10" x14ac:dyDescent="0.2">
      <c r="A1" s="17" t="s">
        <v>0</v>
      </c>
      <c r="B1" s="18" t="s">
        <v>1</v>
      </c>
      <c r="C1" s="17" t="s">
        <v>2</v>
      </c>
      <c r="D1" s="17" t="s">
        <v>3</v>
      </c>
      <c r="E1" s="17" t="s">
        <v>4</v>
      </c>
      <c r="F1" s="18" t="s">
        <v>5</v>
      </c>
      <c r="G1" s="17" t="s">
        <v>6</v>
      </c>
      <c r="H1" s="18" t="s">
        <v>7</v>
      </c>
      <c r="I1" s="17" t="s">
        <v>8</v>
      </c>
    </row>
    <row r="2" spans="1:10" x14ac:dyDescent="0.2">
      <c r="A2" s="17" t="s">
        <v>9</v>
      </c>
      <c r="B2" s="17">
        <v>0</v>
      </c>
      <c r="C2" s="17">
        <v>1</v>
      </c>
      <c r="D2" s="17">
        <v>0</v>
      </c>
      <c r="E2" s="17">
        <v>0</v>
      </c>
      <c r="F2" s="19">
        <v>42736</v>
      </c>
      <c r="G2" s="17" t="s">
        <v>10</v>
      </c>
      <c r="H2" s="19">
        <v>42736</v>
      </c>
      <c r="I2" s="17" t="s">
        <v>11</v>
      </c>
      <c r="J2" s="18"/>
    </row>
    <row r="3" spans="1:10" x14ac:dyDescent="0.2">
      <c r="A3" s="17" t="s">
        <v>12</v>
      </c>
      <c r="B3" s="17">
        <v>0</v>
      </c>
      <c r="C3" s="17">
        <v>1</v>
      </c>
      <c r="D3" s="17">
        <v>0</v>
      </c>
      <c r="E3" s="17">
        <v>0</v>
      </c>
      <c r="F3" s="19">
        <v>42736</v>
      </c>
      <c r="G3" s="17" t="s">
        <v>10</v>
      </c>
      <c r="H3" s="19">
        <v>42736</v>
      </c>
      <c r="I3" s="17" t="s">
        <v>11</v>
      </c>
      <c r="J3" s="18"/>
    </row>
    <row r="4" spans="1:10" x14ac:dyDescent="0.2">
      <c r="A4" s="17" t="s">
        <v>13</v>
      </c>
      <c r="B4" s="17">
        <v>0</v>
      </c>
      <c r="C4" s="17">
        <v>1</v>
      </c>
      <c r="D4" s="17">
        <v>0</v>
      </c>
      <c r="E4" s="17">
        <v>0</v>
      </c>
      <c r="F4" s="19">
        <v>42736</v>
      </c>
      <c r="G4" s="17" t="s">
        <v>10</v>
      </c>
      <c r="H4" s="19">
        <v>42736</v>
      </c>
      <c r="I4" s="17" t="s">
        <v>11</v>
      </c>
      <c r="J4" s="18"/>
    </row>
    <row r="5" spans="1:10" x14ac:dyDescent="0.2">
      <c r="A5" s="17" t="s">
        <v>14</v>
      </c>
      <c r="B5" s="17">
        <v>0</v>
      </c>
      <c r="C5" s="17">
        <v>1</v>
      </c>
      <c r="D5" s="17">
        <v>0</v>
      </c>
      <c r="E5" s="17">
        <v>0</v>
      </c>
      <c r="F5" s="19">
        <v>42736</v>
      </c>
      <c r="G5" s="17" t="s">
        <v>10</v>
      </c>
      <c r="H5" s="19">
        <v>42736</v>
      </c>
      <c r="I5" s="17" t="s">
        <v>11</v>
      </c>
      <c r="J5" s="18"/>
    </row>
    <row r="6" spans="1:10" x14ac:dyDescent="0.2">
      <c r="A6" s="17" t="s">
        <v>15</v>
      </c>
      <c r="B6" s="17">
        <v>0</v>
      </c>
      <c r="C6" s="17">
        <v>1</v>
      </c>
      <c r="D6" s="17">
        <v>0</v>
      </c>
      <c r="E6" s="17">
        <v>0</v>
      </c>
      <c r="F6" s="19">
        <v>42736</v>
      </c>
      <c r="G6" s="17" t="s">
        <v>10</v>
      </c>
      <c r="H6" s="19">
        <v>42736</v>
      </c>
      <c r="I6" s="17" t="s">
        <v>11</v>
      </c>
      <c r="J6" s="18"/>
    </row>
    <row r="7" spans="1:10" x14ac:dyDescent="0.2">
      <c r="A7" s="17" t="s">
        <v>16</v>
      </c>
      <c r="B7" s="17">
        <v>0</v>
      </c>
      <c r="C7" s="17">
        <v>1</v>
      </c>
      <c r="D7" s="17">
        <v>0</v>
      </c>
      <c r="E7" s="17">
        <v>0</v>
      </c>
      <c r="F7" s="19">
        <v>42736</v>
      </c>
      <c r="G7" s="17" t="s">
        <v>10</v>
      </c>
      <c r="H7" s="19">
        <v>42736</v>
      </c>
      <c r="I7" s="17" t="s">
        <v>11</v>
      </c>
      <c r="J7" s="18"/>
    </row>
    <row r="8" spans="1:10" x14ac:dyDescent="0.2">
      <c r="A8" s="17" t="s">
        <v>17</v>
      </c>
      <c r="B8" s="17">
        <v>0</v>
      </c>
      <c r="C8" s="17">
        <v>1</v>
      </c>
      <c r="D8" s="17">
        <v>0</v>
      </c>
      <c r="E8" s="17">
        <v>0</v>
      </c>
      <c r="F8" s="19">
        <v>42736</v>
      </c>
      <c r="G8" s="17" t="s">
        <v>10</v>
      </c>
      <c r="H8" s="19">
        <v>42736</v>
      </c>
      <c r="I8" s="17" t="s">
        <v>11</v>
      </c>
      <c r="J8" s="18"/>
    </row>
    <row r="9" spans="1:10" x14ac:dyDescent="0.2">
      <c r="A9" s="17" t="s">
        <v>18</v>
      </c>
      <c r="B9" s="17">
        <v>0</v>
      </c>
      <c r="C9" s="17">
        <v>1</v>
      </c>
      <c r="D9" s="17">
        <v>0</v>
      </c>
      <c r="E9" s="17">
        <v>0</v>
      </c>
      <c r="F9" s="19">
        <v>42736</v>
      </c>
      <c r="G9" s="17" t="s">
        <v>10</v>
      </c>
      <c r="H9" s="19">
        <v>42736</v>
      </c>
      <c r="I9" s="17" t="s">
        <v>11</v>
      </c>
      <c r="J9" s="18"/>
    </row>
    <row r="10" spans="1:10" x14ac:dyDescent="0.2">
      <c r="A10" s="17" t="s">
        <v>19</v>
      </c>
      <c r="B10" s="17">
        <v>0</v>
      </c>
      <c r="C10" s="17">
        <v>1</v>
      </c>
      <c r="D10" s="17">
        <v>0</v>
      </c>
      <c r="E10" s="17">
        <v>0</v>
      </c>
      <c r="F10" s="19">
        <v>42736</v>
      </c>
      <c r="G10" s="17" t="s">
        <v>10</v>
      </c>
      <c r="H10" s="19">
        <v>42736</v>
      </c>
      <c r="I10" s="17" t="s">
        <v>11</v>
      </c>
      <c r="J10" s="18"/>
    </row>
    <row r="11" spans="1:10" x14ac:dyDescent="0.2">
      <c r="A11" s="17" t="s">
        <v>20</v>
      </c>
      <c r="B11" s="18">
        <f>SUMIFS(credito!$B$2:$B$103,credito!$F$2:$F$103,F11,credito!$G$2:$G$103,0)</f>
        <v>3928.07</v>
      </c>
      <c r="C11" s="17">
        <v>1</v>
      </c>
      <c r="D11" s="17">
        <v>0</v>
      </c>
      <c r="E11" s="17">
        <v>0</v>
      </c>
      <c r="F11" s="19">
        <v>42736</v>
      </c>
      <c r="G11" s="17" t="s">
        <v>10</v>
      </c>
      <c r="H11" s="19">
        <v>42736</v>
      </c>
      <c r="I11" s="17" t="s">
        <v>21</v>
      </c>
    </row>
    <row r="12" spans="1:10" x14ac:dyDescent="0.2">
      <c r="A12" s="17" t="s">
        <v>22</v>
      </c>
      <c r="B12" s="18">
        <v>83.9</v>
      </c>
      <c r="C12" s="17">
        <v>0</v>
      </c>
      <c r="D12" s="17">
        <v>1</v>
      </c>
      <c r="E12" s="17">
        <v>0</v>
      </c>
      <c r="F12" s="19">
        <v>42736</v>
      </c>
      <c r="G12" s="17" t="s">
        <v>10</v>
      </c>
      <c r="H12" s="19">
        <v>42737</v>
      </c>
      <c r="I12" s="17" t="s">
        <v>23</v>
      </c>
    </row>
    <row r="13" spans="1:10" x14ac:dyDescent="0.2">
      <c r="A13" s="17" t="s">
        <v>24</v>
      </c>
      <c r="B13" s="18">
        <v>52.4</v>
      </c>
      <c r="C13" s="17">
        <v>1</v>
      </c>
      <c r="D13" s="17">
        <v>0</v>
      </c>
      <c r="E13" s="17">
        <v>0</v>
      </c>
      <c r="F13" s="19">
        <v>42736</v>
      </c>
      <c r="G13" s="17" t="s">
        <v>10</v>
      </c>
      <c r="H13" s="19">
        <v>42738</v>
      </c>
      <c r="I13" s="17" t="s">
        <v>25</v>
      </c>
    </row>
    <row r="14" spans="1:10" x14ac:dyDescent="0.2">
      <c r="A14" s="17" t="s">
        <v>26</v>
      </c>
      <c r="B14" s="18">
        <v>405.25</v>
      </c>
      <c r="C14" s="17">
        <v>0</v>
      </c>
      <c r="D14" s="17">
        <v>1</v>
      </c>
      <c r="E14" s="17">
        <v>0</v>
      </c>
      <c r="F14" s="19">
        <v>42736</v>
      </c>
      <c r="G14" s="17" t="s">
        <v>10</v>
      </c>
      <c r="H14" s="19">
        <v>42738</v>
      </c>
      <c r="I14" s="17" t="s">
        <v>27</v>
      </c>
    </row>
    <row r="15" spans="1:10" x14ac:dyDescent="0.2">
      <c r="A15" s="17" t="s">
        <v>28</v>
      </c>
      <c r="B15" s="18">
        <v>5.9</v>
      </c>
      <c r="C15" s="17">
        <v>0</v>
      </c>
      <c r="D15" s="17">
        <v>1</v>
      </c>
      <c r="E15" s="17">
        <v>0</v>
      </c>
      <c r="F15" s="19">
        <v>42736</v>
      </c>
      <c r="G15" s="17" t="s">
        <v>10</v>
      </c>
      <c r="H15" s="19">
        <v>42738</v>
      </c>
      <c r="I15" s="17" t="s">
        <v>29</v>
      </c>
    </row>
    <row r="16" spans="1:10" x14ac:dyDescent="0.2">
      <c r="A16" s="17" t="s">
        <v>30</v>
      </c>
      <c r="B16" s="18">
        <v>6.9</v>
      </c>
      <c r="C16" s="17">
        <v>0</v>
      </c>
      <c r="D16" s="17">
        <v>1</v>
      </c>
      <c r="E16" s="17">
        <v>0</v>
      </c>
      <c r="F16" s="19">
        <v>42736</v>
      </c>
      <c r="G16" s="17" t="s">
        <v>10</v>
      </c>
      <c r="H16" s="19">
        <v>42738</v>
      </c>
      <c r="I16" s="17" t="s">
        <v>29</v>
      </c>
    </row>
    <row r="17" spans="1:9" x14ac:dyDescent="0.2">
      <c r="A17" s="17" t="s">
        <v>31</v>
      </c>
      <c r="B17" s="18">
        <v>4</v>
      </c>
      <c r="C17" s="17">
        <v>0</v>
      </c>
      <c r="D17" s="17">
        <v>1</v>
      </c>
      <c r="E17" s="17">
        <v>0</v>
      </c>
      <c r="F17" s="19">
        <v>42736</v>
      </c>
      <c r="G17" s="17" t="s">
        <v>10</v>
      </c>
      <c r="H17" s="19">
        <v>42738</v>
      </c>
      <c r="I17" s="17" t="s">
        <v>29</v>
      </c>
    </row>
    <row r="18" spans="1:9" x14ac:dyDescent="0.2">
      <c r="A18" s="17" t="s">
        <v>32</v>
      </c>
      <c r="B18" s="18">
        <v>4</v>
      </c>
      <c r="C18" s="17">
        <v>0</v>
      </c>
      <c r="D18" s="17">
        <v>1</v>
      </c>
      <c r="E18" s="17">
        <v>0</v>
      </c>
      <c r="F18" s="19">
        <v>42736</v>
      </c>
      <c r="G18" s="17" t="s">
        <v>10</v>
      </c>
      <c r="H18" s="19">
        <v>42738</v>
      </c>
      <c r="I18" s="17" t="s">
        <v>29</v>
      </c>
    </row>
    <row r="19" spans="1:9" x14ac:dyDescent="0.2">
      <c r="A19" s="17" t="s">
        <v>33</v>
      </c>
      <c r="B19" s="18">
        <v>60</v>
      </c>
      <c r="C19" s="17">
        <v>0</v>
      </c>
      <c r="D19" s="17">
        <v>1</v>
      </c>
      <c r="E19" s="17">
        <v>0</v>
      </c>
      <c r="F19" s="19">
        <v>42736</v>
      </c>
      <c r="G19" s="17" t="s">
        <v>10</v>
      </c>
      <c r="H19" s="19">
        <v>42738</v>
      </c>
      <c r="I19" s="17" t="s">
        <v>34</v>
      </c>
    </row>
    <row r="20" spans="1:9" x14ac:dyDescent="0.2">
      <c r="A20" s="17" t="s">
        <v>35</v>
      </c>
      <c r="B20" s="18">
        <v>380.58</v>
      </c>
      <c r="C20" s="17">
        <v>1</v>
      </c>
      <c r="D20" s="17">
        <v>0</v>
      </c>
      <c r="E20" s="17">
        <v>0</v>
      </c>
      <c r="F20" s="19">
        <v>42736</v>
      </c>
      <c r="G20" s="17" t="s">
        <v>10</v>
      </c>
      <c r="H20" s="19">
        <v>42739</v>
      </c>
      <c r="I20" s="17" t="s">
        <v>36</v>
      </c>
    </row>
    <row r="21" spans="1:9" x14ac:dyDescent="0.2">
      <c r="A21" s="17" t="s">
        <v>37</v>
      </c>
      <c r="B21" s="18">
        <v>6</v>
      </c>
      <c r="C21" s="17">
        <v>0</v>
      </c>
      <c r="D21" s="17">
        <v>1</v>
      </c>
      <c r="E21" s="17">
        <v>0</v>
      </c>
      <c r="F21" s="19">
        <v>42736</v>
      </c>
      <c r="G21" s="17" t="s">
        <v>10</v>
      </c>
      <c r="H21" s="19">
        <v>42739</v>
      </c>
      <c r="I21" s="17" t="s">
        <v>29</v>
      </c>
    </row>
    <row r="22" spans="1:9" x14ac:dyDescent="0.2">
      <c r="A22" s="17" t="s">
        <v>38</v>
      </c>
      <c r="B22" s="18">
        <v>3.5</v>
      </c>
      <c r="C22" s="17">
        <v>0</v>
      </c>
      <c r="D22" s="17">
        <v>1</v>
      </c>
      <c r="E22" s="17">
        <v>0</v>
      </c>
      <c r="F22" s="19">
        <v>42736</v>
      </c>
      <c r="G22" s="17" t="s">
        <v>10</v>
      </c>
      <c r="H22" s="19">
        <v>42739</v>
      </c>
      <c r="I22" s="17" t="s">
        <v>29</v>
      </c>
    </row>
    <row r="23" spans="1:9" x14ac:dyDescent="0.2">
      <c r="A23" s="17" t="s">
        <v>39</v>
      </c>
      <c r="B23" s="18">
        <v>73.91</v>
      </c>
      <c r="C23" s="17">
        <v>1</v>
      </c>
      <c r="D23" s="17">
        <v>0</v>
      </c>
      <c r="E23" s="17">
        <v>0</v>
      </c>
      <c r="F23" s="19">
        <v>42736</v>
      </c>
      <c r="G23" s="17" t="s">
        <v>10</v>
      </c>
      <c r="H23" s="19">
        <v>42741</v>
      </c>
      <c r="I23" s="17" t="s">
        <v>36</v>
      </c>
    </row>
    <row r="24" spans="1:9" x14ac:dyDescent="0.2">
      <c r="A24" s="17" t="s">
        <v>40</v>
      </c>
      <c r="B24" s="18">
        <v>200</v>
      </c>
      <c r="C24" s="17">
        <v>1</v>
      </c>
      <c r="D24" s="17">
        <v>0</v>
      </c>
      <c r="E24" s="17">
        <v>0</v>
      </c>
      <c r="F24" s="19">
        <v>42736</v>
      </c>
      <c r="G24" s="17" t="s">
        <v>10</v>
      </c>
      <c r="H24" s="19">
        <v>42743</v>
      </c>
      <c r="I24" s="17" t="s">
        <v>27</v>
      </c>
    </row>
    <row r="25" spans="1:9" x14ac:dyDescent="0.2">
      <c r="A25" s="17" t="s">
        <v>41</v>
      </c>
      <c r="B25" s="18">
        <v>50</v>
      </c>
      <c r="C25" s="17">
        <v>0</v>
      </c>
      <c r="D25" s="17">
        <v>1</v>
      </c>
      <c r="E25" s="17">
        <v>0</v>
      </c>
      <c r="F25" s="19">
        <v>42736</v>
      </c>
      <c r="G25" s="17" t="s">
        <v>10</v>
      </c>
      <c r="H25" s="19">
        <v>42743</v>
      </c>
      <c r="I25" s="17" t="s">
        <v>41</v>
      </c>
    </row>
    <row r="26" spans="1:9" x14ac:dyDescent="0.2">
      <c r="A26" s="17" t="s">
        <v>42</v>
      </c>
      <c r="B26" s="18">
        <v>1437.5</v>
      </c>
      <c r="C26" s="17">
        <v>1</v>
      </c>
      <c r="D26" s="17">
        <v>0</v>
      </c>
      <c r="E26" s="17">
        <v>0</v>
      </c>
      <c r="F26" s="19">
        <v>42736</v>
      </c>
      <c r="G26" s="17" t="s">
        <v>43</v>
      </c>
      <c r="H26" s="19">
        <v>42744</v>
      </c>
      <c r="I26" s="17" t="s">
        <v>36</v>
      </c>
    </row>
    <row r="27" spans="1:9" x14ac:dyDescent="0.2">
      <c r="A27" s="17" t="s">
        <v>44</v>
      </c>
      <c r="B27" s="18">
        <v>50</v>
      </c>
      <c r="C27" s="17">
        <v>0</v>
      </c>
      <c r="D27" s="17">
        <v>1</v>
      </c>
      <c r="E27" s="17">
        <v>0</v>
      </c>
      <c r="F27" s="19">
        <v>42736</v>
      </c>
      <c r="G27" s="17" t="s">
        <v>43</v>
      </c>
      <c r="H27" s="19">
        <v>42744</v>
      </c>
      <c r="I27" s="17" t="s">
        <v>44</v>
      </c>
    </row>
    <row r="28" spans="1:9" x14ac:dyDescent="0.2">
      <c r="A28" s="17" t="s">
        <v>45</v>
      </c>
      <c r="B28" s="18">
        <v>2.99</v>
      </c>
      <c r="C28" s="17">
        <v>0</v>
      </c>
      <c r="D28" s="17">
        <v>1</v>
      </c>
      <c r="E28" s="17">
        <v>0</v>
      </c>
      <c r="F28" s="19">
        <v>42736</v>
      </c>
      <c r="G28" s="17" t="s">
        <v>43</v>
      </c>
      <c r="H28" s="19">
        <v>42744</v>
      </c>
      <c r="I28" s="17" t="s">
        <v>29</v>
      </c>
    </row>
    <row r="29" spans="1:9" x14ac:dyDescent="0.2">
      <c r="A29" s="17" t="s">
        <v>46</v>
      </c>
      <c r="B29" s="18">
        <v>45.2</v>
      </c>
      <c r="C29" s="17">
        <v>1</v>
      </c>
      <c r="D29" s="17">
        <v>0</v>
      </c>
      <c r="E29" s="17">
        <v>0</v>
      </c>
      <c r="F29" s="19">
        <v>42736</v>
      </c>
      <c r="G29" s="17" t="s">
        <v>43</v>
      </c>
      <c r="H29" s="19">
        <v>42745</v>
      </c>
      <c r="I29" s="17" t="s">
        <v>25</v>
      </c>
    </row>
    <row r="30" spans="1:9" x14ac:dyDescent="0.2">
      <c r="A30" s="17" t="s">
        <v>47</v>
      </c>
      <c r="B30" s="18">
        <v>145</v>
      </c>
      <c r="C30" s="17">
        <v>1</v>
      </c>
      <c r="D30" s="17">
        <v>0</v>
      </c>
      <c r="E30" s="17">
        <v>0</v>
      </c>
      <c r="F30" s="19">
        <v>42736</v>
      </c>
      <c r="G30" s="17" t="s">
        <v>43</v>
      </c>
      <c r="H30" s="19">
        <v>42745</v>
      </c>
      <c r="I30" s="17" t="s">
        <v>47</v>
      </c>
    </row>
    <row r="31" spans="1:9" x14ac:dyDescent="0.2">
      <c r="A31" s="17" t="s">
        <v>33</v>
      </c>
      <c r="B31" s="18">
        <v>300</v>
      </c>
      <c r="C31" s="17">
        <v>1</v>
      </c>
      <c r="D31" s="17">
        <v>0</v>
      </c>
      <c r="E31" s="17">
        <v>0</v>
      </c>
      <c r="F31" s="19">
        <v>42736</v>
      </c>
      <c r="G31" s="17" t="s">
        <v>43</v>
      </c>
      <c r="H31" s="19">
        <v>42745</v>
      </c>
      <c r="I31" s="17" t="s">
        <v>34</v>
      </c>
    </row>
    <row r="32" spans="1:9" x14ac:dyDescent="0.2">
      <c r="A32" s="17" t="s">
        <v>48</v>
      </c>
      <c r="B32" s="18">
        <v>5.79</v>
      </c>
      <c r="C32" s="17">
        <v>1</v>
      </c>
      <c r="D32" s="17">
        <v>0</v>
      </c>
      <c r="E32" s="17">
        <v>0</v>
      </c>
      <c r="F32" s="19">
        <v>42736</v>
      </c>
      <c r="G32" s="17" t="s">
        <v>43</v>
      </c>
      <c r="H32" s="19">
        <v>42745</v>
      </c>
      <c r="I32" s="17" t="s">
        <v>25</v>
      </c>
    </row>
    <row r="33" spans="1:9" x14ac:dyDescent="0.2">
      <c r="A33" s="17" t="s">
        <v>49</v>
      </c>
      <c r="B33" s="18">
        <v>11</v>
      </c>
      <c r="C33" s="17">
        <v>0</v>
      </c>
      <c r="D33" s="17">
        <v>1</v>
      </c>
      <c r="E33" s="17">
        <v>0</v>
      </c>
      <c r="F33" s="19">
        <v>42736</v>
      </c>
      <c r="G33" s="17" t="s">
        <v>43</v>
      </c>
      <c r="H33" s="19">
        <v>42745</v>
      </c>
      <c r="I33" s="17" t="s">
        <v>29</v>
      </c>
    </row>
    <row r="34" spans="1:9" x14ac:dyDescent="0.2">
      <c r="A34" s="17" t="s">
        <v>28</v>
      </c>
      <c r="B34" s="18">
        <v>4</v>
      </c>
      <c r="C34" s="17">
        <v>0</v>
      </c>
      <c r="D34" s="17">
        <v>1</v>
      </c>
      <c r="E34" s="17">
        <v>0</v>
      </c>
      <c r="F34" s="19">
        <v>42736</v>
      </c>
      <c r="G34" s="17" t="s">
        <v>43</v>
      </c>
      <c r="H34" s="19">
        <v>42745</v>
      </c>
      <c r="I34" s="17" t="s">
        <v>29</v>
      </c>
    </row>
    <row r="35" spans="1:9" x14ac:dyDescent="0.2">
      <c r="A35" s="17" t="s">
        <v>50</v>
      </c>
      <c r="B35" s="18">
        <v>3</v>
      </c>
      <c r="C35" s="17">
        <v>0</v>
      </c>
      <c r="D35" s="17">
        <v>1</v>
      </c>
      <c r="E35" s="17">
        <v>0</v>
      </c>
      <c r="F35" s="19">
        <v>42736</v>
      </c>
      <c r="G35" s="17" t="s">
        <v>43</v>
      </c>
      <c r="H35" s="19">
        <v>42745</v>
      </c>
      <c r="I35" s="17" t="s">
        <v>29</v>
      </c>
    </row>
    <row r="36" spans="1:9" x14ac:dyDescent="0.2">
      <c r="A36" s="17" t="s">
        <v>51</v>
      </c>
      <c r="B36" s="18">
        <v>16</v>
      </c>
      <c r="C36" s="17">
        <v>0</v>
      </c>
      <c r="D36" s="17">
        <v>1</v>
      </c>
      <c r="E36" s="17">
        <v>0</v>
      </c>
      <c r="F36" s="19">
        <v>42736</v>
      </c>
      <c r="G36" s="17" t="s">
        <v>43</v>
      </c>
      <c r="H36" s="19">
        <v>42746</v>
      </c>
      <c r="I36" s="17" t="s">
        <v>29</v>
      </c>
    </row>
    <row r="37" spans="1:9" x14ac:dyDescent="0.2">
      <c r="A37" s="17" t="s">
        <v>49</v>
      </c>
      <c r="B37" s="18">
        <v>7.4</v>
      </c>
      <c r="C37" s="17">
        <v>0</v>
      </c>
      <c r="D37" s="17">
        <v>1</v>
      </c>
      <c r="E37" s="17">
        <v>0</v>
      </c>
      <c r="F37" s="19">
        <v>42736</v>
      </c>
      <c r="G37" s="17" t="s">
        <v>43</v>
      </c>
      <c r="H37" s="19">
        <v>42747</v>
      </c>
      <c r="I37" s="17" t="s">
        <v>29</v>
      </c>
    </row>
    <row r="38" spans="1:9" x14ac:dyDescent="0.2">
      <c r="A38" s="17" t="s">
        <v>50</v>
      </c>
      <c r="B38" s="18">
        <v>3</v>
      </c>
      <c r="C38" s="17">
        <v>0</v>
      </c>
      <c r="D38" s="17">
        <v>1</v>
      </c>
      <c r="E38" s="17">
        <v>0</v>
      </c>
      <c r="F38" s="19">
        <v>42736</v>
      </c>
      <c r="G38" s="17" t="s">
        <v>43</v>
      </c>
      <c r="H38" s="19">
        <v>42748</v>
      </c>
      <c r="I38" s="17" t="s">
        <v>29</v>
      </c>
    </row>
    <row r="39" spans="1:9" x14ac:dyDescent="0.2">
      <c r="A39" s="17" t="s">
        <v>52</v>
      </c>
      <c r="B39" s="18">
        <v>44.9</v>
      </c>
      <c r="C39" s="17">
        <v>0</v>
      </c>
      <c r="D39" s="17">
        <v>1</v>
      </c>
      <c r="E39" s="17">
        <v>0</v>
      </c>
      <c r="F39" s="19">
        <v>42736</v>
      </c>
      <c r="G39" s="17" t="s">
        <v>43</v>
      </c>
      <c r="H39" s="19">
        <v>42748</v>
      </c>
      <c r="I39" s="17" t="s">
        <v>53</v>
      </c>
    </row>
    <row r="40" spans="1:9" x14ac:dyDescent="0.2">
      <c r="A40" s="17" t="s">
        <v>54</v>
      </c>
      <c r="B40" s="18">
        <v>300</v>
      </c>
      <c r="C40" s="17">
        <v>0</v>
      </c>
      <c r="D40" s="17">
        <v>1</v>
      </c>
      <c r="E40" s="17">
        <v>0</v>
      </c>
      <c r="F40" s="19">
        <v>42736</v>
      </c>
      <c r="G40" s="17" t="s">
        <v>43</v>
      </c>
      <c r="H40" s="19">
        <v>42749</v>
      </c>
      <c r="I40" s="17" t="s">
        <v>36</v>
      </c>
    </row>
    <row r="41" spans="1:9" x14ac:dyDescent="0.2">
      <c r="A41" s="17" t="s">
        <v>55</v>
      </c>
      <c r="B41" s="18">
        <v>50</v>
      </c>
      <c r="C41" s="17">
        <v>0</v>
      </c>
      <c r="D41" s="17">
        <v>1</v>
      </c>
      <c r="E41" s="17">
        <v>0</v>
      </c>
      <c r="F41" s="19">
        <v>42736</v>
      </c>
      <c r="G41" s="17" t="s">
        <v>43</v>
      </c>
      <c r="H41" s="19">
        <v>42750</v>
      </c>
      <c r="I41" s="17" t="s">
        <v>53</v>
      </c>
    </row>
    <row r="42" spans="1:9" x14ac:dyDescent="0.2">
      <c r="A42" s="17" t="s">
        <v>56</v>
      </c>
      <c r="B42" s="18">
        <v>20</v>
      </c>
      <c r="C42" s="17">
        <v>0</v>
      </c>
      <c r="D42" s="17">
        <v>1</v>
      </c>
      <c r="E42" s="17">
        <v>0</v>
      </c>
      <c r="F42" s="19">
        <v>42736</v>
      </c>
      <c r="G42" s="17" t="s">
        <v>43</v>
      </c>
      <c r="H42" s="19">
        <v>42750</v>
      </c>
      <c r="I42" s="17" t="s">
        <v>27</v>
      </c>
    </row>
    <row r="43" spans="1:9" x14ac:dyDescent="0.2">
      <c r="A43" s="17" t="s">
        <v>57</v>
      </c>
      <c r="B43" s="18">
        <v>636.16999999999996</v>
      </c>
      <c r="C43" s="17">
        <v>1</v>
      </c>
      <c r="D43" s="17">
        <v>0</v>
      </c>
      <c r="E43" s="17">
        <v>0</v>
      </c>
      <c r="F43" s="19">
        <v>42736</v>
      </c>
      <c r="G43" s="17" t="s">
        <v>58</v>
      </c>
      <c r="H43" s="19">
        <v>42751</v>
      </c>
      <c r="I43" s="17" t="s">
        <v>59</v>
      </c>
    </row>
    <row r="44" spans="1:9" x14ac:dyDescent="0.2">
      <c r="A44" s="17" t="s">
        <v>60</v>
      </c>
      <c r="B44" s="18">
        <v>50</v>
      </c>
      <c r="C44" s="17">
        <v>1</v>
      </c>
      <c r="D44" s="17">
        <v>0</v>
      </c>
      <c r="E44" s="17">
        <v>0</v>
      </c>
      <c r="F44" s="19">
        <v>42736</v>
      </c>
      <c r="G44" s="17" t="s">
        <v>58</v>
      </c>
      <c r="H44" s="19">
        <v>42751</v>
      </c>
      <c r="I44" s="17" t="s">
        <v>61</v>
      </c>
    </row>
    <row r="45" spans="1:9" x14ac:dyDescent="0.2">
      <c r="A45" s="17" t="s">
        <v>41</v>
      </c>
      <c r="B45" s="18">
        <v>106</v>
      </c>
      <c r="C45" s="17">
        <v>0</v>
      </c>
      <c r="D45" s="17">
        <v>1</v>
      </c>
      <c r="E45" s="17">
        <v>0</v>
      </c>
      <c r="F45" s="19">
        <v>42736</v>
      </c>
      <c r="G45" s="17" t="s">
        <v>43</v>
      </c>
      <c r="H45" s="19">
        <v>42751</v>
      </c>
      <c r="I45" s="17" t="s">
        <v>41</v>
      </c>
    </row>
    <row r="46" spans="1:9" x14ac:dyDescent="0.2">
      <c r="A46" s="17" t="s">
        <v>62</v>
      </c>
      <c r="B46" s="18">
        <v>25</v>
      </c>
      <c r="C46" s="17">
        <v>0</v>
      </c>
      <c r="D46" s="17">
        <v>1</v>
      </c>
      <c r="E46" s="17">
        <v>0</v>
      </c>
      <c r="F46" s="19">
        <v>42736</v>
      </c>
      <c r="G46" s="17" t="s">
        <v>58</v>
      </c>
      <c r="H46" s="19">
        <v>42751</v>
      </c>
      <c r="I46" s="17" t="s">
        <v>29</v>
      </c>
    </row>
    <row r="47" spans="1:9" x14ac:dyDescent="0.2">
      <c r="A47" s="17" t="s">
        <v>50</v>
      </c>
      <c r="B47" s="18">
        <v>2.99</v>
      </c>
      <c r="C47" s="17">
        <v>0</v>
      </c>
      <c r="D47" s="17">
        <v>1</v>
      </c>
      <c r="E47" s="17">
        <v>0</v>
      </c>
      <c r="F47" s="19">
        <v>42736</v>
      </c>
      <c r="G47" s="17" t="s">
        <v>58</v>
      </c>
      <c r="H47" s="19">
        <v>42752</v>
      </c>
      <c r="I47" s="17" t="s">
        <v>29</v>
      </c>
    </row>
    <row r="48" spans="1:9" x14ac:dyDescent="0.2">
      <c r="A48" s="17" t="s">
        <v>63</v>
      </c>
      <c r="B48" s="18">
        <v>10</v>
      </c>
      <c r="C48" s="17">
        <v>0</v>
      </c>
      <c r="D48" s="17">
        <v>1</v>
      </c>
      <c r="E48" s="17">
        <v>0</v>
      </c>
      <c r="F48" s="19">
        <v>42736</v>
      </c>
      <c r="G48" s="17" t="s">
        <v>58</v>
      </c>
      <c r="H48" s="19">
        <v>42752</v>
      </c>
      <c r="I48" s="17" t="s">
        <v>29</v>
      </c>
    </row>
    <row r="49" spans="1:9" x14ac:dyDescent="0.2">
      <c r="A49" s="17" t="s">
        <v>64</v>
      </c>
      <c r="B49" s="18">
        <v>20</v>
      </c>
      <c r="C49" s="17">
        <v>0</v>
      </c>
      <c r="D49" s="17">
        <v>1</v>
      </c>
      <c r="E49" s="17">
        <v>0</v>
      </c>
      <c r="F49" s="19">
        <v>42736</v>
      </c>
      <c r="G49" s="17" t="s">
        <v>58</v>
      </c>
      <c r="H49" s="19">
        <v>42753</v>
      </c>
      <c r="I49" s="17" t="s">
        <v>64</v>
      </c>
    </row>
    <row r="50" spans="1:9" x14ac:dyDescent="0.2">
      <c r="A50" s="17" t="s">
        <v>65</v>
      </c>
      <c r="B50" s="18">
        <v>5</v>
      </c>
      <c r="C50" s="17">
        <v>0</v>
      </c>
      <c r="D50" s="17">
        <v>1</v>
      </c>
      <c r="E50" s="17">
        <v>0</v>
      </c>
      <c r="F50" s="19">
        <v>42736</v>
      </c>
      <c r="G50" s="17" t="s">
        <v>58</v>
      </c>
      <c r="H50" s="19">
        <v>42753</v>
      </c>
      <c r="I50" s="17" t="s">
        <v>29</v>
      </c>
    </row>
    <row r="51" spans="1:9" x14ac:dyDescent="0.2">
      <c r="A51" s="17" t="s">
        <v>66</v>
      </c>
      <c r="B51" s="18">
        <v>5</v>
      </c>
      <c r="C51" s="17">
        <v>0</v>
      </c>
      <c r="D51" s="17">
        <v>1</v>
      </c>
      <c r="E51" s="17">
        <v>0</v>
      </c>
      <c r="F51" s="19">
        <v>42736</v>
      </c>
      <c r="G51" s="17" t="s">
        <v>58</v>
      </c>
      <c r="H51" s="19">
        <v>42753</v>
      </c>
      <c r="I51" s="17" t="s">
        <v>29</v>
      </c>
    </row>
    <row r="52" spans="1:9" x14ac:dyDescent="0.2">
      <c r="A52" s="17" t="s">
        <v>28</v>
      </c>
      <c r="B52" s="18">
        <v>3.5</v>
      </c>
      <c r="C52" s="17">
        <v>0</v>
      </c>
      <c r="D52" s="17">
        <v>1</v>
      </c>
      <c r="E52" s="17">
        <v>0</v>
      </c>
      <c r="F52" s="19">
        <v>42736</v>
      </c>
      <c r="G52" s="17" t="s">
        <v>58</v>
      </c>
      <c r="H52" s="19">
        <v>42754</v>
      </c>
      <c r="I52" s="17" t="s">
        <v>29</v>
      </c>
    </row>
    <row r="53" spans="1:9" x14ac:dyDescent="0.2">
      <c r="A53" s="17" t="s">
        <v>64</v>
      </c>
      <c r="B53" s="18">
        <v>10</v>
      </c>
      <c r="C53" s="17">
        <v>0</v>
      </c>
      <c r="D53" s="17">
        <v>1</v>
      </c>
      <c r="E53" s="17">
        <v>0</v>
      </c>
      <c r="F53" s="19">
        <v>42736</v>
      </c>
      <c r="G53" s="17" t="s">
        <v>58</v>
      </c>
      <c r="H53" s="19">
        <v>42754</v>
      </c>
      <c r="I53" s="17" t="s">
        <v>64</v>
      </c>
    </row>
    <row r="54" spans="1:9" x14ac:dyDescent="0.2">
      <c r="A54" s="17" t="s">
        <v>64</v>
      </c>
      <c r="B54" s="18">
        <v>100</v>
      </c>
      <c r="C54" s="17">
        <v>0</v>
      </c>
      <c r="D54" s="17">
        <v>1</v>
      </c>
      <c r="E54" s="17">
        <v>0</v>
      </c>
      <c r="F54" s="19">
        <v>42736</v>
      </c>
      <c r="G54" s="17" t="s">
        <v>58</v>
      </c>
      <c r="H54" s="19">
        <v>42754</v>
      </c>
      <c r="I54" s="17" t="s">
        <v>64</v>
      </c>
    </row>
    <row r="55" spans="1:9" x14ac:dyDescent="0.2">
      <c r="A55" s="17" t="s">
        <v>67</v>
      </c>
      <c r="B55" s="18">
        <v>7.79</v>
      </c>
      <c r="C55" s="17">
        <v>0</v>
      </c>
      <c r="D55" s="17">
        <v>1</v>
      </c>
      <c r="E55" s="17">
        <v>0</v>
      </c>
      <c r="F55" s="19">
        <v>42736</v>
      </c>
      <c r="G55" s="17" t="s">
        <v>58</v>
      </c>
      <c r="H55" s="19">
        <v>42754</v>
      </c>
      <c r="I55" s="17" t="s">
        <v>29</v>
      </c>
    </row>
    <row r="56" spans="1:9" x14ac:dyDescent="0.2">
      <c r="A56" s="17" t="s">
        <v>68</v>
      </c>
      <c r="B56" s="18">
        <v>4</v>
      </c>
      <c r="C56" s="17">
        <v>0</v>
      </c>
      <c r="D56" s="17">
        <v>1</v>
      </c>
      <c r="E56" s="17">
        <v>0</v>
      </c>
      <c r="F56" s="19">
        <v>42736</v>
      </c>
      <c r="G56" s="17" t="s">
        <v>58</v>
      </c>
      <c r="H56" s="19">
        <v>42754</v>
      </c>
      <c r="I56" s="17" t="s">
        <v>29</v>
      </c>
    </row>
    <row r="57" spans="1:9" x14ac:dyDescent="0.2">
      <c r="A57" s="17" t="s">
        <v>69</v>
      </c>
      <c r="B57" s="18">
        <v>9</v>
      </c>
      <c r="C57" s="17">
        <v>0</v>
      </c>
      <c r="D57" s="17">
        <v>1</v>
      </c>
      <c r="E57" s="17">
        <v>0</v>
      </c>
      <c r="F57" s="19">
        <v>42736</v>
      </c>
      <c r="G57" s="17" t="s">
        <v>58</v>
      </c>
      <c r="H57" s="19">
        <v>42754</v>
      </c>
      <c r="I57" s="17" t="s">
        <v>29</v>
      </c>
    </row>
    <row r="58" spans="1:9" x14ac:dyDescent="0.2">
      <c r="A58" s="17" t="s">
        <v>55</v>
      </c>
      <c r="B58" s="18">
        <v>30</v>
      </c>
      <c r="C58" s="17">
        <v>0</v>
      </c>
      <c r="D58" s="17">
        <v>1</v>
      </c>
      <c r="E58" s="17">
        <v>0</v>
      </c>
      <c r="F58" s="19">
        <v>42736</v>
      </c>
      <c r="G58" s="17" t="s">
        <v>58</v>
      </c>
      <c r="H58" s="19">
        <v>42755</v>
      </c>
      <c r="I58" s="17" t="s">
        <v>53</v>
      </c>
    </row>
    <row r="59" spans="1:9" x14ac:dyDescent="0.2">
      <c r="A59" s="17" t="s">
        <v>41</v>
      </c>
      <c r="B59" s="18">
        <v>70</v>
      </c>
      <c r="C59" s="17">
        <v>0</v>
      </c>
      <c r="D59" s="17">
        <v>1</v>
      </c>
      <c r="E59" s="17">
        <v>0</v>
      </c>
      <c r="F59" s="19">
        <v>42736</v>
      </c>
      <c r="G59" s="17" t="s">
        <v>58</v>
      </c>
      <c r="H59" s="19">
        <v>42756</v>
      </c>
      <c r="I59" s="17" t="s">
        <v>41</v>
      </c>
    </row>
    <row r="60" spans="1:9" x14ac:dyDescent="0.2">
      <c r="A60" s="17" t="s">
        <v>64</v>
      </c>
      <c r="B60" s="18">
        <v>10</v>
      </c>
      <c r="C60" s="17">
        <v>0</v>
      </c>
      <c r="D60" s="17">
        <v>1</v>
      </c>
      <c r="E60" s="17">
        <v>0</v>
      </c>
      <c r="F60" s="19">
        <v>42736</v>
      </c>
      <c r="G60" s="17" t="s">
        <v>58</v>
      </c>
      <c r="H60" s="19">
        <v>42756</v>
      </c>
      <c r="I60" s="17" t="s">
        <v>64</v>
      </c>
    </row>
    <row r="61" spans="1:9" x14ac:dyDescent="0.2">
      <c r="A61" s="17" t="s">
        <v>64</v>
      </c>
      <c r="B61" s="18">
        <v>20</v>
      </c>
      <c r="C61" s="17">
        <v>0</v>
      </c>
      <c r="D61" s="17">
        <v>1</v>
      </c>
      <c r="E61" s="17">
        <v>0</v>
      </c>
      <c r="F61" s="19">
        <v>42736</v>
      </c>
      <c r="G61" s="17" t="s">
        <v>58</v>
      </c>
      <c r="H61" s="19">
        <v>42757</v>
      </c>
      <c r="I61" s="17" t="s">
        <v>64</v>
      </c>
    </row>
    <row r="62" spans="1:9" x14ac:dyDescent="0.2">
      <c r="A62" s="17" t="s">
        <v>70</v>
      </c>
      <c r="B62" s="18">
        <v>32.19</v>
      </c>
      <c r="C62" s="17">
        <v>1</v>
      </c>
      <c r="D62" s="17">
        <v>0</v>
      </c>
      <c r="E62" s="17">
        <v>0</v>
      </c>
      <c r="F62" s="19">
        <v>42736</v>
      </c>
      <c r="G62" s="17" t="s">
        <v>71</v>
      </c>
      <c r="H62" s="19">
        <v>42758</v>
      </c>
      <c r="I62" s="17" t="s">
        <v>36</v>
      </c>
    </row>
    <row r="63" spans="1:9" x14ac:dyDescent="0.2">
      <c r="A63" s="17" t="s">
        <v>64</v>
      </c>
      <c r="B63" s="18">
        <v>50</v>
      </c>
      <c r="C63" s="17">
        <v>0</v>
      </c>
      <c r="D63" s="17">
        <v>1</v>
      </c>
      <c r="E63" s="17">
        <v>0</v>
      </c>
      <c r="F63" s="19">
        <v>42736</v>
      </c>
      <c r="G63" s="17" t="s">
        <v>71</v>
      </c>
      <c r="H63" s="19">
        <v>42759</v>
      </c>
      <c r="I63" s="17" t="s">
        <v>64</v>
      </c>
    </row>
    <row r="64" spans="1:9" x14ac:dyDescent="0.2">
      <c r="A64" s="17" t="s">
        <v>69</v>
      </c>
      <c r="B64" s="18">
        <v>16.09</v>
      </c>
      <c r="C64" s="17">
        <v>0</v>
      </c>
      <c r="D64" s="17">
        <v>1</v>
      </c>
      <c r="E64" s="17">
        <v>0</v>
      </c>
      <c r="F64" s="19">
        <v>42736</v>
      </c>
      <c r="G64" s="17" t="s">
        <v>71</v>
      </c>
      <c r="H64" s="19">
        <v>42759</v>
      </c>
      <c r="I64" s="17" t="s">
        <v>29</v>
      </c>
    </row>
    <row r="65" spans="1:9" x14ac:dyDescent="0.2">
      <c r="A65" s="17" t="s">
        <v>72</v>
      </c>
      <c r="B65" s="18">
        <v>14.9</v>
      </c>
      <c r="C65" s="17">
        <v>0</v>
      </c>
      <c r="D65" s="17">
        <v>1</v>
      </c>
      <c r="E65" s="17">
        <v>0</v>
      </c>
      <c r="F65" s="19">
        <v>42736</v>
      </c>
      <c r="G65" s="17" t="s">
        <v>71</v>
      </c>
      <c r="H65" s="19">
        <v>42759</v>
      </c>
      <c r="I65" s="17" t="s">
        <v>29</v>
      </c>
    </row>
    <row r="66" spans="1:9" x14ac:dyDescent="0.2">
      <c r="A66" s="17" t="s">
        <v>73</v>
      </c>
      <c r="B66" s="18">
        <v>6.2</v>
      </c>
      <c r="C66" s="17">
        <v>0</v>
      </c>
      <c r="D66" s="17">
        <v>1</v>
      </c>
      <c r="E66" s="17">
        <v>0</v>
      </c>
      <c r="F66" s="19">
        <v>42736</v>
      </c>
      <c r="G66" s="17" t="s">
        <v>71</v>
      </c>
      <c r="H66" s="19">
        <v>42759</v>
      </c>
      <c r="I66" s="17" t="s">
        <v>29</v>
      </c>
    </row>
    <row r="67" spans="1:9" x14ac:dyDescent="0.2">
      <c r="A67" s="17" t="s">
        <v>74</v>
      </c>
      <c r="B67" s="18">
        <v>2</v>
      </c>
      <c r="C67" s="17">
        <v>0</v>
      </c>
      <c r="D67" s="17">
        <v>1</v>
      </c>
      <c r="E67" s="17">
        <v>0</v>
      </c>
      <c r="F67" s="19">
        <v>42736</v>
      </c>
      <c r="G67" s="17" t="s">
        <v>71</v>
      </c>
      <c r="H67" s="19">
        <v>42760</v>
      </c>
      <c r="I67" s="17" t="s">
        <v>29</v>
      </c>
    </row>
    <row r="68" spans="1:9" x14ac:dyDescent="0.2">
      <c r="A68" s="17" t="s">
        <v>50</v>
      </c>
      <c r="B68" s="18">
        <v>6</v>
      </c>
      <c r="C68" s="17">
        <v>0</v>
      </c>
      <c r="D68" s="17">
        <v>1</v>
      </c>
      <c r="E68" s="17">
        <v>0</v>
      </c>
      <c r="F68" s="19">
        <v>42736</v>
      </c>
      <c r="G68" s="17" t="s">
        <v>71</v>
      </c>
      <c r="H68" s="19">
        <v>42758</v>
      </c>
      <c r="I68" s="17" t="s">
        <v>29</v>
      </c>
    </row>
    <row r="69" spans="1:9" x14ac:dyDescent="0.2">
      <c r="A69" s="17" t="s">
        <v>75</v>
      </c>
      <c r="B69" s="18">
        <v>40</v>
      </c>
      <c r="C69" s="17">
        <v>0</v>
      </c>
      <c r="D69" s="17">
        <v>1</v>
      </c>
      <c r="E69" s="17">
        <v>0</v>
      </c>
      <c r="F69" s="19">
        <v>42736</v>
      </c>
      <c r="G69" s="17" t="s">
        <v>71</v>
      </c>
      <c r="H69" s="19">
        <v>42761</v>
      </c>
      <c r="I69" s="17" t="s">
        <v>75</v>
      </c>
    </row>
    <row r="70" spans="1:9" x14ac:dyDescent="0.2">
      <c r="A70" s="17" t="s">
        <v>76</v>
      </c>
      <c r="B70" s="18">
        <v>15.9</v>
      </c>
      <c r="C70" s="17">
        <v>0</v>
      </c>
      <c r="D70" s="17">
        <v>1</v>
      </c>
      <c r="E70" s="17">
        <v>0</v>
      </c>
      <c r="F70" s="19">
        <v>42736</v>
      </c>
      <c r="G70" s="17" t="s">
        <v>71</v>
      </c>
      <c r="H70" s="19">
        <v>42761</v>
      </c>
      <c r="I70" s="17" t="s">
        <v>76</v>
      </c>
    </row>
    <row r="71" spans="1:9" x14ac:dyDescent="0.2">
      <c r="A71" s="17" t="s">
        <v>69</v>
      </c>
      <c r="B71" s="18">
        <v>6</v>
      </c>
      <c r="C71" s="17">
        <v>0</v>
      </c>
      <c r="D71" s="17">
        <v>1</v>
      </c>
      <c r="E71" s="17">
        <v>0</v>
      </c>
      <c r="F71" s="19">
        <v>42736</v>
      </c>
      <c r="G71" s="17" t="s">
        <v>71</v>
      </c>
      <c r="H71" s="19">
        <v>42761</v>
      </c>
      <c r="I71" s="17" t="s">
        <v>29</v>
      </c>
    </row>
    <row r="72" spans="1:9" x14ac:dyDescent="0.2">
      <c r="A72" s="17" t="s">
        <v>50</v>
      </c>
      <c r="B72" s="18">
        <v>3</v>
      </c>
      <c r="C72" s="17">
        <v>0</v>
      </c>
      <c r="D72" s="17">
        <v>1</v>
      </c>
      <c r="E72" s="17">
        <v>0</v>
      </c>
      <c r="F72" s="19">
        <v>42736</v>
      </c>
      <c r="G72" s="17" t="s">
        <v>71</v>
      </c>
      <c r="H72" s="19">
        <v>42762</v>
      </c>
      <c r="I72" s="17" t="s">
        <v>29</v>
      </c>
    </row>
    <row r="73" spans="1:9" x14ac:dyDescent="0.2">
      <c r="A73" s="17" t="s">
        <v>77</v>
      </c>
      <c r="B73" s="18">
        <v>3.5</v>
      </c>
      <c r="C73" s="17">
        <v>0</v>
      </c>
      <c r="D73" s="17">
        <v>1</v>
      </c>
      <c r="E73" s="17">
        <v>0</v>
      </c>
      <c r="F73" s="19">
        <v>42736</v>
      </c>
      <c r="G73" s="17" t="s">
        <v>71</v>
      </c>
      <c r="H73" s="19">
        <v>42762</v>
      </c>
      <c r="I73" s="17" t="s">
        <v>29</v>
      </c>
    </row>
    <row r="74" spans="1:9" x14ac:dyDescent="0.2">
      <c r="A74" s="17" t="s">
        <v>78</v>
      </c>
      <c r="B74" s="18">
        <v>7</v>
      </c>
      <c r="C74" s="17">
        <v>0</v>
      </c>
      <c r="D74" s="17">
        <v>1</v>
      </c>
      <c r="E74" s="17">
        <v>0</v>
      </c>
      <c r="F74" s="19">
        <v>42736</v>
      </c>
      <c r="G74" s="17" t="s">
        <v>71</v>
      </c>
      <c r="H74" s="19">
        <v>42762</v>
      </c>
      <c r="I74" s="17" t="s">
        <v>29</v>
      </c>
    </row>
    <row r="75" spans="1:9" x14ac:dyDescent="0.2">
      <c r="A75" s="17" t="s">
        <v>79</v>
      </c>
      <c r="B75" s="18">
        <v>6.5</v>
      </c>
      <c r="C75" s="17">
        <v>0</v>
      </c>
      <c r="D75" s="17">
        <v>1</v>
      </c>
      <c r="E75" s="17">
        <v>0</v>
      </c>
      <c r="F75" s="19">
        <v>42736</v>
      </c>
      <c r="G75" s="17" t="s">
        <v>71</v>
      </c>
      <c r="H75" s="19">
        <v>42762</v>
      </c>
      <c r="I75" s="17" t="s">
        <v>29</v>
      </c>
    </row>
    <row r="76" spans="1:9" x14ac:dyDescent="0.2">
      <c r="A76" s="17" t="s">
        <v>50</v>
      </c>
      <c r="B76" s="18">
        <v>3</v>
      </c>
      <c r="C76" s="17">
        <v>0</v>
      </c>
      <c r="D76" s="17">
        <v>1</v>
      </c>
      <c r="E76" s="17">
        <v>0</v>
      </c>
      <c r="F76" s="19">
        <v>42736</v>
      </c>
      <c r="G76" s="17" t="s">
        <v>80</v>
      </c>
      <c r="H76" s="19">
        <v>42765</v>
      </c>
      <c r="I76" s="17" t="s">
        <v>29</v>
      </c>
    </row>
    <row r="77" spans="1:9" x14ac:dyDescent="0.2">
      <c r="A77" s="17" t="s">
        <v>81</v>
      </c>
      <c r="B77" s="18">
        <v>10</v>
      </c>
      <c r="C77" s="17">
        <v>0</v>
      </c>
      <c r="D77" s="17">
        <v>1</v>
      </c>
      <c r="E77" s="17">
        <v>0</v>
      </c>
      <c r="F77" s="19">
        <v>42736</v>
      </c>
      <c r="G77" s="17" t="s">
        <v>80</v>
      </c>
      <c r="H77" s="19">
        <v>42765</v>
      </c>
      <c r="I77" s="17" t="s">
        <v>29</v>
      </c>
    </row>
    <row r="78" spans="1:9" x14ac:dyDescent="0.2">
      <c r="A78" s="17" t="s">
        <v>41</v>
      </c>
      <c r="B78" s="18">
        <v>76</v>
      </c>
      <c r="C78" s="17">
        <v>0</v>
      </c>
      <c r="D78" s="17">
        <v>1</v>
      </c>
      <c r="E78" s="17">
        <v>0</v>
      </c>
      <c r="F78" s="19">
        <v>42736</v>
      </c>
      <c r="G78" s="17" t="s">
        <v>71</v>
      </c>
      <c r="H78" s="19">
        <v>42764</v>
      </c>
      <c r="I78" s="17" t="s">
        <v>41</v>
      </c>
    </row>
    <row r="79" spans="1:9" x14ac:dyDescent="0.2">
      <c r="A79" s="17" t="s">
        <v>64</v>
      </c>
      <c r="B79" s="18">
        <v>20</v>
      </c>
      <c r="C79" s="17">
        <v>0</v>
      </c>
      <c r="D79" s="17">
        <v>1</v>
      </c>
      <c r="E79" s="17">
        <v>0</v>
      </c>
      <c r="F79" s="19">
        <v>42736</v>
      </c>
      <c r="G79" s="17" t="s">
        <v>71</v>
      </c>
      <c r="H79" s="19">
        <v>42763</v>
      </c>
      <c r="I79" s="17" t="s">
        <v>64</v>
      </c>
    </row>
    <row r="80" spans="1:9" x14ac:dyDescent="0.2">
      <c r="A80" s="17" t="s">
        <v>64</v>
      </c>
      <c r="B80" s="18">
        <v>4</v>
      </c>
      <c r="C80" s="17">
        <v>0</v>
      </c>
      <c r="D80" s="17">
        <v>1</v>
      </c>
      <c r="E80" s="17">
        <v>0</v>
      </c>
      <c r="F80" s="19">
        <v>42736</v>
      </c>
      <c r="G80" s="17" t="s">
        <v>71</v>
      </c>
      <c r="H80" s="19">
        <v>42764</v>
      </c>
      <c r="I80" s="17" t="s">
        <v>64</v>
      </c>
    </row>
    <row r="81" spans="1:10" x14ac:dyDescent="0.2">
      <c r="A81" s="20" t="s">
        <v>9</v>
      </c>
      <c r="B81" s="21">
        <v>570.88</v>
      </c>
      <c r="C81" s="20">
        <v>1</v>
      </c>
      <c r="D81" s="20">
        <v>0</v>
      </c>
      <c r="E81" s="20">
        <v>0</v>
      </c>
      <c r="F81" s="22">
        <v>42767</v>
      </c>
      <c r="G81" s="20" t="s">
        <v>10</v>
      </c>
      <c r="H81" s="22">
        <v>42767</v>
      </c>
      <c r="I81" s="20" t="s">
        <v>11</v>
      </c>
    </row>
    <row r="82" spans="1:10" x14ac:dyDescent="0.2">
      <c r="A82" s="20" t="s">
        <v>12</v>
      </c>
      <c r="B82" s="21">
        <v>1211.55</v>
      </c>
      <c r="C82" s="20">
        <v>1</v>
      </c>
      <c r="D82" s="20">
        <v>0</v>
      </c>
      <c r="E82" s="20">
        <v>0</v>
      </c>
      <c r="F82" s="22">
        <v>42767</v>
      </c>
      <c r="G82" s="20" t="s">
        <v>10</v>
      </c>
      <c r="H82" s="22">
        <v>42767</v>
      </c>
      <c r="I82" s="20" t="s">
        <v>11</v>
      </c>
    </row>
    <row r="83" spans="1:10" x14ac:dyDescent="0.2">
      <c r="A83" s="20" t="s">
        <v>13</v>
      </c>
      <c r="B83" s="21">
        <v>9.92</v>
      </c>
      <c r="C83" s="20">
        <v>1</v>
      </c>
      <c r="D83" s="20">
        <v>0</v>
      </c>
      <c r="E83" s="20">
        <v>0</v>
      </c>
      <c r="F83" s="22">
        <v>42767</v>
      </c>
      <c r="G83" s="20" t="s">
        <v>10</v>
      </c>
      <c r="H83" s="22">
        <v>42767</v>
      </c>
      <c r="I83" s="20" t="s">
        <v>11</v>
      </c>
    </row>
    <row r="84" spans="1:10" x14ac:dyDescent="0.2">
      <c r="A84" s="20" t="s">
        <v>14</v>
      </c>
      <c r="B84" s="21">
        <v>0</v>
      </c>
      <c r="C84" s="20">
        <v>1</v>
      </c>
      <c r="D84" s="20">
        <v>0</v>
      </c>
      <c r="E84" s="20">
        <v>0</v>
      </c>
      <c r="F84" s="22">
        <v>42767</v>
      </c>
      <c r="G84" s="20" t="s">
        <v>10</v>
      </c>
      <c r="H84" s="22">
        <v>42767</v>
      </c>
      <c r="I84" s="20" t="s">
        <v>11</v>
      </c>
    </row>
    <row r="85" spans="1:10" x14ac:dyDescent="0.2">
      <c r="A85" s="20" t="s">
        <v>15</v>
      </c>
      <c r="B85" s="21">
        <v>36.96</v>
      </c>
      <c r="C85" s="20">
        <v>1</v>
      </c>
      <c r="D85" s="20">
        <v>0</v>
      </c>
      <c r="E85" s="20">
        <v>0</v>
      </c>
      <c r="F85" s="22">
        <v>42767</v>
      </c>
      <c r="G85" s="20" t="s">
        <v>10</v>
      </c>
      <c r="H85" s="22">
        <v>42767</v>
      </c>
      <c r="I85" s="20" t="s">
        <v>11</v>
      </c>
    </row>
    <row r="86" spans="1:10" x14ac:dyDescent="0.2">
      <c r="A86" s="20" t="s">
        <v>16</v>
      </c>
      <c r="B86" s="21">
        <v>121.62</v>
      </c>
      <c r="C86" s="20">
        <v>1</v>
      </c>
      <c r="D86" s="20">
        <v>0</v>
      </c>
      <c r="E86" s="20">
        <v>0</v>
      </c>
      <c r="F86" s="22">
        <v>42767</v>
      </c>
      <c r="G86" s="20" t="s">
        <v>10</v>
      </c>
      <c r="H86" s="22">
        <v>42767</v>
      </c>
      <c r="I86" s="20" t="s">
        <v>11</v>
      </c>
    </row>
    <row r="87" spans="1:10" x14ac:dyDescent="0.2">
      <c r="A87" s="20" t="s">
        <v>17</v>
      </c>
      <c r="B87" s="21">
        <v>1</v>
      </c>
      <c r="C87" s="20">
        <v>1</v>
      </c>
      <c r="D87" s="20">
        <v>0</v>
      </c>
      <c r="E87" s="20">
        <v>0</v>
      </c>
      <c r="F87" s="22">
        <v>42767</v>
      </c>
      <c r="G87" s="20" t="s">
        <v>10</v>
      </c>
      <c r="H87" s="22">
        <v>42767</v>
      </c>
      <c r="I87" s="20" t="s">
        <v>11</v>
      </c>
    </row>
    <row r="88" spans="1:10" x14ac:dyDescent="0.2">
      <c r="A88" s="20" t="s">
        <v>18</v>
      </c>
      <c r="B88" s="21">
        <v>30</v>
      </c>
      <c r="C88" s="20">
        <v>1</v>
      </c>
      <c r="D88" s="20">
        <v>0</v>
      </c>
      <c r="E88" s="20">
        <v>0</v>
      </c>
      <c r="F88" s="22">
        <v>42767</v>
      </c>
      <c r="G88" s="20" t="s">
        <v>10</v>
      </c>
      <c r="H88" s="22">
        <v>42767</v>
      </c>
      <c r="I88" s="20" t="s">
        <v>11</v>
      </c>
    </row>
    <row r="89" spans="1:10" x14ac:dyDescent="0.2">
      <c r="A89" s="20" t="s">
        <v>19</v>
      </c>
      <c r="B89" s="21">
        <v>17.850000000000001</v>
      </c>
      <c r="C89" s="20">
        <v>1</v>
      </c>
      <c r="D89" s="20">
        <v>0</v>
      </c>
      <c r="E89" s="20">
        <v>0</v>
      </c>
      <c r="F89" s="22">
        <v>42767</v>
      </c>
      <c r="G89" s="20" t="s">
        <v>10</v>
      </c>
      <c r="H89" s="22">
        <v>42767</v>
      </c>
      <c r="I89" s="20" t="s">
        <v>11</v>
      </c>
    </row>
    <row r="90" spans="1:10" x14ac:dyDescent="0.2">
      <c r="A90" s="20" t="s">
        <v>24</v>
      </c>
      <c r="B90" s="21">
        <v>52.4</v>
      </c>
      <c r="C90" s="20">
        <v>1</v>
      </c>
      <c r="D90" s="20">
        <v>0</v>
      </c>
      <c r="E90" s="20">
        <v>0</v>
      </c>
      <c r="F90" s="22">
        <v>42767</v>
      </c>
      <c r="G90" s="20" t="s">
        <v>10</v>
      </c>
      <c r="H90" s="22">
        <v>42768</v>
      </c>
      <c r="I90" s="20" t="s">
        <v>25</v>
      </c>
    </row>
    <row r="91" spans="1:10" x14ac:dyDescent="0.2">
      <c r="A91" s="20" t="s">
        <v>35</v>
      </c>
      <c r="B91" s="21">
        <v>0</v>
      </c>
      <c r="C91" s="20">
        <v>1</v>
      </c>
      <c r="D91" s="20">
        <v>0</v>
      </c>
      <c r="E91" s="20">
        <v>1</v>
      </c>
      <c r="F91" s="22">
        <v>42767</v>
      </c>
      <c r="G91" s="20"/>
      <c r="H91" s="22"/>
      <c r="I91" s="20" t="s">
        <v>36</v>
      </c>
      <c r="J91" s="21"/>
    </row>
    <row r="92" spans="1:10" x14ac:dyDescent="0.2">
      <c r="A92" s="20" t="s">
        <v>42</v>
      </c>
      <c r="B92" s="21">
        <v>0</v>
      </c>
      <c r="C92" s="20">
        <v>1</v>
      </c>
      <c r="D92" s="20">
        <v>0</v>
      </c>
      <c r="E92" s="20">
        <v>1</v>
      </c>
      <c r="F92" s="22">
        <v>42767</v>
      </c>
      <c r="G92" s="20"/>
      <c r="H92" s="22"/>
      <c r="I92" s="20" t="s">
        <v>36</v>
      </c>
      <c r="J92" s="21"/>
    </row>
    <row r="93" spans="1:10" x14ac:dyDescent="0.2">
      <c r="A93" s="20" t="s">
        <v>39</v>
      </c>
      <c r="B93" s="21">
        <v>73.09</v>
      </c>
      <c r="C93" s="20">
        <v>1</v>
      </c>
      <c r="D93" s="20">
        <v>0</v>
      </c>
      <c r="E93" s="20">
        <v>0</v>
      </c>
      <c r="F93" s="22">
        <v>42767</v>
      </c>
      <c r="G93" s="20" t="s">
        <v>10</v>
      </c>
      <c r="H93" s="22">
        <v>42768</v>
      </c>
      <c r="I93" s="20" t="s">
        <v>36</v>
      </c>
    </row>
    <row r="94" spans="1:10" x14ac:dyDescent="0.2">
      <c r="A94" s="20" t="s">
        <v>46</v>
      </c>
      <c r="B94" s="21">
        <v>45.2</v>
      </c>
      <c r="C94" s="20">
        <v>1</v>
      </c>
      <c r="D94" s="20">
        <v>0</v>
      </c>
      <c r="E94" s="20">
        <v>0</v>
      </c>
      <c r="F94" s="22">
        <v>42767</v>
      </c>
      <c r="G94" s="20" t="s">
        <v>43</v>
      </c>
      <c r="H94" s="22">
        <v>42776</v>
      </c>
      <c r="I94" s="20" t="s">
        <v>25</v>
      </c>
    </row>
    <row r="95" spans="1:10" x14ac:dyDescent="0.2">
      <c r="A95" s="20" t="s">
        <v>20</v>
      </c>
      <c r="B95" s="21">
        <f>SUMIFS(credito!$B$2:$B$192,credito!$F$2:$F$192,F95,credito!$G$2:$G$192,0)</f>
        <v>4934.8099999999995</v>
      </c>
      <c r="C95" s="20">
        <v>1</v>
      </c>
      <c r="D95" s="20">
        <v>0</v>
      </c>
      <c r="E95" s="20">
        <v>0</v>
      </c>
      <c r="F95" s="22">
        <v>42767</v>
      </c>
      <c r="G95" s="23" t="s">
        <v>10</v>
      </c>
      <c r="H95" s="22">
        <v>42768</v>
      </c>
      <c r="I95" s="20" t="s">
        <v>21</v>
      </c>
      <c r="J95" s="18"/>
    </row>
    <row r="96" spans="1:10" x14ac:dyDescent="0.2">
      <c r="A96" s="20" t="s">
        <v>57</v>
      </c>
      <c r="B96" s="21">
        <v>636</v>
      </c>
      <c r="C96" s="20">
        <v>1</v>
      </c>
      <c r="D96" s="20">
        <v>0</v>
      </c>
      <c r="E96" s="20">
        <v>0</v>
      </c>
      <c r="F96" s="22">
        <v>42767</v>
      </c>
      <c r="G96" s="20" t="s">
        <v>43</v>
      </c>
      <c r="H96" s="22">
        <v>42781</v>
      </c>
      <c r="I96" s="20" t="s">
        <v>59</v>
      </c>
    </row>
    <row r="97" spans="1:9" x14ac:dyDescent="0.2">
      <c r="A97" s="20" t="s">
        <v>47</v>
      </c>
      <c r="B97" s="21">
        <v>158</v>
      </c>
      <c r="C97" s="20">
        <v>1</v>
      </c>
      <c r="D97" s="20">
        <v>0</v>
      </c>
      <c r="E97" s="20">
        <v>0</v>
      </c>
      <c r="F97" s="22">
        <v>42767</v>
      </c>
      <c r="G97" s="20" t="s">
        <v>43</v>
      </c>
      <c r="H97" s="22">
        <v>42781</v>
      </c>
      <c r="I97" s="20" t="s">
        <v>47</v>
      </c>
    </row>
    <row r="98" spans="1:9" x14ac:dyDescent="0.2">
      <c r="A98" s="20" t="s">
        <v>33</v>
      </c>
      <c r="B98" s="21">
        <v>230</v>
      </c>
      <c r="C98" s="20">
        <v>1</v>
      </c>
      <c r="D98" s="20">
        <v>0</v>
      </c>
      <c r="E98" s="20">
        <v>0</v>
      </c>
      <c r="F98" s="22">
        <v>42767</v>
      </c>
      <c r="G98" s="20" t="s">
        <v>43</v>
      </c>
      <c r="H98" s="22">
        <v>42779</v>
      </c>
      <c r="I98" s="20" t="s">
        <v>34</v>
      </c>
    </row>
    <row r="99" spans="1:9" x14ac:dyDescent="0.2">
      <c r="A99" s="20" t="s">
        <v>70</v>
      </c>
      <c r="B99" s="21">
        <v>32.03</v>
      </c>
      <c r="C99" s="20">
        <v>1</v>
      </c>
      <c r="D99" s="20">
        <v>0</v>
      </c>
      <c r="E99" s="20">
        <v>0</v>
      </c>
      <c r="F99" s="22">
        <v>42767</v>
      </c>
      <c r="G99" s="20" t="s">
        <v>58</v>
      </c>
      <c r="H99" s="22">
        <v>42783</v>
      </c>
      <c r="I99" s="20" t="s">
        <v>36</v>
      </c>
    </row>
    <row r="100" spans="1:9" x14ac:dyDescent="0.2">
      <c r="A100" s="20" t="s">
        <v>48</v>
      </c>
      <c r="B100" s="21">
        <v>5.79</v>
      </c>
      <c r="C100" s="20">
        <v>1</v>
      </c>
      <c r="D100" s="20">
        <v>0</v>
      </c>
      <c r="E100" s="20">
        <v>0</v>
      </c>
      <c r="F100" s="22">
        <v>42767</v>
      </c>
      <c r="G100" s="20" t="s">
        <v>43</v>
      </c>
      <c r="H100" s="22">
        <v>42781</v>
      </c>
      <c r="I100" s="20" t="s">
        <v>25</v>
      </c>
    </row>
    <row r="101" spans="1:9" x14ac:dyDescent="0.2">
      <c r="A101" s="20" t="s">
        <v>60</v>
      </c>
      <c r="B101" s="21">
        <v>50</v>
      </c>
      <c r="C101" s="20">
        <v>1</v>
      </c>
      <c r="D101" s="20">
        <v>0</v>
      </c>
      <c r="E101" s="20">
        <v>0</v>
      </c>
      <c r="F101" s="22">
        <v>42767</v>
      </c>
      <c r="G101" s="20" t="s">
        <v>43</v>
      </c>
      <c r="H101" s="22">
        <v>42781</v>
      </c>
      <c r="I101" s="20" t="s">
        <v>61</v>
      </c>
    </row>
    <row r="102" spans="1:9" x14ac:dyDescent="0.2">
      <c r="A102" s="20" t="s">
        <v>40</v>
      </c>
      <c r="B102" s="21">
        <v>200</v>
      </c>
      <c r="C102" s="20">
        <v>0</v>
      </c>
      <c r="D102" s="20">
        <v>1</v>
      </c>
      <c r="E102" s="20">
        <v>0</v>
      </c>
      <c r="F102" s="22">
        <v>42767</v>
      </c>
      <c r="G102" s="20" t="s">
        <v>10</v>
      </c>
      <c r="H102" s="22">
        <v>42768</v>
      </c>
      <c r="I102" s="20" t="s">
        <v>27</v>
      </c>
    </row>
    <row r="103" spans="1:9" x14ac:dyDescent="0.2">
      <c r="A103" s="20" t="s">
        <v>82</v>
      </c>
      <c r="B103" s="21">
        <v>815.9</v>
      </c>
      <c r="C103" s="20">
        <v>0</v>
      </c>
      <c r="D103" s="20">
        <v>1</v>
      </c>
      <c r="E103" s="20">
        <v>0</v>
      </c>
      <c r="F103" s="22">
        <v>42767</v>
      </c>
      <c r="G103" s="20" t="s">
        <v>43</v>
      </c>
      <c r="H103" s="22">
        <v>42783</v>
      </c>
      <c r="I103" s="20" t="s">
        <v>27</v>
      </c>
    </row>
    <row r="104" spans="1:9" x14ac:dyDescent="0.2">
      <c r="A104" s="20" t="s">
        <v>50</v>
      </c>
      <c r="B104" s="21">
        <v>3</v>
      </c>
      <c r="C104" s="20">
        <v>0</v>
      </c>
      <c r="D104" s="20">
        <v>1</v>
      </c>
      <c r="E104" s="20">
        <v>0</v>
      </c>
      <c r="F104" s="22">
        <v>42767</v>
      </c>
      <c r="G104" s="20" t="s">
        <v>10</v>
      </c>
      <c r="H104" s="22">
        <v>42767</v>
      </c>
      <c r="I104" s="20" t="s">
        <v>29</v>
      </c>
    </row>
    <row r="105" spans="1:9" x14ac:dyDescent="0.2">
      <c r="A105" s="20" t="s">
        <v>83</v>
      </c>
      <c r="B105" s="21">
        <v>5</v>
      </c>
      <c r="C105" s="20">
        <v>0</v>
      </c>
      <c r="D105" s="20">
        <v>1</v>
      </c>
      <c r="E105" s="20">
        <v>0</v>
      </c>
      <c r="F105" s="22">
        <v>42767</v>
      </c>
      <c r="G105" s="20" t="s">
        <v>10</v>
      </c>
      <c r="H105" s="22">
        <v>42767</v>
      </c>
      <c r="I105" s="20" t="s">
        <v>29</v>
      </c>
    </row>
    <row r="106" spans="1:9" x14ac:dyDescent="0.2">
      <c r="A106" s="20" t="s">
        <v>84</v>
      </c>
      <c r="B106" s="21">
        <v>6.5</v>
      </c>
      <c r="C106" s="20">
        <v>0</v>
      </c>
      <c r="D106" s="20">
        <v>1</v>
      </c>
      <c r="E106" s="20">
        <v>0</v>
      </c>
      <c r="F106" s="22">
        <v>42767</v>
      </c>
      <c r="G106" s="20" t="s">
        <v>10</v>
      </c>
      <c r="H106" s="22">
        <v>42767</v>
      </c>
      <c r="I106" s="20" t="s">
        <v>29</v>
      </c>
    </row>
    <row r="107" spans="1:9" x14ac:dyDescent="0.2">
      <c r="A107" s="20" t="s">
        <v>85</v>
      </c>
      <c r="B107" s="21">
        <v>10</v>
      </c>
      <c r="C107" s="20">
        <v>0</v>
      </c>
      <c r="D107" s="20">
        <v>1</v>
      </c>
      <c r="E107" s="20">
        <v>0</v>
      </c>
      <c r="F107" s="22">
        <v>42767</v>
      </c>
      <c r="G107" s="20" t="s">
        <v>10</v>
      </c>
      <c r="H107" s="22">
        <v>42768</v>
      </c>
      <c r="I107" s="20" t="s">
        <v>85</v>
      </c>
    </row>
    <row r="108" spans="1:9" x14ac:dyDescent="0.2">
      <c r="A108" s="20" t="s">
        <v>86</v>
      </c>
      <c r="B108" s="21">
        <v>5</v>
      </c>
      <c r="C108" s="20">
        <v>0</v>
      </c>
      <c r="D108" s="20">
        <v>1</v>
      </c>
      <c r="E108" s="20">
        <v>0</v>
      </c>
      <c r="F108" s="22">
        <v>42767</v>
      </c>
      <c r="G108" s="20" t="s">
        <v>10</v>
      </c>
      <c r="H108" s="22">
        <v>42770</v>
      </c>
      <c r="I108" s="20" t="s">
        <v>29</v>
      </c>
    </row>
    <row r="109" spans="1:9" x14ac:dyDescent="0.2">
      <c r="A109" s="20" t="s">
        <v>87</v>
      </c>
      <c r="B109" s="21">
        <v>3.98</v>
      </c>
      <c r="C109" s="20">
        <v>0</v>
      </c>
      <c r="D109" s="20">
        <v>1</v>
      </c>
      <c r="E109" s="20">
        <v>0</v>
      </c>
      <c r="F109" s="22">
        <v>42767</v>
      </c>
      <c r="G109" s="20" t="s">
        <v>10</v>
      </c>
      <c r="H109" s="22">
        <v>42770</v>
      </c>
      <c r="I109" s="20" t="s">
        <v>29</v>
      </c>
    </row>
    <row r="110" spans="1:9" x14ac:dyDescent="0.2">
      <c r="A110" s="20" t="s">
        <v>88</v>
      </c>
      <c r="B110" s="21">
        <v>120</v>
      </c>
      <c r="C110" s="20">
        <v>0</v>
      </c>
      <c r="D110" s="20">
        <v>1</v>
      </c>
      <c r="E110" s="20">
        <v>0</v>
      </c>
      <c r="F110" s="22">
        <v>42767</v>
      </c>
      <c r="G110" s="20" t="s">
        <v>10</v>
      </c>
      <c r="H110" s="22">
        <v>42771</v>
      </c>
      <c r="I110" s="20" t="s">
        <v>53</v>
      </c>
    </row>
    <row r="111" spans="1:9" x14ac:dyDescent="0.2">
      <c r="A111" s="20" t="s">
        <v>41</v>
      </c>
      <c r="B111" s="21">
        <v>80</v>
      </c>
      <c r="C111" s="20">
        <v>0</v>
      </c>
      <c r="D111" s="20">
        <v>1</v>
      </c>
      <c r="E111" s="20">
        <v>0</v>
      </c>
      <c r="F111" s="22">
        <v>42767</v>
      </c>
      <c r="G111" s="20" t="s">
        <v>10</v>
      </c>
      <c r="H111" s="22">
        <v>42771</v>
      </c>
      <c r="I111" s="20" t="s">
        <v>41</v>
      </c>
    </row>
    <row r="112" spans="1:9" x14ac:dyDescent="0.2">
      <c r="A112" s="20" t="s">
        <v>89</v>
      </c>
      <c r="B112" s="21">
        <v>60</v>
      </c>
      <c r="C112" s="20">
        <v>0</v>
      </c>
      <c r="D112" s="20">
        <v>1</v>
      </c>
      <c r="E112" s="20">
        <v>0</v>
      </c>
      <c r="F112" s="22">
        <v>42767</v>
      </c>
      <c r="G112" s="20" t="s">
        <v>10</v>
      </c>
      <c r="H112" s="22">
        <v>42771</v>
      </c>
      <c r="I112" s="20" t="s">
        <v>53</v>
      </c>
    </row>
    <row r="113" spans="1:10" x14ac:dyDescent="0.2">
      <c r="A113" s="20" t="s">
        <v>90</v>
      </c>
      <c r="B113" s="21">
        <v>6.5</v>
      </c>
      <c r="C113" s="20">
        <v>0</v>
      </c>
      <c r="D113" s="20">
        <v>1</v>
      </c>
      <c r="E113" s="20">
        <v>0</v>
      </c>
      <c r="F113" s="22">
        <v>42767</v>
      </c>
      <c r="G113" s="20" t="s">
        <v>43</v>
      </c>
      <c r="H113" s="22">
        <v>42772</v>
      </c>
      <c r="I113" s="20" t="s">
        <v>29</v>
      </c>
    </row>
    <row r="114" spans="1:10" x14ac:dyDescent="0.2">
      <c r="A114" s="20" t="s">
        <v>44</v>
      </c>
      <c r="B114" s="21">
        <v>0</v>
      </c>
      <c r="C114" s="20">
        <v>0</v>
      </c>
      <c r="D114" s="20">
        <v>1</v>
      </c>
      <c r="E114" s="20">
        <v>1</v>
      </c>
      <c r="F114" s="22">
        <v>42767</v>
      </c>
      <c r="G114" s="20" t="s">
        <v>58</v>
      </c>
      <c r="H114" s="22"/>
      <c r="I114" s="20" t="s">
        <v>44</v>
      </c>
    </row>
    <row r="115" spans="1:10" x14ac:dyDescent="0.2">
      <c r="A115" s="20" t="s">
        <v>93</v>
      </c>
      <c r="B115" s="21">
        <v>30</v>
      </c>
      <c r="C115" s="20">
        <v>0</v>
      </c>
      <c r="D115" s="20">
        <v>1</v>
      </c>
      <c r="E115" s="20">
        <v>0</v>
      </c>
      <c r="F115" s="22">
        <v>42767</v>
      </c>
      <c r="G115" s="20" t="s">
        <v>43</v>
      </c>
      <c r="H115" s="22">
        <v>42778</v>
      </c>
      <c r="I115" s="20" t="s">
        <v>75</v>
      </c>
      <c r="J115" s="21"/>
    </row>
    <row r="116" spans="1:10" x14ac:dyDescent="0.2">
      <c r="A116" s="20" t="s">
        <v>94</v>
      </c>
      <c r="B116" s="21">
        <v>12.5</v>
      </c>
      <c r="C116" s="20">
        <v>0</v>
      </c>
      <c r="D116" s="20">
        <v>1</v>
      </c>
      <c r="E116" s="20">
        <v>0</v>
      </c>
      <c r="F116" s="22">
        <v>42767</v>
      </c>
      <c r="G116" s="20" t="s">
        <v>58</v>
      </c>
      <c r="H116" s="22">
        <v>42779</v>
      </c>
      <c r="I116" s="20" t="s">
        <v>29</v>
      </c>
      <c r="J116" s="21"/>
    </row>
    <row r="117" spans="1:10" x14ac:dyDescent="0.2">
      <c r="A117" s="20" t="s">
        <v>55</v>
      </c>
      <c r="B117" s="21">
        <v>30</v>
      </c>
      <c r="C117" s="20">
        <v>0</v>
      </c>
      <c r="D117" s="20">
        <v>1</v>
      </c>
      <c r="E117" s="20">
        <v>0</v>
      </c>
      <c r="F117" s="22">
        <v>42767</v>
      </c>
      <c r="G117" s="20" t="s">
        <v>43</v>
      </c>
      <c r="H117" s="22">
        <v>42777</v>
      </c>
      <c r="I117" s="20" t="s">
        <v>53</v>
      </c>
      <c r="J117" s="21"/>
    </row>
    <row r="118" spans="1:10" x14ac:dyDescent="0.2">
      <c r="A118" s="20" t="s">
        <v>41</v>
      </c>
      <c r="B118" s="21">
        <v>70</v>
      </c>
      <c r="C118" s="20">
        <v>0</v>
      </c>
      <c r="D118" s="20">
        <v>1</v>
      </c>
      <c r="E118" s="20">
        <v>0</v>
      </c>
      <c r="F118" s="22">
        <v>42767</v>
      </c>
      <c r="G118" s="20" t="s">
        <v>43</v>
      </c>
      <c r="H118" s="22">
        <v>42778</v>
      </c>
      <c r="I118" s="20" t="s">
        <v>41</v>
      </c>
      <c r="J118" s="21"/>
    </row>
    <row r="119" spans="1:10" x14ac:dyDescent="0.2">
      <c r="A119" s="20" t="s">
        <v>95</v>
      </c>
      <c r="B119" s="21">
        <v>33.369999999999997</v>
      </c>
      <c r="C119" s="20">
        <v>0</v>
      </c>
      <c r="D119" s="20">
        <v>1</v>
      </c>
      <c r="E119" s="20">
        <v>0</v>
      </c>
      <c r="F119" s="22">
        <v>42767</v>
      </c>
      <c r="G119" s="20" t="s">
        <v>43</v>
      </c>
      <c r="H119" s="22">
        <v>42778</v>
      </c>
      <c r="I119" s="20" t="s">
        <v>23</v>
      </c>
      <c r="J119" s="21"/>
    </row>
    <row r="120" spans="1:10" x14ac:dyDescent="0.2">
      <c r="A120" s="20" t="s">
        <v>96</v>
      </c>
      <c r="B120" s="21">
        <v>27</v>
      </c>
      <c r="C120" s="20">
        <v>0</v>
      </c>
      <c r="D120" s="20">
        <v>1</v>
      </c>
      <c r="E120" s="20">
        <v>0</v>
      </c>
      <c r="F120" s="22">
        <v>42767</v>
      </c>
      <c r="G120" s="20" t="s">
        <v>58</v>
      </c>
      <c r="H120" s="22">
        <v>42780</v>
      </c>
      <c r="I120" s="20" t="s">
        <v>53</v>
      </c>
      <c r="J120" s="21"/>
    </row>
    <row r="121" spans="1:10" x14ac:dyDescent="0.2">
      <c r="A121" s="20" t="s">
        <v>77</v>
      </c>
      <c r="B121" s="21">
        <v>5</v>
      </c>
      <c r="C121" s="20">
        <v>0</v>
      </c>
      <c r="D121" s="20">
        <v>1</v>
      </c>
      <c r="E121" s="20">
        <v>0</v>
      </c>
      <c r="F121" s="22">
        <v>42767</v>
      </c>
      <c r="G121" s="20" t="s">
        <v>58</v>
      </c>
      <c r="H121" s="22">
        <v>42780</v>
      </c>
      <c r="I121" s="20" t="s">
        <v>29</v>
      </c>
      <c r="J121" s="21"/>
    </row>
    <row r="122" spans="1:10" x14ac:dyDescent="0.2">
      <c r="A122" s="20" t="s">
        <v>50</v>
      </c>
      <c r="B122" s="21">
        <v>3</v>
      </c>
      <c r="C122" s="20">
        <v>0</v>
      </c>
      <c r="D122" s="20">
        <v>1</v>
      </c>
      <c r="E122" s="20">
        <v>0</v>
      </c>
      <c r="F122" s="22">
        <v>42767</v>
      </c>
      <c r="G122" s="20" t="s">
        <v>58</v>
      </c>
      <c r="H122" s="22">
        <v>42779</v>
      </c>
      <c r="I122" s="20" t="s">
        <v>29</v>
      </c>
      <c r="J122" s="21"/>
    </row>
    <row r="123" spans="1:10" x14ac:dyDescent="0.2">
      <c r="A123" s="20" t="s">
        <v>77</v>
      </c>
      <c r="B123" s="21">
        <v>3.5</v>
      </c>
      <c r="C123" s="20">
        <v>0</v>
      </c>
      <c r="D123" s="20">
        <v>1</v>
      </c>
      <c r="E123" s="20">
        <v>0</v>
      </c>
      <c r="F123" s="22">
        <v>42767</v>
      </c>
      <c r="G123" s="20" t="s">
        <v>58</v>
      </c>
      <c r="H123" s="22">
        <v>42779</v>
      </c>
      <c r="I123" s="20" t="s">
        <v>29</v>
      </c>
      <c r="J123" s="21"/>
    </row>
    <row r="124" spans="1:10" x14ac:dyDescent="0.2">
      <c r="A124" s="20" t="s">
        <v>97</v>
      </c>
      <c r="B124" s="21">
        <v>16.600000000000001</v>
      </c>
      <c r="C124" s="20">
        <v>0</v>
      </c>
      <c r="D124" s="20">
        <v>1</v>
      </c>
      <c r="E124" s="20">
        <v>0</v>
      </c>
      <c r="F124" s="22">
        <v>42767</v>
      </c>
      <c r="G124" s="20" t="s">
        <v>58</v>
      </c>
      <c r="H124" s="22">
        <v>42781</v>
      </c>
      <c r="I124" s="20" t="s">
        <v>25</v>
      </c>
      <c r="J124" s="21"/>
    </row>
    <row r="125" spans="1:10" x14ac:dyDescent="0.2">
      <c r="A125" s="20" t="s">
        <v>69</v>
      </c>
      <c r="B125" s="21">
        <v>7</v>
      </c>
      <c r="C125" s="20">
        <v>0</v>
      </c>
      <c r="D125" s="20">
        <v>1</v>
      </c>
      <c r="E125" s="20">
        <v>0</v>
      </c>
      <c r="F125" s="22">
        <v>42767</v>
      </c>
      <c r="G125" s="20" t="s">
        <v>58</v>
      </c>
      <c r="H125" s="22">
        <v>42780</v>
      </c>
      <c r="I125" s="20" t="s">
        <v>29</v>
      </c>
      <c r="J125" s="21"/>
    </row>
    <row r="126" spans="1:10" x14ac:dyDescent="0.2">
      <c r="A126" s="20" t="s">
        <v>93</v>
      </c>
      <c r="B126" s="21">
        <v>28</v>
      </c>
      <c r="C126" s="20">
        <v>0</v>
      </c>
      <c r="D126" s="20">
        <v>1</v>
      </c>
      <c r="E126" s="20">
        <v>0</v>
      </c>
      <c r="F126" s="22">
        <v>42767</v>
      </c>
      <c r="G126" s="20" t="s">
        <v>58</v>
      </c>
      <c r="H126" s="22">
        <v>42783</v>
      </c>
      <c r="I126" s="20" t="s">
        <v>75</v>
      </c>
      <c r="J126" s="21"/>
    </row>
    <row r="127" spans="1:10" x14ac:dyDescent="0.2">
      <c r="A127" s="20" t="s">
        <v>76</v>
      </c>
      <c r="B127" s="21">
        <v>110</v>
      </c>
      <c r="C127" s="20">
        <v>0</v>
      </c>
      <c r="D127" s="20">
        <v>1</v>
      </c>
      <c r="E127" s="20">
        <v>0</v>
      </c>
      <c r="F127" s="22">
        <v>42767</v>
      </c>
      <c r="G127" s="20" t="s">
        <v>58</v>
      </c>
      <c r="H127" s="22">
        <v>42785</v>
      </c>
      <c r="I127" s="20" t="s">
        <v>76</v>
      </c>
      <c r="J127" s="21"/>
    </row>
    <row r="128" spans="1:10" x14ac:dyDescent="0.2">
      <c r="A128" s="20" t="s">
        <v>98</v>
      </c>
      <c r="B128" s="21">
        <v>109.18</v>
      </c>
      <c r="C128" s="20">
        <v>0</v>
      </c>
      <c r="D128" s="20">
        <v>1</v>
      </c>
      <c r="E128" s="20">
        <v>0</v>
      </c>
      <c r="F128" s="22">
        <v>42767</v>
      </c>
      <c r="G128" s="20" t="s">
        <v>58</v>
      </c>
      <c r="H128" s="22">
        <v>42785</v>
      </c>
      <c r="I128" s="20" t="s">
        <v>98</v>
      </c>
      <c r="J128" s="21"/>
    </row>
    <row r="129" spans="1:10" x14ac:dyDescent="0.2">
      <c r="A129" s="20" t="s">
        <v>98</v>
      </c>
      <c r="B129" s="21">
        <v>24.1</v>
      </c>
      <c r="C129" s="20">
        <v>0</v>
      </c>
      <c r="D129" s="20">
        <v>1</v>
      </c>
      <c r="E129" s="20">
        <v>0</v>
      </c>
      <c r="F129" s="22">
        <v>42767</v>
      </c>
      <c r="G129" s="20" t="s">
        <v>58</v>
      </c>
      <c r="H129" s="22">
        <v>42788</v>
      </c>
      <c r="I129" s="20" t="s">
        <v>98</v>
      </c>
      <c r="J129" s="21"/>
    </row>
    <row r="130" spans="1:10" x14ac:dyDescent="0.2">
      <c r="A130" s="20" t="s">
        <v>78</v>
      </c>
      <c r="B130" s="21">
        <v>9</v>
      </c>
      <c r="C130" s="20">
        <v>0</v>
      </c>
      <c r="D130" s="20">
        <v>1</v>
      </c>
      <c r="E130" s="20">
        <v>0</v>
      </c>
      <c r="F130" s="22">
        <v>42767</v>
      </c>
      <c r="G130" s="20" t="s">
        <v>58</v>
      </c>
      <c r="H130" s="22">
        <v>42788</v>
      </c>
      <c r="I130" s="20" t="s">
        <v>29</v>
      </c>
      <c r="J130" s="21"/>
    </row>
    <row r="131" spans="1:10" x14ac:dyDescent="0.2">
      <c r="A131" s="20" t="s">
        <v>77</v>
      </c>
      <c r="B131" s="21">
        <v>4</v>
      </c>
      <c r="C131" s="20">
        <v>0</v>
      </c>
      <c r="D131" s="20">
        <v>1</v>
      </c>
      <c r="E131" s="20">
        <v>0</v>
      </c>
      <c r="F131" s="22">
        <v>42767</v>
      </c>
      <c r="G131" s="20" t="s">
        <v>58</v>
      </c>
      <c r="H131" s="22">
        <v>42789</v>
      </c>
      <c r="I131" s="20" t="s">
        <v>29</v>
      </c>
      <c r="J131" s="21"/>
    </row>
    <row r="132" spans="1:10" x14ac:dyDescent="0.2">
      <c r="A132" s="20" t="s">
        <v>77</v>
      </c>
      <c r="B132" s="21">
        <v>4</v>
      </c>
      <c r="C132" s="20">
        <v>0</v>
      </c>
      <c r="D132" s="20">
        <v>1</v>
      </c>
      <c r="E132" s="20">
        <v>0</v>
      </c>
      <c r="F132" s="22">
        <v>42767</v>
      </c>
      <c r="G132" s="20" t="s">
        <v>58</v>
      </c>
      <c r="H132" s="22">
        <v>42790</v>
      </c>
      <c r="I132" s="20" t="s">
        <v>29</v>
      </c>
      <c r="J132" s="21"/>
    </row>
    <row r="133" spans="1:10" x14ac:dyDescent="0.2">
      <c r="A133" s="20" t="s">
        <v>99</v>
      </c>
      <c r="B133" s="21">
        <v>19.899999999999999</v>
      </c>
      <c r="C133" s="20">
        <v>0</v>
      </c>
      <c r="D133" s="20">
        <v>1</v>
      </c>
      <c r="E133" s="20">
        <v>0</v>
      </c>
      <c r="F133" s="22">
        <v>42767</v>
      </c>
      <c r="G133" s="20" t="s">
        <v>58</v>
      </c>
      <c r="H133" s="22">
        <v>42791</v>
      </c>
      <c r="I133" s="20" t="s">
        <v>53</v>
      </c>
      <c r="J133" s="21"/>
    </row>
    <row r="134" spans="1:10" x14ac:dyDescent="0.2">
      <c r="A134" s="20" t="s">
        <v>100</v>
      </c>
      <c r="B134" s="21">
        <v>10</v>
      </c>
      <c r="C134" s="20">
        <v>0</v>
      </c>
      <c r="D134" s="20">
        <v>1</v>
      </c>
      <c r="E134" s="20">
        <v>0</v>
      </c>
      <c r="F134" s="22">
        <v>42767</v>
      </c>
      <c r="G134" s="20" t="s">
        <v>58</v>
      </c>
      <c r="H134" s="22">
        <v>42791</v>
      </c>
      <c r="I134" s="20" t="s">
        <v>53</v>
      </c>
      <c r="J134" s="21"/>
    </row>
    <row r="135" spans="1:10" x14ac:dyDescent="0.2">
      <c r="A135" s="20" t="s">
        <v>101</v>
      </c>
      <c r="B135" s="21">
        <v>8.9600000000000009</v>
      </c>
      <c r="C135" s="20">
        <v>0</v>
      </c>
      <c r="D135" s="20">
        <v>1</v>
      </c>
      <c r="E135" s="20">
        <v>0</v>
      </c>
      <c r="F135" s="22">
        <v>42767</v>
      </c>
      <c r="G135" s="20" t="s">
        <v>58</v>
      </c>
      <c r="H135" s="22">
        <v>42791</v>
      </c>
      <c r="I135" s="20" t="s">
        <v>23</v>
      </c>
      <c r="J135" s="21"/>
    </row>
    <row r="136" spans="1:10" x14ac:dyDescent="0.2">
      <c r="A136" s="20" t="s">
        <v>102</v>
      </c>
      <c r="B136" s="21">
        <v>123.05</v>
      </c>
      <c r="C136" s="20">
        <v>0</v>
      </c>
      <c r="D136" s="20">
        <v>1</v>
      </c>
      <c r="E136" s="20">
        <v>0</v>
      </c>
      <c r="F136" s="22">
        <v>42767</v>
      </c>
      <c r="G136" s="20" t="s">
        <v>58</v>
      </c>
      <c r="H136" s="22">
        <v>42791</v>
      </c>
      <c r="I136" s="20" t="s">
        <v>23</v>
      </c>
      <c r="J136" s="21"/>
    </row>
    <row r="137" spans="1:10" x14ac:dyDescent="0.2">
      <c r="A137" s="20" t="s">
        <v>103</v>
      </c>
      <c r="B137" s="21">
        <v>49.9</v>
      </c>
      <c r="C137" s="20">
        <v>0</v>
      </c>
      <c r="D137" s="20">
        <v>1</v>
      </c>
      <c r="E137" s="20">
        <v>0</v>
      </c>
      <c r="F137" s="22">
        <v>42767</v>
      </c>
      <c r="G137" s="20" t="s">
        <v>58</v>
      </c>
      <c r="H137" s="22">
        <v>42792</v>
      </c>
      <c r="I137" s="20" t="s">
        <v>36</v>
      </c>
      <c r="J137" s="21"/>
    </row>
    <row r="138" spans="1:10" x14ac:dyDescent="0.2">
      <c r="A138" s="20" t="s">
        <v>104</v>
      </c>
      <c r="B138" s="21">
        <v>7</v>
      </c>
      <c r="C138" s="20">
        <v>0</v>
      </c>
      <c r="D138" s="20">
        <v>1</v>
      </c>
      <c r="E138" s="20">
        <v>0</v>
      </c>
      <c r="F138" s="22">
        <v>42767</v>
      </c>
      <c r="G138" s="20" t="s">
        <v>71</v>
      </c>
      <c r="H138" s="22">
        <v>42794</v>
      </c>
      <c r="I138" s="20" t="s">
        <v>53</v>
      </c>
      <c r="J138" s="21"/>
    </row>
    <row r="139" spans="1:10" x14ac:dyDescent="0.2">
      <c r="A139" s="20" t="s">
        <v>105</v>
      </c>
      <c r="B139" s="21">
        <v>20</v>
      </c>
      <c r="C139" s="20">
        <v>0</v>
      </c>
      <c r="D139" s="20">
        <v>1</v>
      </c>
      <c r="E139" s="20">
        <v>0</v>
      </c>
      <c r="F139" s="22">
        <v>42767</v>
      </c>
      <c r="G139" s="20" t="s">
        <v>71</v>
      </c>
      <c r="H139" s="22">
        <v>42794</v>
      </c>
      <c r="I139" s="20" t="s">
        <v>76</v>
      </c>
      <c r="J139" s="21"/>
    </row>
    <row r="140" spans="1:10" x14ac:dyDescent="0.2">
      <c r="A140" s="20" t="s">
        <v>91</v>
      </c>
      <c r="B140" s="21">
        <v>56</v>
      </c>
      <c r="C140" s="20">
        <v>0</v>
      </c>
      <c r="D140" s="20">
        <v>1</v>
      </c>
      <c r="E140" s="20">
        <v>0</v>
      </c>
      <c r="F140" s="22">
        <v>42767</v>
      </c>
      <c r="G140" s="20" t="s">
        <v>71</v>
      </c>
      <c r="H140" s="22">
        <v>42794</v>
      </c>
      <c r="I140" s="20" t="s">
        <v>29</v>
      </c>
      <c r="J140" s="21"/>
    </row>
    <row r="141" spans="1:10" x14ac:dyDescent="0.2">
      <c r="A141" s="20" t="s">
        <v>64</v>
      </c>
      <c r="B141" s="21">
        <v>50</v>
      </c>
      <c r="C141" s="20">
        <v>0</v>
      </c>
      <c r="D141" s="20">
        <v>1</v>
      </c>
      <c r="E141" s="20">
        <v>0</v>
      </c>
      <c r="F141" s="22">
        <v>42767</v>
      </c>
      <c r="G141" s="20" t="s">
        <v>58</v>
      </c>
      <c r="H141" s="22">
        <v>42792</v>
      </c>
      <c r="I141" s="20" t="s">
        <v>64</v>
      </c>
      <c r="J141" s="21"/>
    </row>
    <row r="142" spans="1:10" x14ac:dyDescent="0.2">
      <c r="A142" s="20" t="s">
        <v>41</v>
      </c>
      <c r="B142" s="21">
        <v>50</v>
      </c>
      <c r="C142" s="20">
        <v>0</v>
      </c>
      <c r="D142" s="20">
        <v>1</v>
      </c>
      <c r="E142" s="20">
        <v>0</v>
      </c>
      <c r="F142" s="22">
        <v>42767</v>
      </c>
      <c r="G142" s="20" t="s">
        <v>58</v>
      </c>
      <c r="H142" s="22">
        <v>42792</v>
      </c>
      <c r="I142" s="20" t="s">
        <v>41</v>
      </c>
      <c r="J142" s="21"/>
    </row>
    <row r="143" spans="1:10" x14ac:dyDescent="0.2">
      <c r="A143" s="17" t="s">
        <v>233</v>
      </c>
      <c r="B143" s="18">
        <v>51.7</v>
      </c>
      <c r="C143" s="17">
        <v>0</v>
      </c>
      <c r="D143" s="17">
        <v>1</v>
      </c>
      <c r="E143" s="17">
        <v>0</v>
      </c>
      <c r="F143" s="19">
        <v>42795</v>
      </c>
      <c r="G143" s="17" t="s">
        <v>10</v>
      </c>
      <c r="H143" s="19">
        <v>42795</v>
      </c>
      <c r="I143" s="17" t="s">
        <v>76</v>
      </c>
      <c r="J143" s="18"/>
    </row>
    <row r="144" spans="1:10" x14ac:dyDescent="0.2">
      <c r="A144" s="17" t="s">
        <v>9</v>
      </c>
      <c r="B144" s="18">
        <v>608.44000000000005</v>
      </c>
      <c r="C144" s="17">
        <v>1</v>
      </c>
      <c r="D144" s="17">
        <v>0</v>
      </c>
      <c r="E144" s="17">
        <v>0</v>
      </c>
      <c r="F144" s="19">
        <v>42795</v>
      </c>
      <c r="G144" s="17" t="s">
        <v>10</v>
      </c>
      <c r="H144" s="19">
        <v>42795</v>
      </c>
      <c r="I144" s="17" t="s">
        <v>11</v>
      </c>
    </row>
    <row r="145" spans="1:10" x14ac:dyDescent="0.2">
      <c r="A145" s="17" t="s">
        <v>12</v>
      </c>
      <c r="B145" s="18">
        <v>1201.22</v>
      </c>
      <c r="C145" s="17">
        <v>1</v>
      </c>
      <c r="D145" s="17">
        <v>0</v>
      </c>
      <c r="E145" s="17">
        <v>0</v>
      </c>
      <c r="F145" s="19">
        <v>42795</v>
      </c>
      <c r="G145" s="17" t="s">
        <v>10</v>
      </c>
      <c r="H145" s="19">
        <v>42795</v>
      </c>
      <c r="I145" s="17" t="s">
        <v>11</v>
      </c>
    </row>
    <row r="146" spans="1:10" x14ac:dyDescent="0.2">
      <c r="A146" s="17" t="s">
        <v>13</v>
      </c>
      <c r="B146" s="18">
        <v>0</v>
      </c>
      <c r="C146" s="17">
        <v>1</v>
      </c>
      <c r="D146" s="17">
        <v>0</v>
      </c>
      <c r="E146" s="17">
        <v>0</v>
      </c>
      <c r="F146" s="19">
        <v>42795</v>
      </c>
      <c r="G146" s="17" t="s">
        <v>10</v>
      </c>
      <c r="H146" s="19">
        <v>42795</v>
      </c>
      <c r="I146" s="17" t="s">
        <v>11</v>
      </c>
    </row>
    <row r="147" spans="1:10" x14ac:dyDescent="0.2">
      <c r="A147" s="17" t="s">
        <v>14</v>
      </c>
      <c r="B147" s="18">
        <v>0</v>
      </c>
      <c r="C147" s="17">
        <v>1</v>
      </c>
      <c r="D147" s="17">
        <v>0</v>
      </c>
      <c r="E147" s="17">
        <v>0</v>
      </c>
      <c r="F147" s="19">
        <v>42795</v>
      </c>
      <c r="G147" s="17" t="s">
        <v>10</v>
      </c>
      <c r="H147" s="19">
        <v>42795</v>
      </c>
      <c r="I147" s="17" t="s">
        <v>11</v>
      </c>
    </row>
    <row r="148" spans="1:10" x14ac:dyDescent="0.2">
      <c r="A148" s="17" t="s">
        <v>15</v>
      </c>
      <c r="B148" s="18">
        <v>36.96</v>
      </c>
      <c r="C148" s="17">
        <v>1</v>
      </c>
      <c r="D148" s="17">
        <v>0</v>
      </c>
      <c r="E148" s="17">
        <v>0</v>
      </c>
      <c r="F148" s="19">
        <v>42795</v>
      </c>
      <c r="G148" s="17" t="s">
        <v>10</v>
      </c>
      <c r="H148" s="19">
        <v>42795</v>
      </c>
      <c r="I148" s="17" t="s">
        <v>11</v>
      </c>
    </row>
    <row r="149" spans="1:10" x14ac:dyDescent="0.2">
      <c r="A149" s="17" t="s">
        <v>16</v>
      </c>
      <c r="B149" s="18">
        <v>121.62</v>
      </c>
      <c r="C149" s="17">
        <v>1</v>
      </c>
      <c r="D149" s="17">
        <v>0</v>
      </c>
      <c r="E149" s="17">
        <v>0</v>
      </c>
      <c r="F149" s="19">
        <v>42795</v>
      </c>
      <c r="G149" s="17" t="s">
        <v>10</v>
      </c>
      <c r="H149" s="19">
        <v>42795</v>
      </c>
      <c r="I149" s="17" t="s">
        <v>11</v>
      </c>
    </row>
    <row r="150" spans="1:10" x14ac:dyDescent="0.2">
      <c r="A150" s="17" t="s">
        <v>17</v>
      </c>
      <c r="B150" s="18">
        <v>212.5</v>
      </c>
      <c r="C150" s="17">
        <v>1</v>
      </c>
      <c r="D150" s="17">
        <v>0</v>
      </c>
      <c r="E150" s="17">
        <v>0</v>
      </c>
      <c r="F150" s="19">
        <v>42795</v>
      </c>
      <c r="G150" s="17" t="s">
        <v>10</v>
      </c>
      <c r="H150" s="19">
        <v>42795</v>
      </c>
      <c r="I150" s="17" t="s">
        <v>11</v>
      </c>
    </row>
    <row r="151" spans="1:10" x14ac:dyDescent="0.2">
      <c r="A151" s="17" t="s">
        <v>308</v>
      </c>
      <c r="B151" s="18">
        <v>283.89999999999998</v>
      </c>
      <c r="C151" s="17">
        <v>1</v>
      </c>
      <c r="D151" s="17">
        <v>0</v>
      </c>
      <c r="E151" s="17">
        <v>0</v>
      </c>
      <c r="F151" s="19">
        <v>42795</v>
      </c>
      <c r="G151" s="17" t="s">
        <v>10</v>
      </c>
      <c r="H151" s="19">
        <v>42795</v>
      </c>
      <c r="I151" s="17" t="s">
        <v>11</v>
      </c>
    </row>
    <row r="152" spans="1:10" x14ac:dyDescent="0.2">
      <c r="A152" s="17" t="s">
        <v>280</v>
      </c>
      <c r="B152" s="18">
        <v>3.65</v>
      </c>
      <c r="C152" s="17">
        <v>1</v>
      </c>
      <c r="D152" s="17">
        <v>0</v>
      </c>
      <c r="E152" s="17">
        <v>0</v>
      </c>
      <c r="F152" s="19">
        <v>42795</v>
      </c>
      <c r="G152" s="17" t="s">
        <v>10</v>
      </c>
      <c r="H152" s="19">
        <v>42795</v>
      </c>
      <c r="I152" s="17" t="s">
        <v>11</v>
      </c>
    </row>
    <row r="153" spans="1:10" x14ac:dyDescent="0.2">
      <c r="A153" s="17" t="s">
        <v>24</v>
      </c>
      <c r="B153" s="18">
        <v>52.4</v>
      </c>
      <c r="C153" s="17">
        <v>1</v>
      </c>
      <c r="D153" s="17">
        <v>0</v>
      </c>
      <c r="E153" s="17">
        <v>0</v>
      </c>
      <c r="F153" s="19">
        <v>42795</v>
      </c>
      <c r="G153" s="17" t="s">
        <v>10</v>
      </c>
      <c r="H153" s="19">
        <v>42796</v>
      </c>
      <c r="I153" s="17" t="s">
        <v>25</v>
      </c>
    </row>
    <row r="154" spans="1:10" x14ac:dyDescent="0.2">
      <c r="A154" s="17" t="s">
        <v>35</v>
      </c>
      <c r="B154" s="18">
        <v>410.9</v>
      </c>
      <c r="C154" s="17">
        <v>1</v>
      </c>
      <c r="D154" s="17">
        <v>0</v>
      </c>
      <c r="E154" s="17">
        <v>0</v>
      </c>
      <c r="F154" s="19">
        <v>42795</v>
      </c>
      <c r="G154" s="17" t="s">
        <v>43</v>
      </c>
      <c r="H154" s="19">
        <v>42803</v>
      </c>
      <c r="I154" s="17" t="s">
        <v>36</v>
      </c>
      <c r="J154" s="18"/>
    </row>
    <row r="155" spans="1:10" x14ac:dyDescent="0.2">
      <c r="A155" s="17" t="s">
        <v>42</v>
      </c>
      <c r="B155" s="18">
        <v>1465.49</v>
      </c>
      <c r="C155" s="17">
        <v>1</v>
      </c>
      <c r="D155" s="17">
        <v>0</v>
      </c>
      <c r="E155" s="17">
        <v>0</v>
      </c>
      <c r="F155" s="19">
        <v>42795</v>
      </c>
      <c r="G155" s="17" t="s">
        <v>58</v>
      </c>
      <c r="H155" s="19">
        <v>42809</v>
      </c>
      <c r="I155" s="17" t="s">
        <v>36</v>
      </c>
      <c r="J155" s="18"/>
    </row>
    <row r="156" spans="1:10" x14ac:dyDescent="0.2">
      <c r="A156" s="17" t="s">
        <v>39</v>
      </c>
      <c r="B156" s="18">
        <v>68.09</v>
      </c>
      <c r="C156" s="17">
        <v>1</v>
      </c>
      <c r="D156" s="17">
        <v>0</v>
      </c>
      <c r="E156" s="17">
        <v>0</v>
      </c>
      <c r="F156" s="19">
        <v>42795</v>
      </c>
      <c r="G156" s="17" t="s">
        <v>43</v>
      </c>
      <c r="H156" s="19">
        <v>42803</v>
      </c>
      <c r="I156" s="17" t="s">
        <v>36</v>
      </c>
    </row>
    <row r="157" spans="1:10" x14ac:dyDescent="0.2">
      <c r="A157" s="17" t="s">
        <v>46</v>
      </c>
      <c r="B157" s="18">
        <v>45.2</v>
      </c>
      <c r="C157" s="17">
        <v>1</v>
      </c>
      <c r="D157" s="17">
        <v>0</v>
      </c>
      <c r="E157" s="17">
        <v>0</v>
      </c>
      <c r="F157" s="19">
        <v>42795</v>
      </c>
      <c r="G157" s="17" t="s">
        <v>43</v>
      </c>
      <c r="H157" s="19">
        <v>42804</v>
      </c>
      <c r="I157" s="17" t="s">
        <v>25</v>
      </c>
    </row>
    <row r="158" spans="1:10" x14ac:dyDescent="0.2">
      <c r="A158" s="17" t="s">
        <v>20</v>
      </c>
      <c r="B158" s="18">
        <f>SUMIFS(credito!$B$2:$B$192,credito!$F$2:$F$192,F158,credito!$G$2:$G$192,0)</f>
        <v>2000</v>
      </c>
      <c r="C158" s="17">
        <v>1</v>
      </c>
      <c r="D158" s="17">
        <v>0</v>
      </c>
      <c r="E158" s="17">
        <v>0</v>
      </c>
      <c r="F158" s="19">
        <v>42795</v>
      </c>
      <c r="G158" s="24" t="s">
        <v>58</v>
      </c>
      <c r="H158" s="19">
        <v>42811</v>
      </c>
      <c r="I158" s="17" t="s">
        <v>21</v>
      </c>
    </row>
    <row r="159" spans="1:10" x14ac:dyDescent="0.2">
      <c r="A159" s="17" t="s">
        <v>57</v>
      </c>
      <c r="B159" s="18">
        <v>661.74</v>
      </c>
      <c r="C159" s="17">
        <v>1</v>
      </c>
      <c r="D159" s="17">
        <v>0</v>
      </c>
      <c r="E159" s="17">
        <v>0</v>
      </c>
      <c r="F159" s="19">
        <v>42795</v>
      </c>
      <c r="G159" s="24" t="s">
        <v>58</v>
      </c>
      <c r="H159" s="19">
        <v>42809</v>
      </c>
      <c r="I159" s="17" t="s">
        <v>59</v>
      </c>
    </row>
    <row r="160" spans="1:10" x14ac:dyDescent="0.2">
      <c r="A160" s="17" t="s">
        <v>47</v>
      </c>
      <c r="B160" s="18">
        <v>209.4</v>
      </c>
      <c r="C160" s="17">
        <v>1</v>
      </c>
      <c r="D160" s="17">
        <v>0</v>
      </c>
      <c r="E160" s="17">
        <v>0</v>
      </c>
      <c r="F160" s="19">
        <v>42795</v>
      </c>
      <c r="G160" s="24" t="s">
        <v>58</v>
      </c>
      <c r="H160" s="19">
        <v>42809</v>
      </c>
      <c r="I160" s="17" t="s">
        <v>47</v>
      </c>
    </row>
    <row r="161" spans="1:9" x14ac:dyDescent="0.2">
      <c r="A161" s="17" t="s">
        <v>250</v>
      </c>
      <c r="B161" s="18">
        <v>230</v>
      </c>
      <c r="C161" s="17">
        <v>1</v>
      </c>
      <c r="D161" s="17">
        <v>0</v>
      </c>
      <c r="E161" s="17">
        <v>0</v>
      </c>
      <c r="F161" s="19">
        <v>42795</v>
      </c>
      <c r="G161" s="24" t="s">
        <v>58</v>
      </c>
      <c r="H161" s="19">
        <v>42807</v>
      </c>
      <c r="I161" s="17" t="s">
        <v>34</v>
      </c>
    </row>
    <row r="162" spans="1:9" x14ac:dyDescent="0.2">
      <c r="A162" s="17" t="s">
        <v>70</v>
      </c>
      <c r="B162" s="18">
        <v>31.32</v>
      </c>
      <c r="C162" s="17">
        <v>1</v>
      </c>
      <c r="D162" s="17">
        <v>0</v>
      </c>
      <c r="E162" s="17">
        <v>0</v>
      </c>
      <c r="F162" s="19">
        <v>42795</v>
      </c>
      <c r="G162" s="24" t="s">
        <v>71</v>
      </c>
      <c r="H162" s="19">
        <v>42821</v>
      </c>
      <c r="I162" s="17" t="s">
        <v>36</v>
      </c>
    </row>
    <row r="163" spans="1:9" x14ac:dyDescent="0.2">
      <c r="A163" s="17" t="s">
        <v>48</v>
      </c>
      <c r="B163" s="18">
        <v>5.79</v>
      </c>
      <c r="C163" s="17">
        <v>1</v>
      </c>
      <c r="D163" s="17">
        <v>0</v>
      </c>
      <c r="E163" s="17">
        <v>0</v>
      </c>
      <c r="F163" s="19">
        <v>42795</v>
      </c>
      <c r="G163" s="17" t="s">
        <v>43</v>
      </c>
      <c r="H163" s="19">
        <v>42804</v>
      </c>
      <c r="I163" s="17" t="s">
        <v>25</v>
      </c>
    </row>
    <row r="164" spans="1:9" x14ac:dyDescent="0.2">
      <c r="A164" s="17" t="s">
        <v>60</v>
      </c>
      <c r="B164" s="18">
        <v>50</v>
      </c>
      <c r="C164" s="17">
        <v>1</v>
      </c>
      <c r="D164" s="17">
        <v>0</v>
      </c>
      <c r="E164" s="17">
        <v>0</v>
      </c>
      <c r="F164" s="19">
        <v>42795</v>
      </c>
      <c r="G164" s="24" t="s">
        <v>58</v>
      </c>
      <c r="H164" s="19">
        <v>42809</v>
      </c>
      <c r="I164" s="17" t="s">
        <v>61</v>
      </c>
    </row>
    <row r="165" spans="1:9" x14ac:dyDescent="0.2">
      <c r="A165" s="17" t="s">
        <v>40</v>
      </c>
      <c r="B165" s="18">
        <v>200</v>
      </c>
      <c r="C165" s="17">
        <v>0</v>
      </c>
      <c r="D165" s="17">
        <v>1</v>
      </c>
      <c r="E165" s="17">
        <v>0</v>
      </c>
      <c r="F165" s="19">
        <v>42795</v>
      </c>
      <c r="G165" s="17" t="s">
        <v>10</v>
      </c>
      <c r="H165" s="19">
        <v>42798</v>
      </c>
      <c r="I165" s="17" t="s">
        <v>27</v>
      </c>
    </row>
    <row r="166" spans="1:9" x14ac:dyDescent="0.2">
      <c r="A166" s="17" t="s">
        <v>77</v>
      </c>
      <c r="B166" s="18">
        <v>4</v>
      </c>
      <c r="C166" s="17">
        <v>0</v>
      </c>
      <c r="D166" s="17">
        <v>1</v>
      </c>
      <c r="E166" s="17">
        <v>0</v>
      </c>
      <c r="F166" s="19">
        <v>42795</v>
      </c>
      <c r="G166" s="17" t="s">
        <v>10</v>
      </c>
      <c r="H166" s="19">
        <v>42796</v>
      </c>
      <c r="I166" s="17" t="s">
        <v>29</v>
      </c>
    </row>
    <row r="167" spans="1:9" x14ac:dyDescent="0.2">
      <c r="A167" s="17" t="s">
        <v>237</v>
      </c>
      <c r="B167" s="18">
        <v>8.9499999999999993</v>
      </c>
      <c r="C167" s="17">
        <v>0</v>
      </c>
      <c r="D167" s="17">
        <v>1</v>
      </c>
      <c r="E167" s="17">
        <v>0</v>
      </c>
      <c r="F167" s="19">
        <v>42795</v>
      </c>
      <c r="G167" s="17" t="s">
        <v>10</v>
      </c>
      <c r="H167" s="19">
        <v>42795</v>
      </c>
      <c r="I167" s="17" t="s">
        <v>25</v>
      </c>
    </row>
    <row r="168" spans="1:9" x14ac:dyDescent="0.2">
      <c r="A168" s="17" t="s">
        <v>227</v>
      </c>
      <c r="B168" s="18">
        <v>1.27</v>
      </c>
      <c r="C168" s="17">
        <v>0</v>
      </c>
      <c r="D168" s="17">
        <v>1</v>
      </c>
      <c r="E168" s="17">
        <v>0</v>
      </c>
      <c r="F168" s="19">
        <v>42795</v>
      </c>
      <c r="G168" s="17" t="s">
        <v>10</v>
      </c>
      <c r="H168" s="19">
        <v>42795</v>
      </c>
      <c r="I168" s="17" t="s">
        <v>25</v>
      </c>
    </row>
    <row r="169" spans="1:9" x14ac:dyDescent="0.2">
      <c r="A169" s="17" t="s">
        <v>77</v>
      </c>
      <c r="B169" s="18">
        <v>4</v>
      </c>
      <c r="C169" s="17">
        <v>0</v>
      </c>
      <c r="D169" s="17">
        <v>1</v>
      </c>
      <c r="E169" s="17">
        <v>0</v>
      </c>
      <c r="F169" s="19">
        <v>42795</v>
      </c>
      <c r="G169" s="17" t="s">
        <v>10</v>
      </c>
      <c r="H169" s="19">
        <v>42797</v>
      </c>
      <c r="I169" s="17" t="s">
        <v>29</v>
      </c>
    </row>
    <row r="170" spans="1:9" x14ac:dyDescent="0.2">
      <c r="A170" s="17" t="s">
        <v>238</v>
      </c>
      <c r="B170" s="18">
        <v>9.08</v>
      </c>
      <c r="C170" s="17">
        <v>0</v>
      </c>
      <c r="D170" s="17">
        <v>1</v>
      </c>
      <c r="E170" s="17">
        <v>0</v>
      </c>
      <c r="F170" s="19">
        <v>42795</v>
      </c>
      <c r="G170" s="17" t="s">
        <v>10</v>
      </c>
      <c r="H170" s="19">
        <v>42800</v>
      </c>
      <c r="I170" s="17" t="s">
        <v>25</v>
      </c>
    </row>
    <row r="171" spans="1:9" x14ac:dyDescent="0.2">
      <c r="A171" s="17" t="s">
        <v>55</v>
      </c>
      <c r="B171" s="18">
        <v>50</v>
      </c>
      <c r="C171" s="17">
        <v>0</v>
      </c>
      <c r="D171" s="17">
        <v>1</v>
      </c>
      <c r="E171" s="17">
        <v>0</v>
      </c>
      <c r="F171" s="19">
        <v>42795</v>
      </c>
      <c r="G171" s="17" t="s">
        <v>10</v>
      </c>
      <c r="H171" s="19">
        <v>42798</v>
      </c>
      <c r="I171" s="17" t="s">
        <v>53</v>
      </c>
    </row>
    <row r="172" spans="1:9" x14ac:dyDescent="0.2">
      <c r="A172" s="17" t="s">
        <v>66</v>
      </c>
      <c r="B172" s="18">
        <v>31.63</v>
      </c>
      <c r="C172" s="17">
        <v>0</v>
      </c>
      <c r="D172" s="17">
        <v>1</v>
      </c>
      <c r="E172" s="17">
        <v>0</v>
      </c>
      <c r="F172" s="19">
        <v>42795</v>
      </c>
      <c r="G172" s="17" t="s">
        <v>43</v>
      </c>
      <c r="H172" s="19">
        <v>42801</v>
      </c>
      <c r="I172" s="17" t="s">
        <v>66</v>
      </c>
    </row>
    <row r="173" spans="1:9" x14ac:dyDescent="0.2">
      <c r="A173" s="17" t="s">
        <v>242</v>
      </c>
      <c r="B173" s="18">
        <v>50</v>
      </c>
      <c r="C173" s="17">
        <v>0</v>
      </c>
      <c r="D173" s="17">
        <v>1</v>
      </c>
      <c r="E173" s="17">
        <v>0</v>
      </c>
      <c r="F173" s="19">
        <v>42795</v>
      </c>
      <c r="G173" s="17" t="s">
        <v>43</v>
      </c>
      <c r="H173" s="19">
        <v>42801</v>
      </c>
      <c r="I173" s="17" t="s">
        <v>64</v>
      </c>
    </row>
    <row r="174" spans="1:9" x14ac:dyDescent="0.2">
      <c r="A174" s="17" t="s">
        <v>77</v>
      </c>
      <c r="B174" s="18">
        <v>8</v>
      </c>
      <c r="C174" s="17">
        <v>0</v>
      </c>
      <c r="D174" s="17">
        <v>1</v>
      </c>
      <c r="E174" s="17">
        <v>0</v>
      </c>
      <c r="F174" s="19">
        <v>42795</v>
      </c>
      <c r="G174" s="17" t="s">
        <v>43</v>
      </c>
      <c r="H174" s="19">
        <v>42801</v>
      </c>
      <c r="I174" s="17" t="s">
        <v>29</v>
      </c>
    </row>
    <row r="175" spans="1:9" x14ac:dyDescent="0.2">
      <c r="A175" s="17" t="s">
        <v>243</v>
      </c>
      <c r="B175" s="18">
        <v>15.4</v>
      </c>
      <c r="C175" s="17">
        <v>0</v>
      </c>
      <c r="D175" s="17">
        <v>1</v>
      </c>
      <c r="E175" s="17">
        <v>0</v>
      </c>
      <c r="F175" s="19">
        <v>42795</v>
      </c>
      <c r="G175" s="17" t="s">
        <v>43</v>
      </c>
      <c r="H175" s="19">
        <v>42801</v>
      </c>
      <c r="I175" s="17" t="s">
        <v>29</v>
      </c>
    </row>
    <row r="176" spans="1:9" x14ac:dyDescent="0.2">
      <c r="A176" s="17" t="s">
        <v>49</v>
      </c>
      <c r="B176" s="18">
        <v>21</v>
      </c>
      <c r="C176" s="17">
        <v>0</v>
      </c>
      <c r="D176" s="17">
        <v>1</v>
      </c>
      <c r="E176" s="17">
        <v>0</v>
      </c>
      <c r="F176" s="19">
        <v>42795</v>
      </c>
      <c r="G176" s="17" t="s">
        <v>43</v>
      </c>
      <c r="H176" s="19">
        <v>42802</v>
      </c>
      <c r="I176" s="17" t="s">
        <v>29</v>
      </c>
    </row>
    <row r="177" spans="1:9" x14ac:dyDescent="0.2">
      <c r="A177" s="17" t="s">
        <v>91</v>
      </c>
      <c r="B177" s="18">
        <v>22</v>
      </c>
      <c r="C177" s="17">
        <v>0</v>
      </c>
      <c r="D177" s="17">
        <v>1</v>
      </c>
      <c r="E177" s="17">
        <v>0</v>
      </c>
      <c r="F177" s="19">
        <v>42795</v>
      </c>
      <c r="G177" s="17" t="s">
        <v>43</v>
      </c>
      <c r="H177" s="19">
        <v>42802</v>
      </c>
      <c r="I177" s="17" t="s">
        <v>29</v>
      </c>
    </row>
    <row r="178" spans="1:9" x14ac:dyDescent="0.2">
      <c r="A178" s="17" t="s">
        <v>244</v>
      </c>
      <c r="B178" s="18">
        <v>8</v>
      </c>
      <c r="C178" s="17">
        <v>0</v>
      </c>
      <c r="D178" s="17">
        <v>1</v>
      </c>
      <c r="E178" s="17">
        <v>0</v>
      </c>
      <c r="F178" s="19">
        <v>42795</v>
      </c>
      <c r="G178" s="17" t="s">
        <v>43</v>
      </c>
      <c r="H178" s="19">
        <v>42803</v>
      </c>
      <c r="I178" s="17" t="s">
        <v>29</v>
      </c>
    </row>
    <row r="179" spans="1:9" x14ac:dyDescent="0.2">
      <c r="A179" s="17" t="s">
        <v>50</v>
      </c>
      <c r="B179" s="18">
        <v>3</v>
      </c>
      <c r="C179" s="17">
        <v>0</v>
      </c>
      <c r="D179" s="17">
        <v>1</v>
      </c>
      <c r="E179" s="17">
        <v>0</v>
      </c>
      <c r="F179" s="19">
        <v>42795</v>
      </c>
      <c r="G179" s="17" t="s">
        <v>43</v>
      </c>
      <c r="H179" s="19">
        <v>42802</v>
      </c>
      <c r="I179" s="17" t="s">
        <v>29</v>
      </c>
    </row>
    <row r="180" spans="1:9" x14ac:dyDescent="0.2">
      <c r="A180" s="17" t="s">
        <v>66</v>
      </c>
      <c r="B180" s="18">
        <v>20.97</v>
      </c>
      <c r="C180" s="17">
        <v>0</v>
      </c>
      <c r="D180" s="17">
        <v>1</v>
      </c>
      <c r="E180" s="17">
        <v>0</v>
      </c>
      <c r="F180" s="19">
        <v>42795</v>
      </c>
      <c r="G180" s="17" t="s">
        <v>43</v>
      </c>
      <c r="H180" s="19">
        <v>42804</v>
      </c>
      <c r="I180" s="17" t="s">
        <v>66</v>
      </c>
    </row>
    <row r="181" spans="1:9" x14ac:dyDescent="0.2">
      <c r="A181" s="17" t="s">
        <v>66</v>
      </c>
      <c r="B181" s="18">
        <v>5.6</v>
      </c>
      <c r="C181" s="17">
        <v>0</v>
      </c>
      <c r="D181" s="17">
        <v>1</v>
      </c>
      <c r="E181" s="17">
        <v>0</v>
      </c>
      <c r="F181" s="19">
        <v>42795</v>
      </c>
      <c r="G181" s="17" t="s">
        <v>43</v>
      </c>
      <c r="H181" s="19">
        <v>42804</v>
      </c>
      <c r="I181" s="17" t="s">
        <v>66</v>
      </c>
    </row>
    <row r="182" spans="1:9" x14ac:dyDescent="0.2">
      <c r="A182" s="17" t="s">
        <v>50</v>
      </c>
      <c r="B182" s="18">
        <v>3</v>
      </c>
      <c r="C182" s="17">
        <v>0</v>
      </c>
      <c r="D182" s="17">
        <v>1</v>
      </c>
      <c r="E182" s="17">
        <v>0</v>
      </c>
      <c r="F182" s="19">
        <v>42795</v>
      </c>
      <c r="G182" s="17" t="s">
        <v>43</v>
      </c>
      <c r="H182" s="19">
        <v>42804</v>
      </c>
      <c r="I182" s="17" t="s">
        <v>29</v>
      </c>
    </row>
    <row r="183" spans="1:9" x14ac:dyDescent="0.2">
      <c r="A183" s="17" t="s">
        <v>246</v>
      </c>
      <c r="B183" s="18">
        <v>34.9</v>
      </c>
      <c r="C183" s="17">
        <v>0</v>
      </c>
      <c r="D183" s="17">
        <v>1</v>
      </c>
      <c r="E183" s="17">
        <v>0</v>
      </c>
      <c r="F183" s="19">
        <v>42795</v>
      </c>
      <c r="G183" s="17" t="s">
        <v>43</v>
      </c>
      <c r="H183" s="19">
        <v>42804</v>
      </c>
      <c r="I183" s="17" t="s">
        <v>138</v>
      </c>
    </row>
    <row r="184" spans="1:9" x14ac:dyDescent="0.2">
      <c r="A184" s="17" t="s">
        <v>66</v>
      </c>
      <c r="B184" s="18">
        <v>7.61</v>
      </c>
      <c r="C184" s="17">
        <v>0</v>
      </c>
      <c r="D184" s="17">
        <v>1</v>
      </c>
      <c r="E184" s="17">
        <v>0</v>
      </c>
      <c r="F184" s="19">
        <v>42795</v>
      </c>
      <c r="G184" s="17" t="s">
        <v>43</v>
      </c>
      <c r="H184" s="19">
        <v>42805</v>
      </c>
      <c r="I184" s="17" t="s">
        <v>66</v>
      </c>
    </row>
    <row r="185" spans="1:9" x14ac:dyDescent="0.2">
      <c r="A185" s="17" t="s">
        <v>23</v>
      </c>
      <c r="B185" s="18">
        <v>6.89</v>
      </c>
      <c r="C185" s="17">
        <v>0</v>
      </c>
      <c r="D185" s="17">
        <v>1</v>
      </c>
      <c r="E185" s="17">
        <v>0</v>
      </c>
      <c r="F185" s="19">
        <v>42795</v>
      </c>
      <c r="G185" s="17" t="s">
        <v>43</v>
      </c>
      <c r="H185" s="19">
        <v>42805</v>
      </c>
      <c r="I185" s="17" t="s">
        <v>23</v>
      </c>
    </row>
    <row r="186" spans="1:9" x14ac:dyDescent="0.2">
      <c r="A186" s="17" t="s">
        <v>247</v>
      </c>
      <c r="B186" s="18">
        <v>60</v>
      </c>
      <c r="C186" s="17">
        <v>0</v>
      </c>
      <c r="D186" s="17">
        <v>1</v>
      </c>
      <c r="E186" s="17">
        <v>0</v>
      </c>
      <c r="F186" s="19">
        <v>42795</v>
      </c>
      <c r="G186" s="17" t="s">
        <v>43</v>
      </c>
      <c r="H186" s="19">
        <v>42805</v>
      </c>
      <c r="I186" s="17" t="s">
        <v>53</v>
      </c>
    </row>
    <row r="187" spans="1:9" x14ac:dyDescent="0.2">
      <c r="A187" s="17" t="s">
        <v>248</v>
      </c>
      <c r="B187" s="18">
        <v>4.0999999999999996</v>
      </c>
      <c r="C187" s="17">
        <v>0</v>
      </c>
      <c r="D187" s="17">
        <v>1</v>
      </c>
      <c r="E187" s="17">
        <v>0</v>
      </c>
      <c r="F187" s="19">
        <v>42795</v>
      </c>
      <c r="G187" s="17" t="s">
        <v>43</v>
      </c>
      <c r="H187" s="19">
        <v>42803</v>
      </c>
      <c r="I187" s="17" t="s">
        <v>29</v>
      </c>
    </row>
    <row r="188" spans="1:9" x14ac:dyDescent="0.2">
      <c r="A188" s="17" t="s">
        <v>249</v>
      </c>
      <c r="B188" s="18">
        <v>7</v>
      </c>
      <c r="C188" s="17">
        <v>0</v>
      </c>
      <c r="D188" s="17">
        <v>1</v>
      </c>
      <c r="E188" s="17">
        <v>0</v>
      </c>
      <c r="F188" s="19">
        <v>42795</v>
      </c>
      <c r="G188" s="17" t="s">
        <v>43</v>
      </c>
      <c r="H188" s="19">
        <v>42803</v>
      </c>
      <c r="I188" s="17" t="s">
        <v>53</v>
      </c>
    </row>
    <row r="189" spans="1:9" x14ac:dyDescent="0.2">
      <c r="A189" s="17" t="s">
        <v>77</v>
      </c>
      <c r="B189" s="18">
        <v>4</v>
      </c>
      <c r="C189" s="17">
        <v>0</v>
      </c>
      <c r="D189" s="17">
        <v>1</v>
      </c>
      <c r="E189" s="17">
        <v>0</v>
      </c>
      <c r="F189" s="19">
        <v>42795</v>
      </c>
      <c r="G189" s="17" t="s">
        <v>43</v>
      </c>
      <c r="H189" s="19">
        <v>42803</v>
      </c>
      <c r="I189" s="17" t="s">
        <v>29</v>
      </c>
    </row>
    <row r="190" spans="1:9" x14ac:dyDescent="0.2">
      <c r="A190" s="17" t="s">
        <v>23</v>
      </c>
      <c r="B190" s="18">
        <v>218.93</v>
      </c>
      <c r="C190" s="17">
        <v>0</v>
      </c>
      <c r="D190" s="17">
        <v>1</v>
      </c>
      <c r="E190" s="17">
        <v>0</v>
      </c>
      <c r="F190" s="19">
        <v>42795</v>
      </c>
      <c r="G190" s="24" t="s">
        <v>58</v>
      </c>
      <c r="H190" s="19">
        <v>42807</v>
      </c>
      <c r="I190" s="17" t="s">
        <v>23</v>
      </c>
    </row>
    <row r="191" spans="1:9" x14ac:dyDescent="0.2">
      <c r="A191" s="17" t="s">
        <v>66</v>
      </c>
      <c r="B191" s="18">
        <v>7.61</v>
      </c>
      <c r="C191" s="17">
        <v>0</v>
      </c>
      <c r="D191" s="17">
        <v>1</v>
      </c>
      <c r="E191" s="17">
        <v>0</v>
      </c>
      <c r="F191" s="19">
        <v>42795</v>
      </c>
      <c r="G191" s="24" t="s">
        <v>58</v>
      </c>
      <c r="H191" s="19">
        <v>42807</v>
      </c>
      <c r="I191" s="17" t="s">
        <v>66</v>
      </c>
    </row>
    <row r="192" spans="1:9" x14ac:dyDescent="0.2">
      <c r="A192" s="17" t="s">
        <v>66</v>
      </c>
      <c r="B192" s="17">
        <v>7.98</v>
      </c>
      <c r="C192" s="17">
        <v>0</v>
      </c>
      <c r="D192" s="17">
        <v>1</v>
      </c>
      <c r="E192" s="17">
        <v>0</v>
      </c>
      <c r="F192" s="19">
        <v>42795</v>
      </c>
      <c r="G192" s="24" t="s">
        <v>58</v>
      </c>
      <c r="H192" s="19">
        <v>42807</v>
      </c>
      <c r="I192" s="17" t="s">
        <v>66</v>
      </c>
    </row>
    <row r="193" spans="1:9" x14ac:dyDescent="0.2">
      <c r="A193" s="17" t="s">
        <v>50</v>
      </c>
      <c r="B193" s="18">
        <v>3</v>
      </c>
      <c r="C193" s="17">
        <v>0</v>
      </c>
      <c r="D193" s="17">
        <v>1</v>
      </c>
      <c r="E193" s="17">
        <v>0</v>
      </c>
      <c r="F193" s="19">
        <v>42795</v>
      </c>
      <c r="G193" s="24" t="s">
        <v>58</v>
      </c>
      <c r="H193" s="19">
        <v>42807</v>
      </c>
      <c r="I193" s="17" t="s">
        <v>29</v>
      </c>
    </row>
    <row r="194" spans="1:9" x14ac:dyDescent="0.2">
      <c r="A194" s="17" t="s">
        <v>251</v>
      </c>
      <c r="B194" s="18">
        <v>80.73</v>
      </c>
      <c r="C194" s="17">
        <v>0</v>
      </c>
      <c r="D194" s="17">
        <v>1</v>
      </c>
      <c r="E194" s="17">
        <v>0</v>
      </c>
      <c r="F194" s="19">
        <v>42795</v>
      </c>
      <c r="G194" s="24" t="s">
        <v>58</v>
      </c>
      <c r="H194" s="19">
        <v>42807</v>
      </c>
      <c r="I194" s="17" t="s">
        <v>27</v>
      </c>
    </row>
    <row r="195" spans="1:9" x14ac:dyDescent="0.2">
      <c r="A195" s="17" t="s">
        <v>23</v>
      </c>
      <c r="B195" s="18">
        <v>6.89</v>
      </c>
      <c r="C195" s="17">
        <v>0</v>
      </c>
      <c r="D195" s="17">
        <v>1</v>
      </c>
      <c r="E195" s="17">
        <v>0</v>
      </c>
      <c r="F195" s="19">
        <v>42795</v>
      </c>
      <c r="G195" s="24" t="s">
        <v>58</v>
      </c>
      <c r="H195" s="19">
        <v>42808</v>
      </c>
      <c r="I195" s="17" t="s">
        <v>23</v>
      </c>
    </row>
    <row r="196" spans="1:9" x14ac:dyDescent="0.2">
      <c r="A196" s="17" t="s">
        <v>44</v>
      </c>
      <c r="B196" s="18">
        <v>100</v>
      </c>
      <c r="C196" s="17">
        <v>0</v>
      </c>
      <c r="D196" s="17">
        <v>1</v>
      </c>
      <c r="E196" s="17">
        <v>0</v>
      </c>
      <c r="F196" s="19">
        <v>42795</v>
      </c>
      <c r="G196" s="24" t="s">
        <v>58</v>
      </c>
      <c r="H196" s="19">
        <v>42808</v>
      </c>
      <c r="I196" s="17" t="s">
        <v>53</v>
      </c>
    </row>
    <row r="197" spans="1:9" x14ac:dyDescent="0.2">
      <c r="A197" s="17" t="s">
        <v>23</v>
      </c>
      <c r="B197" s="18">
        <v>37.71</v>
      </c>
      <c r="C197" s="17">
        <v>0</v>
      </c>
      <c r="D197" s="17">
        <v>1</v>
      </c>
      <c r="E197" s="17">
        <v>0</v>
      </c>
      <c r="F197" s="19">
        <v>42795</v>
      </c>
      <c r="G197" s="24" t="s">
        <v>58</v>
      </c>
      <c r="H197" s="19">
        <v>42809</v>
      </c>
      <c r="I197" s="17" t="s">
        <v>23</v>
      </c>
    </row>
    <row r="198" spans="1:9" x14ac:dyDescent="0.2">
      <c r="A198" s="17" t="s">
        <v>77</v>
      </c>
      <c r="B198" s="18">
        <v>7</v>
      </c>
      <c r="C198" s="17">
        <v>0</v>
      </c>
      <c r="D198" s="17">
        <v>1</v>
      </c>
      <c r="E198" s="17">
        <v>0</v>
      </c>
      <c r="F198" s="19">
        <v>42795</v>
      </c>
      <c r="G198" s="24" t="s">
        <v>58</v>
      </c>
      <c r="H198" s="19">
        <v>42809</v>
      </c>
      <c r="I198" s="17" t="s">
        <v>29</v>
      </c>
    </row>
    <row r="199" spans="1:9" x14ac:dyDescent="0.2">
      <c r="A199" s="17" t="s">
        <v>252</v>
      </c>
      <c r="B199" s="18">
        <v>250</v>
      </c>
      <c r="C199" s="17">
        <v>0</v>
      </c>
      <c r="D199" s="17">
        <v>1</v>
      </c>
      <c r="E199" s="17">
        <v>0</v>
      </c>
      <c r="F199" s="19">
        <v>42795</v>
      </c>
      <c r="G199" s="24" t="s">
        <v>58</v>
      </c>
      <c r="H199" s="19">
        <v>42810</v>
      </c>
      <c r="I199" s="17" t="s">
        <v>53</v>
      </c>
    </row>
    <row r="200" spans="1:9" x14ac:dyDescent="0.2">
      <c r="A200" s="17" t="s">
        <v>44</v>
      </c>
      <c r="B200" s="18">
        <v>50</v>
      </c>
      <c r="C200" s="17">
        <v>0</v>
      </c>
      <c r="D200" s="17">
        <v>1</v>
      </c>
      <c r="E200" s="17">
        <v>0</v>
      </c>
      <c r="F200" s="19">
        <v>42795</v>
      </c>
      <c r="G200" s="24" t="s">
        <v>58</v>
      </c>
      <c r="H200" s="19">
        <v>42810</v>
      </c>
      <c r="I200" s="17" t="s">
        <v>53</v>
      </c>
    </row>
    <row r="201" spans="1:9" x14ac:dyDescent="0.2">
      <c r="A201" s="17" t="s">
        <v>253</v>
      </c>
      <c r="B201" s="18">
        <v>11.2</v>
      </c>
      <c r="C201" s="17">
        <v>0</v>
      </c>
      <c r="D201" s="17">
        <v>1</v>
      </c>
      <c r="E201" s="17">
        <v>0</v>
      </c>
      <c r="F201" s="19">
        <v>42795</v>
      </c>
      <c r="G201" s="24" t="s">
        <v>58</v>
      </c>
      <c r="H201" s="19">
        <v>42810</v>
      </c>
      <c r="I201" s="17" t="s">
        <v>29</v>
      </c>
    </row>
    <row r="202" spans="1:9" x14ac:dyDescent="0.2">
      <c r="A202" s="17" t="s">
        <v>41</v>
      </c>
      <c r="B202" s="18">
        <v>38</v>
      </c>
      <c r="C202" s="17">
        <v>0</v>
      </c>
      <c r="D202" s="17">
        <v>1</v>
      </c>
      <c r="E202" s="17">
        <v>0</v>
      </c>
      <c r="F202" s="19">
        <v>42795</v>
      </c>
      <c r="G202" s="24" t="s">
        <v>58</v>
      </c>
      <c r="H202" s="19">
        <v>42813</v>
      </c>
      <c r="I202" s="17" t="s">
        <v>41</v>
      </c>
    </row>
    <row r="203" spans="1:9" x14ac:dyDescent="0.2">
      <c r="A203" s="17" t="s">
        <v>66</v>
      </c>
      <c r="B203" s="18">
        <v>23.1</v>
      </c>
      <c r="C203" s="17">
        <v>0</v>
      </c>
      <c r="D203" s="17">
        <v>1</v>
      </c>
      <c r="E203" s="17">
        <v>0</v>
      </c>
      <c r="F203" s="19">
        <v>42795</v>
      </c>
      <c r="G203" s="24" t="s">
        <v>71</v>
      </c>
      <c r="H203" s="19">
        <v>42814</v>
      </c>
      <c r="I203" s="17" t="s">
        <v>66</v>
      </c>
    </row>
    <row r="204" spans="1:9" x14ac:dyDescent="0.2">
      <c r="A204" s="17" t="s">
        <v>251</v>
      </c>
      <c r="B204" s="18">
        <v>80</v>
      </c>
      <c r="C204" s="17">
        <v>0</v>
      </c>
      <c r="D204" s="17">
        <v>1</v>
      </c>
      <c r="E204" s="17">
        <v>0</v>
      </c>
      <c r="F204" s="19">
        <v>42795</v>
      </c>
      <c r="G204" s="24" t="s">
        <v>71</v>
      </c>
      <c r="H204" s="19">
        <v>42814</v>
      </c>
      <c r="I204" s="17" t="s">
        <v>27</v>
      </c>
    </row>
    <row r="205" spans="1:9" x14ac:dyDescent="0.2">
      <c r="A205" s="17" t="s">
        <v>254</v>
      </c>
      <c r="B205" s="18">
        <v>70</v>
      </c>
      <c r="C205" s="17">
        <v>0</v>
      </c>
      <c r="D205" s="17">
        <v>1</v>
      </c>
      <c r="E205" s="17">
        <v>0</v>
      </c>
      <c r="F205" s="19">
        <v>42795</v>
      </c>
      <c r="G205" s="24" t="s">
        <v>71</v>
      </c>
      <c r="H205" s="19">
        <v>42814</v>
      </c>
      <c r="I205" s="17" t="s">
        <v>76</v>
      </c>
    </row>
    <row r="206" spans="1:9" x14ac:dyDescent="0.2">
      <c r="A206" s="17" t="s">
        <v>66</v>
      </c>
      <c r="B206" s="18">
        <v>47.8</v>
      </c>
      <c r="C206" s="17">
        <v>0</v>
      </c>
      <c r="D206" s="17">
        <v>1</v>
      </c>
      <c r="E206" s="17">
        <v>0</v>
      </c>
      <c r="F206" s="19">
        <v>42795</v>
      </c>
      <c r="G206" s="24" t="s">
        <v>71</v>
      </c>
      <c r="H206" s="19">
        <v>42814</v>
      </c>
      <c r="I206" s="17" t="s">
        <v>66</v>
      </c>
    </row>
    <row r="207" spans="1:9" x14ac:dyDescent="0.2">
      <c r="A207" s="17" t="s">
        <v>266</v>
      </c>
      <c r="B207" s="18">
        <v>131.66999999999999</v>
      </c>
      <c r="C207" s="17">
        <v>0</v>
      </c>
      <c r="D207" s="17">
        <v>1</v>
      </c>
      <c r="E207" s="17">
        <v>0</v>
      </c>
      <c r="F207" s="19">
        <v>42795</v>
      </c>
      <c r="G207" s="24" t="s">
        <v>71</v>
      </c>
      <c r="H207" s="19">
        <v>42815</v>
      </c>
      <c r="I207" s="17" t="s">
        <v>23</v>
      </c>
    </row>
    <row r="208" spans="1:9" x14ac:dyDescent="0.2">
      <c r="A208" s="17" t="s">
        <v>66</v>
      </c>
      <c r="B208" s="18">
        <v>5.26</v>
      </c>
      <c r="C208" s="17">
        <v>0</v>
      </c>
      <c r="D208" s="17">
        <v>1</v>
      </c>
      <c r="E208" s="17">
        <v>0</v>
      </c>
      <c r="F208" s="19">
        <v>42795</v>
      </c>
      <c r="G208" s="24" t="s">
        <v>71</v>
      </c>
      <c r="H208" s="19">
        <v>42815</v>
      </c>
      <c r="I208" s="17" t="s">
        <v>66</v>
      </c>
    </row>
    <row r="209" spans="1:10" x14ac:dyDescent="0.2">
      <c r="A209" s="17" t="s">
        <v>50</v>
      </c>
      <c r="B209" s="18">
        <v>3</v>
      </c>
      <c r="C209" s="17">
        <v>0</v>
      </c>
      <c r="D209" s="17">
        <v>1</v>
      </c>
      <c r="E209" s="17">
        <v>0</v>
      </c>
      <c r="F209" s="19">
        <v>42795</v>
      </c>
      <c r="G209" s="24" t="s">
        <v>71</v>
      </c>
      <c r="H209" s="19">
        <v>42815</v>
      </c>
      <c r="I209" s="17" t="s">
        <v>29</v>
      </c>
    </row>
    <row r="210" spans="1:10" x14ac:dyDescent="0.2">
      <c r="A210" s="17" t="s">
        <v>50</v>
      </c>
      <c r="B210" s="18">
        <v>2.8</v>
      </c>
      <c r="C210" s="17">
        <v>0</v>
      </c>
      <c r="D210" s="17">
        <v>1</v>
      </c>
      <c r="E210" s="17">
        <v>0</v>
      </c>
      <c r="F210" s="19">
        <v>42795</v>
      </c>
      <c r="G210" s="24" t="s">
        <v>71</v>
      </c>
      <c r="H210" s="19">
        <v>42815</v>
      </c>
      <c r="I210" s="17" t="s">
        <v>29</v>
      </c>
    </row>
    <row r="211" spans="1:10" x14ac:dyDescent="0.2">
      <c r="A211" s="17" t="s">
        <v>98</v>
      </c>
      <c r="B211" s="18">
        <v>25.16</v>
      </c>
      <c r="C211" s="17">
        <v>0</v>
      </c>
      <c r="D211" s="17">
        <v>1</v>
      </c>
      <c r="E211" s="17">
        <v>0</v>
      </c>
      <c r="F211" s="19">
        <v>42795</v>
      </c>
      <c r="G211" s="24" t="s">
        <v>71</v>
      </c>
      <c r="H211" s="19">
        <v>42815</v>
      </c>
      <c r="I211" s="17" t="s">
        <v>98</v>
      </c>
    </row>
    <row r="212" spans="1:10" x14ac:dyDescent="0.2">
      <c r="A212" s="17" t="s">
        <v>40</v>
      </c>
      <c r="B212" s="18">
        <v>5</v>
      </c>
      <c r="C212" s="17">
        <v>0</v>
      </c>
      <c r="D212" s="17">
        <v>1</v>
      </c>
      <c r="E212" s="17">
        <v>0</v>
      </c>
      <c r="F212" s="19">
        <v>42795</v>
      </c>
      <c r="G212" s="24" t="s">
        <v>71</v>
      </c>
      <c r="H212" s="19">
        <v>42817</v>
      </c>
      <c r="I212" s="17" t="s">
        <v>40</v>
      </c>
    </row>
    <row r="213" spans="1:10" x14ac:dyDescent="0.2">
      <c r="A213" s="17" t="s">
        <v>255</v>
      </c>
      <c r="B213" s="18">
        <v>58.3</v>
      </c>
      <c r="C213" s="17">
        <v>0</v>
      </c>
      <c r="D213" s="17">
        <v>1</v>
      </c>
      <c r="E213" s="17">
        <v>0</v>
      </c>
      <c r="F213" s="19">
        <v>42795</v>
      </c>
      <c r="G213" s="24" t="s">
        <v>71</v>
      </c>
      <c r="H213" s="19">
        <v>42817</v>
      </c>
      <c r="I213" s="17" t="s">
        <v>76</v>
      </c>
    </row>
    <row r="214" spans="1:10" x14ac:dyDescent="0.2">
      <c r="A214" s="17" t="s">
        <v>257</v>
      </c>
      <c r="B214" s="18">
        <v>19.98</v>
      </c>
      <c r="C214" s="17">
        <v>0</v>
      </c>
      <c r="D214" s="17">
        <v>1</v>
      </c>
      <c r="E214" s="17">
        <v>0</v>
      </c>
      <c r="F214" s="19">
        <v>42795</v>
      </c>
      <c r="G214" s="24" t="s">
        <v>71</v>
      </c>
      <c r="H214" s="19">
        <v>42818</v>
      </c>
      <c r="I214" s="17" t="s">
        <v>29</v>
      </c>
    </row>
    <row r="215" spans="1:10" x14ac:dyDescent="0.2">
      <c r="A215" s="17" t="s">
        <v>258</v>
      </c>
      <c r="B215" s="18">
        <v>8.8800000000000008</v>
      </c>
      <c r="C215" s="17">
        <v>0</v>
      </c>
      <c r="D215" s="17">
        <v>1</v>
      </c>
      <c r="E215" s="17">
        <v>0</v>
      </c>
      <c r="F215" s="19">
        <v>42795</v>
      </c>
      <c r="G215" s="24" t="s">
        <v>71</v>
      </c>
      <c r="H215" s="19">
        <v>42818</v>
      </c>
      <c r="I215" s="17" t="s">
        <v>29</v>
      </c>
    </row>
    <row r="216" spans="1:10" x14ac:dyDescent="0.2">
      <c r="A216" s="17" t="s">
        <v>77</v>
      </c>
      <c r="B216" s="18">
        <v>4</v>
      </c>
      <c r="C216" s="17">
        <v>0</v>
      </c>
      <c r="D216" s="17">
        <v>1</v>
      </c>
      <c r="E216" s="17">
        <v>0</v>
      </c>
      <c r="F216" s="19">
        <v>42795</v>
      </c>
      <c r="G216" s="24" t="s">
        <v>71</v>
      </c>
      <c r="H216" s="19">
        <v>42818</v>
      </c>
      <c r="I216" s="17" t="s">
        <v>29</v>
      </c>
    </row>
    <row r="217" spans="1:10" x14ac:dyDescent="0.2">
      <c r="A217" s="17" t="s">
        <v>259</v>
      </c>
      <c r="B217" s="18">
        <v>9.5299999999999994</v>
      </c>
      <c r="C217" s="17">
        <v>0</v>
      </c>
      <c r="D217" s="17">
        <v>1</v>
      </c>
      <c r="E217" s="17">
        <v>0</v>
      </c>
      <c r="F217" s="19">
        <v>42795</v>
      </c>
      <c r="G217" s="24" t="s">
        <v>71</v>
      </c>
      <c r="H217" s="19">
        <v>42819</v>
      </c>
      <c r="I217" s="17" t="s">
        <v>66</v>
      </c>
      <c r="J217" s="18"/>
    </row>
    <row r="218" spans="1:10" x14ac:dyDescent="0.2">
      <c r="A218" s="17" t="s">
        <v>251</v>
      </c>
      <c r="B218" s="18">
        <v>80</v>
      </c>
      <c r="C218" s="17">
        <v>0</v>
      </c>
      <c r="D218" s="17">
        <v>1</v>
      </c>
      <c r="E218" s="17">
        <v>0</v>
      </c>
      <c r="F218" s="19">
        <v>42795</v>
      </c>
      <c r="G218" s="24" t="s">
        <v>71</v>
      </c>
      <c r="H218" s="19">
        <v>42819</v>
      </c>
      <c r="I218" s="17" t="s">
        <v>27</v>
      </c>
      <c r="J218" s="18"/>
    </row>
    <row r="219" spans="1:10" x14ac:dyDescent="0.2">
      <c r="A219" s="17" t="s">
        <v>260</v>
      </c>
      <c r="B219" s="18">
        <v>9</v>
      </c>
      <c r="C219" s="17">
        <v>0</v>
      </c>
      <c r="D219" s="17">
        <v>1</v>
      </c>
      <c r="E219" s="17">
        <v>0</v>
      </c>
      <c r="F219" s="19">
        <v>42795</v>
      </c>
      <c r="G219" s="24" t="s">
        <v>71</v>
      </c>
      <c r="H219" s="19">
        <v>42819</v>
      </c>
      <c r="I219" s="17" t="s">
        <v>98</v>
      </c>
      <c r="J219" s="18"/>
    </row>
    <row r="220" spans="1:10" x14ac:dyDescent="0.2">
      <c r="A220" s="17" t="s">
        <v>55</v>
      </c>
      <c r="B220" s="18">
        <v>30</v>
      </c>
      <c r="C220" s="17">
        <v>0</v>
      </c>
      <c r="D220" s="17">
        <v>1</v>
      </c>
      <c r="E220" s="17">
        <v>0</v>
      </c>
      <c r="F220" s="19">
        <v>42795</v>
      </c>
      <c r="G220" s="24" t="s">
        <v>71</v>
      </c>
      <c r="H220" s="19">
        <v>42819</v>
      </c>
      <c r="I220" s="17" t="s">
        <v>53</v>
      </c>
      <c r="J220" s="18"/>
    </row>
    <row r="221" spans="1:10" x14ac:dyDescent="0.2">
      <c r="A221" s="17" t="s">
        <v>261</v>
      </c>
      <c r="B221" s="18">
        <v>50</v>
      </c>
      <c r="C221" s="17">
        <v>0</v>
      </c>
      <c r="D221" s="17">
        <v>1</v>
      </c>
      <c r="E221" s="17">
        <v>0</v>
      </c>
      <c r="F221" s="19">
        <v>42795</v>
      </c>
      <c r="G221" s="24" t="s">
        <v>71</v>
      </c>
      <c r="H221" s="19">
        <v>42819</v>
      </c>
      <c r="I221" s="17" t="s">
        <v>53</v>
      </c>
      <c r="J221" s="18"/>
    </row>
    <row r="222" spans="1:10" x14ac:dyDescent="0.2">
      <c r="A222" s="17" t="s">
        <v>41</v>
      </c>
      <c r="B222" s="18">
        <v>35</v>
      </c>
      <c r="C222" s="17">
        <v>0</v>
      </c>
      <c r="D222" s="17">
        <v>1</v>
      </c>
      <c r="E222" s="17">
        <v>0</v>
      </c>
      <c r="F222" s="19">
        <v>42795</v>
      </c>
      <c r="G222" s="24" t="s">
        <v>71</v>
      </c>
      <c r="H222" s="19">
        <v>42820</v>
      </c>
      <c r="I222" s="17" t="s">
        <v>41</v>
      </c>
      <c r="J222" s="18"/>
    </row>
    <row r="223" spans="1:10" x14ac:dyDescent="0.2">
      <c r="A223" s="17" t="s">
        <v>262</v>
      </c>
      <c r="B223" s="18">
        <v>20</v>
      </c>
      <c r="C223" s="17">
        <v>0</v>
      </c>
      <c r="D223" s="17">
        <v>1</v>
      </c>
      <c r="E223" s="17">
        <v>0</v>
      </c>
      <c r="F223" s="19">
        <v>42795</v>
      </c>
      <c r="G223" s="24" t="s">
        <v>71</v>
      </c>
      <c r="H223" s="19">
        <v>42819</v>
      </c>
      <c r="I223" s="17" t="s">
        <v>29</v>
      </c>
      <c r="J223" s="18"/>
    </row>
    <row r="224" spans="1:10" x14ac:dyDescent="0.2">
      <c r="A224" s="17" t="s">
        <v>91</v>
      </c>
      <c r="B224" s="18">
        <v>10</v>
      </c>
      <c r="C224" s="17">
        <v>0</v>
      </c>
      <c r="D224" s="17">
        <v>1</v>
      </c>
      <c r="E224" s="17">
        <v>0</v>
      </c>
      <c r="F224" s="19">
        <v>42795</v>
      </c>
      <c r="G224" s="24" t="s">
        <v>71</v>
      </c>
      <c r="H224" s="19">
        <v>42819</v>
      </c>
      <c r="I224" s="17" t="s">
        <v>29</v>
      </c>
      <c r="J224" s="18"/>
    </row>
    <row r="225" spans="1:10" x14ac:dyDescent="0.2">
      <c r="A225" s="17" t="s">
        <v>69</v>
      </c>
      <c r="B225" s="18">
        <v>21.25</v>
      </c>
      <c r="C225" s="17">
        <v>0</v>
      </c>
      <c r="D225" s="17">
        <v>1</v>
      </c>
      <c r="E225" s="17">
        <v>0</v>
      </c>
      <c r="F225" s="19">
        <v>42795</v>
      </c>
      <c r="G225" s="24" t="s">
        <v>71</v>
      </c>
      <c r="H225" s="19">
        <v>42819</v>
      </c>
      <c r="I225" s="17" t="s">
        <v>29</v>
      </c>
      <c r="J225" s="18"/>
    </row>
    <row r="226" spans="1:10" x14ac:dyDescent="0.2">
      <c r="A226" s="17" t="s">
        <v>263</v>
      </c>
      <c r="B226" s="18">
        <v>28.22</v>
      </c>
      <c r="C226" s="17">
        <v>0</v>
      </c>
      <c r="D226" s="17">
        <v>1</v>
      </c>
      <c r="E226" s="17">
        <v>0</v>
      </c>
      <c r="F226" s="19">
        <v>42795</v>
      </c>
      <c r="G226" s="24" t="s">
        <v>71</v>
      </c>
      <c r="H226" s="19">
        <v>42820</v>
      </c>
      <c r="I226" s="17" t="s">
        <v>66</v>
      </c>
      <c r="J226" s="18"/>
    </row>
    <row r="227" spans="1:10" x14ac:dyDescent="0.2">
      <c r="A227" s="17" t="s">
        <v>265</v>
      </c>
      <c r="B227" s="18">
        <v>146.93</v>
      </c>
      <c r="C227" s="17">
        <v>0</v>
      </c>
      <c r="D227" s="17">
        <v>1</v>
      </c>
      <c r="E227" s="17">
        <v>0</v>
      </c>
      <c r="F227" s="19">
        <v>42795</v>
      </c>
      <c r="G227" s="24" t="s">
        <v>71</v>
      </c>
      <c r="H227" s="19">
        <v>42820</v>
      </c>
      <c r="I227" s="17" t="s">
        <v>23</v>
      </c>
      <c r="J227" s="18"/>
    </row>
    <row r="228" spans="1:10" x14ac:dyDescent="0.2">
      <c r="A228" s="17" t="s">
        <v>264</v>
      </c>
      <c r="B228" s="18">
        <v>21.29</v>
      </c>
      <c r="C228" s="17">
        <v>0</v>
      </c>
      <c r="D228" s="17">
        <v>1</v>
      </c>
      <c r="E228" s="17">
        <v>0</v>
      </c>
      <c r="F228" s="19">
        <v>42795</v>
      </c>
      <c r="G228" s="24" t="s">
        <v>71</v>
      </c>
      <c r="H228" s="19">
        <v>42820</v>
      </c>
      <c r="I228" s="17" t="s">
        <v>23</v>
      </c>
      <c r="J228" s="18"/>
    </row>
    <row r="229" spans="1:10" x14ac:dyDescent="0.2">
      <c r="A229" s="17" t="s">
        <v>75</v>
      </c>
      <c r="B229" s="18">
        <v>2.72</v>
      </c>
      <c r="C229" s="17">
        <v>0</v>
      </c>
      <c r="D229" s="17">
        <v>1</v>
      </c>
      <c r="E229" s="17">
        <v>0</v>
      </c>
      <c r="F229" s="19">
        <v>42795</v>
      </c>
      <c r="G229" s="24" t="s">
        <v>71</v>
      </c>
      <c r="H229" s="19">
        <v>42820</v>
      </c>
      <c r="I229" s="17" t="s">
        <v>75</v>
      </c>
      <c r="J229" s="18"/>
    </row>
    <row r="230" spans="1:10" x14ac:dyDescent="0.2">
      <c r="A230" s="17" t="s">
        <v>77</v>
      </c>
      <c r="B230" s="18">
        <v>3</v>
      </c>
      <c r="C230" s="17">
        <v>0</v>
      </c>
      <c r="D230" s="17">
        <v>1</v>
      </c>
      <c r="E230" s="17">
        <v>0</v>
      </c>
      <c r="F230" s="19">
        <v>42795</v>
      </c>
      <c r="G230" s="24" t="s">
        <v>80</v>
      </c>
      <c r="H230" s="19">
        <v>42821</v>
      </c>
      <c r="I230" s="17" t="s">
        <v>29</v>
      </c>
      <c r="J230" s="18"/>
    </row>
    <row r="231" spans="1:10" x14ac:dyDescent="0.2">
      <c r="A231" s="17" t="s">
        <v>49</v>
      </c>
      <c r="B231" s="18">
        <v>7</v>
      </c>
      <c r="C231" s="17">
        <v>0</v>
      </c>
      <c r="D231" s="17">
        <v>1</v>
      </c>
      <c r="E231" s="17">
        <v>0</v>
      </c>
      <c r="F231" s="19">
        <v>42795</v>
      </c>
      <c r="G231" s="24" t="s">
        <v>80</v>
      </c>
      <c r="H231" s="19">
        <v>42821</v>
      </c>
      <c r="I231" s="17" t="s">
        <v>29</v>
      </c>
      <c r="J231" s="18"/>
    </row>
    <row r="232" spans="1:10" x14ac:dyDescent="0.2">
      <c r="A232" s="17" t="s">
        <v>50</v>
      </c>
      <c r="B232" s="18">
        <v>3</v>
      </c>
      <c r="C232" s="17">
        <v>0</v>
      </c>
      <c r="D232" s="17">
        <v>1</v>
      </c>
      <c r="E232" s="17">
        <v>0</v>
      </c>
      <c r="F232" s="19">
        <v>42795</v>
      </c>
      <c r="G232" s="24" t="s">
        <v>80</v>
      </c>
      <c r="H232" s="19">
        <v>42820</v>
      </c>
      <c r="I232" s="17" t="s">
        <v>29</v>
      </c>
      <c r="J232" s="18"/>
    </row>
    <row r="233" spans="1:10" x14ac:dyDescent="0.2">
      <c r="A233" s="17" t="s">
        <v>91</v>
      </c>
      <c r="B233" s="18">
        <v>8</v>
      </c>
      <c r="C233" s="17">
        <v>0</v>
      </c>
      <c r="D233" s="17">
        <v>1</v>
      </c>
      <c r="E233" s="17">
        <v>0</v>
      </c>
      <c r="F233" s="19">
        <v>42795</v>
      </c>
      <c r="G233" s="24" t="s">
        <v>80</v>
      </c>
      <c r="H233" s="19">
        <v>42821</v>
      </c>
      <c r="I233" s="17" t="s">
        <v>29</v>
      </c>
      <c r="J233" s="18"/>
    </row>
    <row r="234" spans="1:10" x14ac:dyDescent="0.2">
      <c r="A234" s="17" t="s">
        <v>267</v>
      </c>
      <c r="B234" s="18">
        <v>5</v>
      </c>
      <c r="C234" s="17">
        <v>0</v>
      </c>
      <c r="D234" s="17">
        <v>1</v>
      </c>
      <c r="E234" s="17">
        <v>0</v>
      </c>
      <c r="F234" s="19">
        <v>42795</v>
      </c>
      <c r="G234" s="24" t="s">
        <v>80</v>
      </c>
      <c r="H234" s="19">
        <v>42821</v>
      </c>
      <c r="I234" s="17" t="s">
        <v>29</v>
      </c>
      <c r="J234" s="18"/>
    </row>
    <row r="235" spans="1:10" x14ac:dyDescent="0.2">
      <c r="A235" s="17" t="s">
        <v>22</v>
      </c>
      <c r="B235" s="18">
        <v>45.71</v>
      </c>
      <c r="C235" s="17">
        <v>0</v>
      </c>
      <c r="D235" s="17">
        <v>1</v>
      </c>
      <c r="E235" s="17">
        <v>0</v>
      </c>
      <c r="F235" s="19">
        <v>42795</v>
      </c>
      <c r="G235" s="24" t="s">
        <v>80</v>
      </c>
      <c r="H235" s="19">
        <v>42822</v>
      </c>
      <c r="I235" s="17" t="s">
        <v>23</v>
      </c>
      <c r="J235" s="18"/>
    </row>
    <row r="236" spans="1:10" x14ac:dyDescent="0.2">
      <c r="A236" s="17" t="s">
        <v>251</v>
      </c>
      <c r="B236" s="18">
        <v>50</v>
      </c>
      <c r="C236" s="17">
        <v>0</v>
      </c>
      <c r="D236" s="17">
        <v>1</v>
      </c>
      <c r="E236" s="17">
        <v>0</v>
      </c>
      <c r="F236" s="19">
        <v>42795</v>
      </c>
      <c r="G236" s="24" t="s">
        <v>80</v>
      </c>
      <c r="H236" s="19">
        <v>42824</v>
      </c>
      <c r="I236" s="17" t="s">
        <v>27</v>
      </c>
      <c r="J236" s="18"/>
    </row>
    <row r="237" spans="1:10" x14ac:dyDescent="0.2">
      <c r="A237" s="17" t="s">
        <v>44</v>
      </c>
      <c r="B237" s="18">
        <v>100</v>
      </c>
      <c r="C237" s="17">
        <v>0</v>
      </c>
      <c r="D237" s="17">
        <v>1</v>
      </c>
      <c r="E237" s="17">
        <v>0</v>
      </c>
      <c r="F237" s="19">
        <v>42795</v>
      </c>
      <c r="G237" s="24" t="s">
        <v>80</v>
      </c>
      <c r="H237" s="19">
        <v>42824</v>
      </c>
      <c r="I237" s="17" t="s">
        <v>53</v>
      </c>
      <c r="J237" s="18"/>
    </row>
    <row r="238" spans="1:10" x14ac:dyDescent="0.2">
      <c r="A238" s="17" t="s">
        <v>268</v>
      </c>
      <c r="B238" s="18">
        <v>74.319999999999993</v>
      </c>
      <c r="C238" s="17">
        <v>0</v>
      </c>
      <c r="D238" s="17">
        <v>1</v>
      </c>
      <c r="E238" s="17">
        <v>0</v>
      </c>
      <c r="F238" s="19">
        <v>42795</v>
      </c>
      <c r="G238" s="24" t="s">
        <v>80</v>
      </c>
      <c r="H238" s="19">
        <v>42825</v>
      </c>
      <c r="I238" s="17" t="s">
        <v>98</v>
      </c>
      <c r="J238" s="18"/>
    </row>
    <row r="239" spans="1:10" x14ac:dyDescent="0.2">
      <c r="A239" s="17" t="s">
        <v>269</v>
      </c>
      <c r="B239" s="18">
        <v>84</v>
      </c>
      <c r="C239" s="17">
        <v>0</v>
      </c>
      <c r="D239" s="17">
        <v>1</v>
      </c>
      <c r="E239" s="17">
        <v>0</v>
      </c>
      <c r="F239" s="19">
        <v>42795</v>
      </c>
      <c r="G239" s="24" t="s">
        <v>80</v>
      </c>
      <c r="H239" s="19">
        <v>42825</v>
      </c>
      <c r="I239" s="17" t="s">
        <v>98</v>
      </c>
      <c r="J239" s="18"/>
    </row>
    <row r="240" spans="1:10" x14ac:dyDescent="0.2">
      <c r="A240" s="17" t="s">
        <v>270</v>
      </c>
      <c r="B240" s="18">
        <v>2</v>
      </c>
      <c r="C240" s="17">
        <v>0</v>
      </c>
      <c r="D240" s="17">
        <v>1</v>
      </c>
      <c r="E240" s="17">
        <v>0</v>
      </c>
      <c r="F240" s="19">
        <v>42795</v>
      </c>
      <c r="G240" s="24" t="s">
        <v>80</v>
      </c>
      <c r="H240" s="19">
        <v>42825</v>
      </c>
      <c r="I240" s="17" t="s">
        <v>29</v>
      </c>
      <c r="J240" s="18"/>
    </row>
    <row r="241" spans="1:10" x14ac:dyDescent="0.2">
      <c r="A241" s="25" t="s">
        <v>9</v>
      </c>
      <c r="B241" s="26">
        <v>608.44000000000005</v>
      </c>
      <c r="C241" s="20">
        <v>1</v>
      </c>
      <c r="D241" s="20">
        <v>0</v>
      </c>
      <c r="E241" s="20">
        <v>0</v>
      </c>
      <c r="F241" s="22">
        <v>42826</v>
      </c>
      <c r="G241" s="20" t="s">
        <v>10</v>
      </c>
      <c r="H241" s="22">
        <v>42826</v>
      </c>
      <c r="I241" s="20" t="s">
        <v>11</v>
      </c>
    </row>
    <row r="242" spans="1:10" x14ac:dyDescent="0.2">
      <c r="A242" s="25" t="s">
        <v>309</v>
      </c>
      <c r="B242" s="26">
        <v>194.99</v>
      </c>
      <c r="C242" s="20">
        <v>1</v>
      </c>
      <c r="D242" s="20">
        <v>0</v>
      </c>
      <c r="E242" s="20">
        <v>0</v>
      </c>
      <c r="F242" s="22">
        <v>42826</v>
      </c>
      <c r="G242" s="20" t="s">
        <v>10</v>
      </c>
      <c r="H242" s="22">
        <v>42826</v>
      </c>
      <c r="I242" s="20" t="s">
        <v>11</v>
      </c>
    </row>
    <row r="243" spans="1:10" x14ac:dyDescent="0.2">
      <c r="A243" s="25" t="s">
        <v>12</v>
      </c>
      <c r="B243" s="26">
        <v>447.66</v>
      </c>
      <c r="C243" s="20">
        <v>1</v>
      </c>
      <c r="D243" s="20">
        <v>0</v>
      </c>
      <c r="E243" s="20">
        <v>0</v>
      </c>
      <c r="F243" s="22">
        <v>42826</v>
      </c>
      <c r="G243" s="20" t="s">
        <v>10</v>
      </c>
      <c r="H243" s="22">
        <v>42826</v>
      </c>
      <c r="I243" s="20" t="s">
        <v>11</v>
      </c>
    </row>
    <row r="244" spans="1:10" x14ac:dyDescent="0.2">
      <c r="A244" s="25" t="s">
        <v>13</v>
      </c>
      <c r="B244" s="26">
        <v>0</v>
      </c>
      <c r="C244" s="20">
        <v>1</v>
      </c>
      <c r="D244" s="20">
        <v>0</v>
      </c>
      <c r="E244" s="20">
        <v>0</v>
      </c>
      <c r="F244" s="22">
        <v>42826</v>
      </c>
      <c r="G244" s="20" t="s">
        <v>10</v>
      </c>
      <c r="H244" s="22">
        <v>42826</v>
      </c>
      <c r="I244" s="20" t="s">
        <v>11</v>
      </c>
    </row>
    <row r="245" spans="1:10" x14ac:dyDescent="0.2">
      <c r="A245" s="25" t="s">
        <v>14</v>
      </c>
      <c r="B245" s="26">
        <v>45.88</v>
      </c>
      <c r="C245" s="20">
        <v>1</v>
      </c>
      <c r="D245" s="20">
        <v>0</v>
      </c>
      <c r="E245" s="20">
        <v>0</v>
      </c>
      <c r="F245" s="22">
        <v>42826</v>
      </c>
      <c r="G245" s="20" t="s">
        <v>10</v>
      </c>
      <c r="H245" s="22">
        <v>42826</v>
      </c>
      <c r="I245" s="20" t="s">
        <v>11</v>
      </c>
    </row>
    <row r="246" spans="1:10" x14ac:dyDescent="0.2">
      <c r="A246" s="25" t="s">
        <v>15</v>
      </c>
      <c r="B246" s="26">
        <v>36.96</v>
      </c>
      <c r="C246" s="20">
        <v>1</v>
      </c>
      <c r="D246" s="20">
        <v>0</v>
      </c>
      <c r="E246" s="20">
        <v>0</v>
      </c>
      <c r="F246" s="22">
        <v>42826</v>
      </c>
      <c r="G246" s="20" t="s">
        <v>10</v>
      </c>
      <c r="H246" s="22">
        <v>42826</v>
      </c>
      <c r="I246" s="20" t="s">
        <v>11</v>
      </c>
    </row>
    <row r="247" spans="1:10" x14ac:dyDescent="0.2">
      <c r="A247" s="25" t="s">
        <v>16</v>
      </c>
      <c r="B247" s="26">
        <v>121.62</v>
      </c>
      <c r="C247" s="20">
        <v>1</v>
      </c>
      <c r="D247" s="20">
        <v>0</v>
      </c>
      <c r="E247" s="20">
        <v>0</v>
      </c>
      <c r="F247" s="22">
        <v>42826</v>
      </c>
      <c r="G247" s="20" t="s">
        <v>10</v>
      </c>
      <c r="H247" s="22">
        <v>42826</v>
      </c>
      <c r="I247" s="20" t="s">
        <v>11</v>
      </c>
    </row>
    <row r="248" spans="1:10" x14ac:dyDescent="0.2">
      <c r="A248" s="25" t="s">
        <v>17</v>
      </c>
      <c r="B248" s="26">
        <v>463.53</v>
      </c>
      <c r="C248" s="20">
        <v>1</v>
      </c>
      <c r="D248" s="20">
        <v>0</v>
      </c>
      <c r="E248" s="20">
        <v>0</v>
      </c>
      <c r="F248" s="22">
        <v>42826</v>
      </c>
      <c r="G248" s="20" t="s">
        <v>10</v>
      </c>
      <c r="H248" s="22">
        <v>42826</v>
      </c>
      <c r="I248" s="20" t="s">
        <v>11</v>
      </c>
    </row>
    <row r="249" spans="1:10" x14ac:dyDescent="0.2">
      <c r="A249" s="25" t="s">
        <v>310</v>
      </c>
      <c r="B249" s="26">
        <v>60.84</v>
      </c>
      <c r="C249" s="20">
        <v>1</v>
      </c>
      <c r="D249" s="20">
        <v>0</v>
      </c>
      <c r="E249" s="20">
        <v>0</v>
      </c>
      <c r="F249" s="22">
        <v>42826</v>
      </c>
      <c r="G249" s="20" t="s">
        <v>10</v>
      </c>
      <c r="H249" s="22">
        <v>42826</v>
      </c>
      <c r="I249" s="20" t="s">
        <v>11</v>
      </c>
    </row>
    <row r="250" spans="1:10" x14ac:dyDescent="0.2">
      <c r="A250" s="25" t="s">
        <v>311</v>
      </c>
      <c r="B250" s="26">
        <v>0</v>
      </c>
      <c r="C250" s="20">
        <v>1</v>
      </c>
      <c r="D250" s="20">
        <v>0</v>
      </c>
      <c r="E250" s="20">
        <v>0</v>
      </c>
      <c r="F250" s="22">
        <v>42826</v>
      </c>
      <c r="G250" s="20" t="s">
        <v>10</v>
      </c>
      <c r="H250" s="22">
        <v>42826</v>
      </c>
      <c r="I250" s="20" t="s">
        <v>11</v>
      </c>
      <c r="J250" s="26"/>
    </row>
    <row r="251" spans="1:10" x14ac:dyDescent="0.2">
      <c r="A251" s="25" t="s">
        <v>311</v>
      </c>
      <c r="B251" s="26">
        <v>0</v>
      </c>
      <c r="C251" s="20">
        <v>1</v>
      </c>
      <c r="D251" s="20">
        <v>0</v>
      </c>
      <c r="E251" s="20">
        <v>0</v>
      </c>
      <c r="F251" s="22">
        <v>42826</v>
      </c>
      <c r="G251" s="20" t="s">
        <v>10</v>
      </c>
      <c r="H251" s="22">
        <v>42826</v>
      </c>
      <c r="I251" s="20" t="s">
        <v>11</v>
      </c>
      <c r="J251" s="26"/>
    </row>
    <row r="252" spans="1:10" x14ac:dyDescent="0.2">
      <c r="A252" s="25" t="s">
        <v>312</v>
      </c>
      <c r="B252" s="26">
        <v>0</v>
      </c>
      <c r="C252" s="20">
        <v>1</v>
      </c>
      <c r="D252" s="20">
        <v>0</v>
      </c>
      <c r="E252" s="20">
        <v>0</v>
      </c>
      <c r="F252" s="22">
        <v>42826</v>
      </c>
      <c r="G252" s="20" t="s">
        <v>10</v>
      </c>
      <c r="H252" s="22">
        <v>42826</v>
      </c>
      <c r="I252" s="20" t="s">
        <v>11</v>
      </c>
      <c r="J252" s="26"/>
    </row>
    <row r="253" spans="1:10" x14ac:dyDescent="0.2">
      <c r="A253" s="25" t="s">
        <v>313</v>
      </c>
      <c r="B253" s="26">
        <v>0</v>
      </c>
      <c r="C253" s="20">
        <v>1</v>
      </c>
      <c r="D253" s="20">
        <v>0</v>
      </c>
      <c r="E253" s="20">
        <v>0</v>
      </c>
      <c r="F253" s="22">
        <v>42826</v>
      </c>
      <c r="G253" s="20" t="s">
        <v>10</v>
      </c>
      <c r="H253" s="22">
        <v>42826</v>
      </c>
      <c r="I253" s="20" t="s">
        <v>11</v>
      </c>
      <c r="J253" s="26"/>
    </row>
    <row r="254" spans="1:10" x14ac:dyDescent="0.2">
      <c r="A254" s="25" t="s">
        <v>18</v>
      </c>
      <c r="B254" s="26">
        <v>0</v>
      </c>
      <c r="C254" s="20">
        <v>1</v>
      </c>
      <c r="D254" s="20">
        <v>0</v>
      </c>
      <c r="E254" s="20">
        <v>0</v>
      </c>
      <c r="F254" s="22">
        <v>42826</v>
      </c>
      <c r="G254" s="20" t="s">
        <v>10</v>
      </c>
      <c r="H254" s="22">
        <v>42826</v>
      </c>
      <c r="I254" s="20" t="s">
        <v>11</v>
      </c>
    </row>
    <row r="255" spans="1:10" x14ac:dyDescent="0.2">
      <c r="A255" s="25" t="s">
        <v>280</v>
      </c>
      <c r="B255" s="26">
        <v>3.65</v>
      </c>
      <c r="C255" s="20">
        <v>1</v>
      </c>
      <c r="D255" s="20">
        <v>0</v>
      </c>
      <c r="E255" s="20">
        <v>0</v>
      </c>
      <c r="F255" s="22">
        <v>42826</v>
      </c>
      <c r="G255" s="20" t="s">
        <v>10</v>
      </c>
      <c r="H255" s="22">
        <v>42826</v>
      </c>
      <c r="I255" s="20" t="s">
        <v>11</v>
      </c>
    </row>
    <row r="256" spans="1:10" x14ac:dyDescent="0.2">
      <c r="A256" s="25" t="s">
        <v>279</v>
      </c>
      <c r="B256" s="27">
        <v>283.89999999999998</v>
      </c>
      <c r="C256" s="20">
        <v>1</v>
      </c>
      <c r="D256" s="20">
        <v>0</v>
      </c>
      <c r="E256" s="20">
        <v>0</v>
      </c>
      <c r="F256" s="22">
        <v>42826</v>
      </c>
      <c r="G256" s="20" t="s">
        <v>10</v>
      </c>
      <c r="H256" s="22">
        <v>42826</v>
      </c>
      <c r="I256" s="20" t="s">
        <v>11</v>
      </c>
    </row>
    <row r="257" spans="1:12" x14ac:dyDescent="0.2">
      <c r="A257" s="20" t="s">
        <v>24</v>
      </c>
      <c r="B257" s="27">
        <v>54.95</v>
      </c>
      <c r="C257" s="20">
        <v>1</v>
      </c>
      <c r="D257" s="20">
        <v>0</v>
      </c>
      <c r="E257" s="20">
        <v>0</v>
      </c>
      <c r="F257" s="22">
        <v>42826</v>
      </c>
      <c r="G257" s="20" t="s">
        <v>10</v>
      </c>
      <c r="H257" s="22">
        <v>42829</v>
      </c>
      <c r="I257" s="20" t="s">
        <v>25</v>
      </c>
      <c r="K257" s="28"/>
      <c r="L257" s="29"/>
    </row>
    <row r="258" spans="1:12" x14ac:dyDescent="0.2">
      <c r="A258" s="20" t="s">
        <v>35</v>
      </c>
      <c r="B258" s="27">
        <v>384.89</v>
      </c>
      <c r="C258" s="20">
        <v>1</v>
      </c>
      <c r="D258" s="20">
        <v>0</v>
      </c>
      <c r="E258" s="20">
        <v>0</v>
      </c>
      <c r="F258" s="22">
        <v>42826</v>
      </c>
      <c r="G258" s="20" t="s">
        <v>43</v>
      </c>
      <c r="H258" s="22">
        <v>42836</v>
      </c>
      <c r="I258" s="20" t="s">
        <v>36</v>
      </c>
      <c r="J258" s="21"/>
      <c r="K258" s="28"/>
      <c r="L258" s="29"/>
    </row>
    <row r="259" spans="1:12" x14ac:dyDescent="0.2">
      <c r="A259" s="20" t="s">
        <v>42</v>
      </c>
      <c r="B259" s="27">
        <v>1485.41</v>
      </c>
      <c r="C259" s="20">
        <v>1</v>
      </c>
      <c r="D259" s="20">
        <v>0</v>
      </c>
      <c r="E259" s="20">
        <v>0</v>
      </c>
      <c r="F259" s="22">
        <v>42826</v>
      </c>
      <c r="G259" s="20" t="s">
        <v>43</v>
      </c>
      <c r="H259" s="22">
        <v>42836</v>
      </c>
      <c r="I259" s="20" t="s">
        <v>36</v>
      </c>
      <c r="J259" s="21"/>
      <c r="K259" s="28"/>
      <c r="L259" s="29"/>
    </row>
    <row r="260" spans="1:12" x14ac:dyDescent="0.2">
      <c r="A260" s="20" t="s">
        <v>39</v>
      </c>
      <c r="B260" s="27">
        <v>85.76</v>
      </c>
      <c r="C260" s="20">
        <v>1</v>
      </c>
      <c r="D260" s="20">
        <v>0</v>
      </c>
      <c r="E260" s="20">
        <v>0</v>
      </c>
      <c r="F260" s="22">
        <v>42826</v>
      </c>
      <c r="G260" s="20" t="s">
        <v>43</v>
      </c>
      <c r="H260" s="22">
        <v>42836</v>
      </c>
      <c r="I260" s="20" t="s">
        <v>36</v>
      </c>
      <c r="K260" s="28"/>
      <c r="L260" s="29"/>
    </row>
    <row r="261" spans="1:12" x14ac:dyDescent="0.2">
      <c r="A261" s="20" t="s">
        <v>46</v>
      </c>
      <c r="B261" s="27">
        <v>45.2</v>
      </c>
      <c r="C261" s="20">
        <v>1</v>
      </c>
      <c r="D261" s="20">
        <v>0</v>
      </c>
      <c r="E261" s="20">
        <v>0</v>
      </c>
      <c r="F261" s="22">
        <v>42826</v>
      </c>
      <c r="G261" s="20" t="s">
        <v>58</v>
      </c>
      <c r="H261" s="22">
        <v>42844</v>
      </c>
      <c r="I261" s="20" t="s">
        <v>25</v>
      </c>
      <c r="K261" s="28"/>
      <c r="L261" s="29"/>
    </row>
    <row r="262" spans="1:12" x14ac:dyDescent="0.2">
      <c r="A262" s="20" t="s">
        <v>20</v>
      </c>
      <c r="B262" s="30">
        <f>SUMIFS(credito!$B$2:$B$292,credito!$F$2:$F$292,F262,credito!$G$2:$G$292,0)</f>
        <v>410.09999999999997</v>
      </c>
      <c r="C262" s="20">
        <v>1</v>
      </c>
      <c r="D262" s="20">
        <v>0</v>
      </c>
      <c r="E262" s="20">
        <v>0</v>
      </c>
      <c r="F262" s="22">
        <v>42826</v>
      </c>
      <c r="G262" s="20" t="s">
        <v>43</v>
      </c>
      <c r="H262" s="22">
        <v>42836</v>
      </c>
      <c r="I262" s="20" t="s">
        <v>21</v>
      </c>
      <c r="K262" s="28"/>
      <c r="L262" s="29"/>
    </row>
    <row r="263" spans="1:12" x14ac:dyDescent="0.2">
      <c r="A263" s="20" t="s">
        <v>57</v>
      </c>
      <c r="B263" s="27">
        <v>648.94000000000005</v>
      </c>
      <c r="C263" s="20">
        <v>1</v>
      </c>
      <c r="D263" s="20">
        <v>0</v>
      </c>
      <c r="E263" s="20">
        <v>0</v>
      </c>
      <c r="F263" s="22">
        <v>42826</v>
      </c>
      <c r="G263" s="20" t="s">
        <v>43</v>
      </c>
      <c r="H263" s="22">
        <v>42842</v>
      </c>
      <c r="I263" s="20" t="s">
        <v>59</v>
      </c>
      <c r="K263" s="28"/>
      <c r="L263" s="29"/>
    </row>
    <row r="264" spans="1:12" x14ac:dyDescent="0.2">
      <c r="A264" s="20" t="s">
        <v>47</v>
      </c>
      <c r="B264" s="30">
        <v>158</v>
      </c>
      <c r="C264" s="20">
        <v>1</v>
      </c>
      <c r="D264" s="20">
        <v>0</v>
      </c>
      <c r="E264" s="20">
        <v>0</v>
      </c>
      <c r="F264" s="22">
        <v>42826</v>
      </c>
      <c r="G264" s="20" t="s">
        <v>43</v>
      </c>
      <c r="H264" s="22">
        <v>42838</v>
      </c>
      <c r="I264" s="20" t="s">
        <v>47</v>
      </c>
      <c r="K264" s="28"/>
      <c r="L264" s="29"/>
    </row>
    <row r="265" spans="1:12" x14ac:dyDescent="0.2">
      <c r="A265" s="20" t="s">
        <v>33</v>
      </c>
      <c r="B265" s="30">
        <v>0</v>
      </c>
      <c r="C265" s="20">
        <v>1</v>
      </c>
      <c r="D265" s="20">
        <v>0</v>
      </c>
      <c r="E265" s="20">
        <v>1</v>
      </c>
      <c r="F265" s="22">
        <v>42826</v>
      </c>
      <c r="G265" s="20"/>
      <c r="H265" s="22"/>
      <c r="I265" s="20" t="s">
        <v>34</v>
      </c>
      <c r="K265" s="28"/>
      <c r="L265" s="29"/>
    </row>
    <row r="266" spans="1:12" x14ac:dyDescent="0.2">
      <c r="A266" s="20" t="s">
        <v>70</v>
      </c>
      <c r="B266" s="30">
        <v>0</v>
      </c>
      <c r="C266" s="20">
        <v>1</v>
      </c>
      <c r="D266" s="20">
        <v>0</v>
      </c>
      <c r="E266" s="20">
        <v>1</v>
      </c>
      <c r="F266" s="22">
        <v>42826</v>
      </c>
      <c r="G266" s="20"/>
      <c r="H266" s="22"/>
      <c r="I266" s="20" t="s">
        <v>36</v>
      </c>
      <c r="K266" s="28"/>
      <c r="L266" s="29"/>
    </row>
    <row r="267" spans="1:12" x14ac:dyDescent="0.2">
      <c r="A267" s="20" t="s">
        <v>48</v>
      </c>
      <c r="B267" s="30">
        <v>6.03</v>
      </c>
      <c r="C267" s="20">
        <v>1</v>
      </c>
      <c r="D267" s="20">
        <v>0</v>
      </c>
      <c r="E267" s="20">
        <v>0</v>
      </c>
      <c r="F267" s="22">
        <v>42826</v>
      </c>
      <c r="G267" s="20" t="s">
        <v>43</v>
      </c>
      <c r="H267" s="22">
        <v>42835</v>
      </c>
      <c r="I267" s="20" t="s">
        <v>25</v>
      </c>
      <c r="K267" s="28"/>
      <c r="L267" s="29"/>
    </row>
    <row r="268" spans="1:12" x14ac:dyDescent="0.2">
      <c r="A268" s="20" t="s">
        <v>60</v>
      </c>
      <c r="B268" s="21">
        <v>50</v>
      </c>
      <c r="C268" s="20">
        <v>1</v>
      </c>
      <c r="D268" s="20">
        <v>0</v>
      </c>
      <c r="E268" s="20">
        <v>0</v>
      </c>
      <c r="F268" s="22">
        <v>42826</v>
      </c>
      <c r="G268" s="20" t="s">
        <v>43</v>
      </c>
      <c r="H268" s="22">
        <v>42842</v>
      </c>
      <c r="I268" s="20" t="s">
        <v>61</v>
      </c>
      <c r="K268" s="28"/>
      <c r="L268" s="29"/>
    </row>
    <row r="269" spans="1:12" x14ac:dyDescent="0.2">
      <c r="A269" s="20" t="s">
        <v>40</v>
      </c>
      <c r="B269" s="21">
        <v>250</v>
      </c>
      <c r="C269" s="20">
        <v>0</v>
      </c>
      <c r="D269" s="20">
        <v>1</v>
      </c>
      <c r="E269" s="20">
        <v>0</v>
      </c>
      <c r="F269" s="22">
        <v>42826</v>
      </c>
      <c r="G269" s="20" t="s">
        <v>10</v>
      </c>
      <c r="H269" s="22">
        <v>42827</v>
      </c>
      <c r="I269" s="20" t="s">
        <v>27</v>
      </c>
      <c r="K269" s="28"/>
      <c r="L269" s="29"/>
    </row>
    <row r="270" spans="1:12" x14ac:dyDescent="0.2">
      <c r="A270" s="20" t="s">
        <v>271</v>
      </c>
      <c r="B270" s="21">
        <v>470.66</v>
      </c>
      <c r="C270" s="20">
        <v>0</v>
      </c>
      <c r="D270" s="20">
        <v>1</v>
      </c>
      <c r="E270" s="20">
        <v>0</v>
      </c>
      <c r="F270" s="22">
        <v>42826</v>
      </c>
      <c r="G270" s="20" t="s">
        <v>43</v>
      </c>
      <c r="H270" s="22">
        <v>42838</v>
      </c>
      <c r="I270" s="20" t="s">
        <v>27</v>
      </c>
      <c r="J270" s="24"/>
      <c r="K270" s="28"/>
      <c r="L270" s="29"/>
    </row>
    <row r="271" spans="1:12" x14ac:dyDescent="0.2">
      <c r="A271" s="20" t="s">
        <v>272</v>
      </c>
      <c r="B271" s="21">
        <v>300</v>
      </c>
      <c r="C271" s="20">
        <v>0</v>
      </c>
      <c r="D271" s="20">
        <v>1</v>
      </c>
      <c r="E271" s="20">
        <v>0</v>
      </c>
      <c r="F271" s="22">
        <v>42826</v>
      </c>
      <c r="G271" s="20" t="s">
        <v>10</v>
      </c>
      <c r="H271" s="22">
        <v>42828</v>
      </c>
      <c r="I271" s="20" t="s">
        <v>273</v>
      </c>
      <c r="J271" s="24"/>
      <c r="K271" s="28"/>
      <c r="L271" s="29"/>
    </row>
    <row r="272" spans="1:12" x14ac:dyDescent="0.2">
      <c r="A272" s="20" t="s">
        <v>50</v>
      </c>
      <c r="B272" s="21">
        <v>2</v>
      </c>
      <c r="C272" s="20">
        <v>0</v>
      </c>
      <c r="D272" s="20">
        <v>1</v>
      </c>
      <c r="E272" s="20">
        <v>0</v>
      </c>
      <c r="F272" s="22">
        <v>42826</v>
      </c>
      <c r="G272" s="20" t="s">
        <v>10</v>
      </c>
      <c r="H272" s="22">
        <v>42828</v>
      </c>
      <c r="I272" s="20" t="s">
        <v>29</v>
      </c>
      <c r="J272" s="24"/>
      <c r="K272" s="28"/>
      <c r="L272" s="29"/>
    </row>
    <row r="273" spans="1:12" x14ac:dyDescent="0.2">
      <c r="A273" s="20" t="s">
        <v>73</v>
      </c>
      <c r="B273" s="21">
        <v>4</v>
      </c>
      <c r="C273" s="20">
        <v>0</v>
      </c>
      <c r="D273" s="20">
        <v>1</v>
      </c>
      <c r="E273" s="20">
        <v>0</v>
      </c>
      <c r="F273" s="22">
        <v>42826</v>
      </c>
      <c r="G273" s="20" t="s">
        <v>10</v>
      </c>
      <c r="H273" s="22">
        <v>42828</v>
      </c>
      <c r="I273" s="20" t="s">
        <v>29</v>
      </c>
      <c r="J273" s="24"/>
      <c r="K273" s="28"/>
      <c r="L273" s="29"/>
    </row>
    <row r="274" spans="1:12" x14ac:dyDescent="0.2">
      <c r="A274" s="20" t="s">
        <v>277</v>
      </c>
      <c r="B274" s="21">
        <v>11.8</v>
      </c>
      <c r="C274" s="20">
        <v>0</v>
      </c>
      <c r="D274" s="20">
        <v>1</v>
      </c>
      <c r="E274" s="20">
        <v>0</v>
      </c>
      <c r="F274" s="22">
        <v>42826</v>
      </c>
      <c r="G274" s="20" t="s">
        <v>10</v>
      </c>
      <c r="H274" s="22">
        <v>42826</v>
      </c>
      <c r="I274" s="20" t="s">
        <v>27</v>
      </c>
      <c r="J274" s="24"/>
      <c r="K274" s="28"/>
      <c r="L274" s="29"/>
    </row>
    <row r="275" spans="1:12" x14ac:dyDescent="0.2">
      <c r="A275" s="20" t="s">
        <v>275</v>
      </c>
      <c r="B275" s="21">
        <v>32.299999999999997</v>
      </c>
      <c r="C275" s="20">
        <v>0</v>
      </c>
      <c r="D275" s="20">
        <v>1</v>
      </c>
      <c r="E275" s="20">
        <v>0</v>
      </c>
      <c r="F275" s="22">
        <v>42826</v>
      </c>
      <c r="G275" s="20" t="s">
        <v>10</v>
      </c>
      <c r="H275" s="22">
        <v>42826</v>
      </c>
      <c r="I275" s="20" t="s">
        <v>76</v>
      </c>
      <c r="J275" s="24"/>
      <c r="K275" s="28"/>
      <c r="L275" s="29"/>
    </row>
    <row r="276" spans="1:12" x14ac:dyDescent="0.2">
      <c r="A276" s="20" t="s">
        <v>251</v>
      </c>
      <c r="B276" s="21">
        <v>152.24</v>
      </c>
      <c r="C276" s="20">
        <v>0</v>
      </c>
      <c r="D276" s="20">
        <v>1</v>
      </c>
      <c r="E276" s="20">
        <v>0</v>
      </c>
      <c r="F276" s="22">
        <v>42826</v>
      </c>
      <c r="G276" s="20" t="s">
        <v>10</v>
      </c>
      <c r="H276" s="22">
        <v>42826</v>
      </c>
      <c r="I276" s="20" t="s">
        <v>27</v>
      </c>
      <c r="J276" s="24"/>
      <c r="K276" s="28"/>
      <c r="L276" s="29"/>
    </row>
    <row r="277" spans="1:12" x14ac:dyDescent="0.2">
      <c r="A277" s="20" t="s">
        <v>276</v>
      </c>
      <c r="B277" s="21">
        <v>3.12</v>
      </c>
      <c r="C277" s="20">
        <v>0</v>
      </c>
      <c r="D277" s="20">
        <v>1</v>
      </c>
      <c r="E277" s="20">
        <v>0</v>
      </c>
      <c r="F277" s="22">
        <v>42826</v>
      </c>
      <c r="G277" s="20" t="s">
        <v>10</v>
      </c>
      <c r="H277" s="22">
        <v>42828</v>
      </c>
      <c r="I277" s="20" t="s">
        <v>25</v>
      </c>
      <c r="J277" s="24"/>
      <c r="K277" s="28"/>
      <c r="L277" s="29"/>
    </row>
    <row r="278" spans="1:12" x14ac:dyDescent="0.2">
      <c r="A278" s="20" t="s">
        <v>64</v>
      </c>
      <c r="B278" s="21">
        <v>40</v>
      </c>
      <c r="C278" s="20">
        <v>0</v>
      </c>
      <c r="D278" s="20">
        <v>1</v>
      </c>
      <c r="E278" s="20">
        <v>0</v>
      </c>
      <c r="F278" s="22">
        <v>42826</v>
      </c>
      <c r="G278" s="20" t="s">
        <v>10</v>
      </c>
      <c r="H278" s="22">
        <v>42829</v>
      </c>
      <c r="I278" s="20" t="s">
        <v>64</v>
      </c>
      <c r="J278" s="24"/>
      <c r="K278" s="28"/>
      <c r="L278" s="29"/>
    </row>
    <row r="279" spans="1:12" x14ac:dyDescent="0.2">
      <c r="A279" s="20" t="s">
        <v>238</v>
      </c>
      <c r="B279" s="21">
        <v>21.42</v>
      </c>
      <c r="C279" s="20">
        <v>0</v>
      </c>
      <c r="D279" s="20">
        <v>1</v>
      </c>
      <c r="E279" s="20">
        <v>0</v>
      </c>
      <c r="F279" s="22">
        <v>42826</v>
      </c>
      <c r="G279" s="20" t="s">
        <v>10</v>
      </c>
      <c r="H279" s="22">
        <v>42830</v>
      </c>
      <c r="I279" s="20" t="s">
        <v>25</v>
      </c>
      <c r="J279" s="24"/>
      <c r="K279" s="28"/>
      <c r="L279" s="29"/>
    </row>
    <row r="280" spans="1:12" x14ac:dyDescent="0.2">
      <c r="A280" s="20" t="s">
        <v>278</v>
      </c>
      <c r="B280" s="21">
        <v>4.9000000000000004</v>
      </c>
      <c r="C280" s="20">
        <v>0</v>
      </c>
      <c r="D280" s="20">
        <v>1</v>
      </c>
      <c r="E280" s="20">
        <v>0</v>
      </c>
      <c r="F280" s="22">
        <v>42826</v>
      </c>
      <c r="G280" s="20" t="s">
        <v>10</v>
      </c>
      <c r="H280" s="22">
        <v>42830</v>
      </c>
      <c r="I280" s="20" t="s">
        <v>29</v>
      </c>
      <c r="J280" s="24"/>
      <c r="K280" s="28"/>
      <c r="L280" s="29"/>
    </row>
    <row r="281" spans="1:12" x14ac:dyDescent="0.2">
      <c r="A281" s="20" t="s">
        <v>274</v>
      </c>
      <c r="B281" s="21">
        <v>11.5</v>
      </c>
      <c r="C281" s="20">
        <v>0</v>
      </c>
      <c r="D281" s="20">
        <v>1</v>
      </c>
      <c r="E281" s="20">
        <v>0</v>
      </c>
      <c r="F281" s="22">
        <v>42826</v>
      </c>
      <c r="G281" s="20" t="s">
        <v>10</v>
      </c>
      <c r="H281" s="22">
        <v>42830</v>
      </c>
      <c r="I281" s="20" t="s">
        <v>29</v>
      </c>
      <c r="J281" s="24"/>
      <c r="K281" s="28"/>
      <c r="L281" s="29"/>
    </row>
    <row r="282" spans="1:12" x14ac:dyDescent="0.2">
      <c r="A282" s="20" t="s">
        <v>69</v>
      </c>
      <c r="B282" s="21">
        <v>18</v>
      </c>
      <c r="C282" s="20">
        <v>0</v>
      </c>
      <c r="D282" s="20">
        <v>1</v>
      </c>
      <c r="E282" s="20">
        <v>0</v>
      </c>
      <c r="F282" s="22">
        <v>42826</v>
      </c>
      <c r="G282" s="20" t="s">
        <v>10</v>
      </c>
      <c r="H282" s="22">
        <v>42831</v>
      </c>
      <c r="I282" s="20" t="s">
        <v>29</v>
      </c>
      <c r="J282" s="24"/>
      <c r="K282" s="28"/>
      <c r="L282" s="29"/>
    </row>
    <row r="283" spans="1:12" x14ac:dyDescent="0.2">
      <c r="A283" s="20" t="s">
        <v>64</v>
      </c>
      <c r="B283" s="21">
        <v>50</v>
      </c>
      <c r="C283" s="20">
        <v>0</v>
      </c>
      <c r="D283" s="20">
        <v>1</v>
      </c>
      <c r="E283" s="20">
        <v>0</v>
      </c>
      <c r="F283" s="22">
        <v>42826</v>
      </c>
      <c r="G283" s="20" t="s">
        <v>10</v>
      </c>
      <c r="H283" s="22">
        <v>42831</v>
      </c>
      <c r="I283" s="20" t="s">
        <v>29</v>
      </c>
      <c r="J283" s="24"/>
      <c r="K283" s="28"/>
      <c r="L283" s="29"/>
    </row>
    <row r="284" spans="1:12" x14ac:dyDescent="0.2">
      <c r="A284" s="20" t="s">
        <v>50</v>
      </c>
      <c r="B284" s="21">
        <v>3.49</v>
      </c>
      <c r="C284" s="20">
        <v>0</v>
      </c>
      <c r="D284" s="20">
        <v>1</v>
      </c>
      <c r="E284" s="20">
        <v>0</v>
      </c>
      <c r="F284" s="22">
        <v>42826</v>
      </c>
      <c r="G284" s="20" t="s">
        <v>10</v>
      </c>
      <c r="H284" s="22">
        <v>42832</v>
      </c>
      <c r="I284" s="20" t="s">
        <v>29</v>
      </c>
      <c r="J284" s="24"/>
      <c r="K284" s="28"/>
      <c r="L284" s="29"/>
    </row>
    <row r="285" spans="1:12" x14ac:dyDescent="0.2">
      <c r="A285" s="20" t="s">
        <v>76</v>
      </c>
      <c r="B285" s="21">
        <v>68.66</v>
      </c>
      <c r="C285" s="20">
        <v>0</v>
      </c>
      <c r="D285" s="20">
        <v>1</v>
      </c>
      <c r="E285" s="20">
        <v>0</v>
      </c>
      <c r="F285" s="22">
        <v>42826</v>
      </c>
      <c r="G285" s="20" t="s">
        <v>10</v>
      </c>
      <c r="H285" s="22">
        <v>42832</v>
      </c>
      <c r="I285" s="20" t="s">
        <v>76</v>
      </c>
      <c r="J285" s="24"/>
      <c r="K285" s="28"/>
      <c r="L285" s="29"/>
    </row>
    <row r="286" spans="1:12" x14ac:dyDescent="0.2">
      <c r="A286" s="20" t="s">
        <v>285</v>
      </c>
      <c r="B286" s="21">
        <v>64.88</v>
      </c>
      <c r="C286" s="20">
        <v>0</v>
      </c>
      <c r="D286" s="20">
        <v>1</v>
      </c>
      <c r="E286" s="20">
        <v>0</v>
      </c>
      <c r="F286" s="22">
        <v>42826</v>
      </c>
      <c r="G286" s="20" t="s">
        <v>10</v>
      </c>
      <c r="H286" s="22">
        <v>42832</v>
      </c>
      <c r="I286" s="20" t="s">
        <v>53</v>
      </c>
      <c r="J286" s="24"/>
      <c r="K286" s="28"/>
      <c r="L286" s="29"/>
    </row>
    <row r="287" spans="1:12" x14ac:dyDescent="0.2">
      <c r="A287" s="20" t="s">
        <v>98</v>
      </c>
      <c r="B287" s="21">
        <v>10.99</v>
      </c>
      <c r="C287" s="20">
        <v>0</v>
      </c>
      <c r="D287" s="20">
        <v>1</v>
      </c>
      <c r="E287" s="20">
        <v>0</v>
      </c>
      <c r="F287" s="22">
        <v>42826</v>
      </c>
      <c r="G287" s="20" t="s">
        <v>10</v>
      </c>
      <c r="H287" s="22">
        <v>42833</v>
      </c>
      <c r="I287" s="20" t="s">
        <v>98</v>
      </c>
      <c r="J287" s="24"/>
      <c r="K287" s="28"/>
      <c r="L287" s="29"/>
    </row>
    <row r="288" spans="1:12" x14ac:dyDescent="0.2">
      <c r="A288" s="20" t="s">
        <v>104</v>
      </c>
      <c r="B288" s="21">
        <v>7</v>
      </c>
      <c r="C288" s="20">
        <v>0</v>
      </c>
      <c r="D288" s="20">
        <v>1</v>
      </c>
      <c r="E288" s="20">
        <v>0</v>
      </c>
      <c r="F288" s="22">
        <v>42826</v>
      </c>
      <c r="G288" s="20" t="s">
        <v>10</v>
      </c>
      <c r="H288" s="22">
        <v>42833</v>
      </c>
      <c r="I288" s="20" t="s">
        <v>53</v>
      </c>
      <c r="J288" s="24"/>
      <c r="K288" s="28"/>
      <c r="L288" s="29"/>
    </row>
    <row r="289" spans="1:12" x14ac:dyDescent="0.2">
      <c r="A289" s="20" t="s">
        <v>286</v>
      </c>
      <c r="B289" s="21">
        <v>55.9</v>
      </c>
      <c r="C289" s="20">
        <v>0</v>
      </c>
      <c r="D289" s="20">
        <v>1</v>
      </c>
      <c r="E289" s="20">
        <v>0</v>
      </c>
      <c r="F289" s="22">
        <v>42826</v>
      </c>
      <c r="G289" s="20" t="s">
        <v>10</v>
      </c>
      <c r="H289" s="22">
        <v>42833</v>
      </c>
      <c r="I289" s="20" t="s">
        <v>53</v>
      </c>
      <c r="J289" s="24"/>
      <c r="K289" s="28"/>
      <c r="L289" s="29"/>
    </row>
    <row r="290" spans="1:12" x14ac:dyDescent="0.2">
      <c r="A290" s="20" t="s">
        <v>287</v>
      </c>
      <c r="B290" s="21">
        <v>39.9</v>
      </c>
      <c r="C290" s="20">
        <v>0</v>
      </c>
      <c r="D290" s="20">
        <v>1</v>
      </c>
      <c r="E290" s="20">
        <v>0</v>
      </c>
      <c r="F290" s="22">
        <v>42826</v>
      </c>
      <c r="G290" s="20" t="s">
        <v>10</v>
      </c>
      <c r="H290" s="22">
        <v>42833</v>
      </c>
      <c r="I290" s="20" t="s">
        <v>53</v>
      </c>
      <c r="J290" s="24"/>
      <c r="K290" s="28"/>
      <c r="L290" s="29"/>
    </row>
    <row r="291" spans="1:12" x14ac:dyDescent="0.2">
      <c r="A291" s="20" t="s">
        <v>288</v>
      </c>
      <c r="B291" s="21">
        <v>44</v>
      </c>
      <c r="C291" s="20">
        <v>0</v>
      </c>
      <c r="D291" s="20">
        <v>1</v>
      </c>
      <c r="E291" s="20">
        <v>0</v>
      </c>
      <c r="F291" s="22">
        <v>42826</v>
      </c>
      <c r="G291" s="20" t="s">
        <v>10</v>
      </c>
      <c r="H291" s="22">
        <v>42833</v>
      </c>
      <c r="I291" s="20" t="s">
        <v>53</v>
      </c>
      <c r="J291" s="24"/>
      <c r="K291" s="28"/>
      <c r="L291" s="29"/>
    </row>
    <row r="292" spans="1:12" x14ac:dyDescent="0.2">
      <c r="A292" s="20" t="s">
        <v>55</v>
      </c>
      <c r="B292" s="21">
        <v>60</v>
      </c>
      <c r="C292" s="20">
        <v>0</v>
      </c>
      <c r="D292" s="20">
        <v>1</v>
      </c>
      <c r="E292" s="20">
        <v>0</v>
      </c>
      <c r="F292" s="22">
        <v>42826</v>
      </c>
      <c r="G292" s="20" t="s">
        <v>10</v>
      </c>
      <c r="H292" s="22">
        <v>42833</v>
      </c>
      <c r="I292" s="20" t="s">
        <v>53</v>
      </c>
      <c r="J292" s="24"/>
      <c r="K292" s="28"/>
      <c r="L292" s="29"/>
    </row>
    <row r="293" spans="1:12" x14ac:dyDescent="0.2">
      <c r="A293" s="20" t="s">
        <v>289</v>
      </c>
      <c r="B293" s="21">
        <v>5.19</v>
      </c>
      <c r="C293" s="20">
        <v>0</v>
      </c>
      <c r="D293" s="20">
        <v>1</v>
      </c>
      <c r="E293" s="20">
        <v>0</v>
      </c>
      <c r="F293" s="22">
        <v>42826</v>
      </c>
      <c r="G293" s="20" t="s">
        <v>10</v>
      </c>
      <c r="H293" s="22">
        <v>42833</v>
      </c>
      <c r="I293" s="20" t="s">
        <v>23</v>
      </c>
      <c r="J293" s="24"/>
      <c r="K293" s="28"/>
      <c r="L293" s="29"/>
    </row>
    <row r="294" spans="1:12" x14ac:dyDescent="0.2">
      <c r="A294" s="20" t="s">
        <v>76</v>
      </c>
      <c r="B294" s="21">
        <v>12</v>
      </c>
      <c r="C294" s="20">
        <v>0</v>
      </c>
      <c r="D294" s="20">
        <v>1</v>
      </c>
      <c r="E294" s="20">
        <v>0</v>
      </c>
      <c r="F294" s="22">
        <v>42826</v>
      </c>
      <c r="G294" s="20" t="s">
        <v>10</v>
      </c>
      <c r="H294" s="22">
        <v>42833</v>
      </c>
      <c r="I294" s="20" t="s">
        <v>76</v>
      </c>
      <c r="J294" s="24"/>
      <c r="K294" s="28"/>
      <c r="L294" s="29"/>
    </row>
    <row r="295" spans="1:12" x14ac:dyDescent="0.2">
      <c r="A295" s="20" t="s">
        <v>290</v>
      </c>
      <c r="B295" s="21">
        <v>52</v>
      </c>
      <c r="C295" s="20">
        <v>0</v>
      </c>
      <c r="D295" s="20">
        <v>1</v>
      </c>
      <c r="E295" s="20">
        <v>0</v>
      </c>
      <c r="F295" s="22">
        <v>42826</v>
      </c>
      <c r="G295" s="20" t="s">
        <v>10</v>
      </c>
      <c r="H295" s="22">
        <v>42833</v>
      </c>
      <c r="I295" s="20" t="s">
        <v>27</v>
      </c>
      <c r="J295" s="24"/>
      <c r="K295" s="28"/>
      <c r="L295" s="29"/>
    </row>
    <row r="296" spans="1:12" x14ac:dyDescent="0.2">
      <c r="A296" s="20" t="s">
        <v>41</v>
      </c>
      <c r="B296" s="21">
        <v>50</v>
      </c>
      <c r="C296" s="20">
        <v>0</v>
      </c>
      <c r="D296" s="20">
        <v>1</v>
      </c>
      <c r="E296" s="20">
        <v>0</v>
      </c>
      <c r="F296" s="22">
        <v>42826</v>
      </c>
      <c r="G296" s="20" t="s">
        <v>10</v>
      </c>
      <c r="H296" s="22">
        <v>42834</v>
      </c>
      <c r="I296" s="20" t="s">
        <v>41</v>
      </c>
      <c r="J296" s="24"/>
      <c r="K296" s="28"/>
      <c r="L296" s="29"/>
    </row>
    <row r="297" spans="1:12" x14ac:dyDescent="0.2">
      <c r="A297" s="20" t="s">
        <v>76</v>
      </c>
      <c r="B297" s="21">
        <v>30</v>
      </c>
      <c r="C297" s="20">
        <v>0</v>
      </c>
      <c r="D297" s="20">
        <v>1</v>
      </c>
      <c r="E297" s="20">
        <v>0</v>
      </c>
      <c r="F297" s="22">
        <v>42826</v>
      </c>
      <c r="G297" s="20" t="s">
        <v>10</v>
      </c>
      <c r="H297" s="22">
        <v>42834</v>
      </c>
      <c r="I297" s="20" t="s">
        <v>76</v>
      </c>
      <c r="J297" s="24"/>
      <c r="K297" s="28"/>
      <c r="L297" s="29"/>
    </row>
    <row r="298" spans="1:12" x14ac:dyDescent="0.2">
      <c r="A298" s="20" t="s">
        <v>290</v>
      </c>
      <c r="B298" s="21">
        <v>50</v>
      </c>
      <c r="C298" s="20">
        <v>0</v>
      </c>
      <c r="D298" s="20">
        <v>1</v>
      </c>
      <c r="E298" s="20">
        <v>0</v>
      </c>
      <c r="F298" s="22">
        <v>42826</v>
      </c>
      <c r="G298" s="20" t="s">
        <v>10</v>
      </c>
      <c r="H298" s="22">
        <v>42834</v>
      </c>
      <c r="I298" s="20" t="s">
        <v>27</v>
      </c>
      <c r="J298" s="24"/>
      <c r="K298" s="28"/>
      <c r="L298" s="29"/>
    </row>
    <row r="299" spans="1:12" x14ac:dyDescent="0.2">
      <c r="A299" s="20" t="s">
        <v>66</v>
      </c>
      <c r="B299" s="21">
        <v>5.6</v>
      </c>
      <c r="C299" s="20">
        <v>0</v>
      </c>
      <c r="D299" s="20">
        <v>1</v>
      </c>
      <c r="E299" s="20">
        <v>0</v>
      </c>
      <c r="F299" s="22">
        <v>42826</v>
      </c>
      <c r="G299" s="20" t="s">
        <v>10</v>
      </c>
      <c r="H299" s="22">
        <v>42834</v>
      </c>
      <c r="I299" s="20" t="s">
        <v>66</v>
      </c>
      <c r="J299" s="24"/>
      <c r="K299" s="28"/>
      <c r="L299" s="29"/>
    </row>
    <row r="300" spans="1:12" x14ac:dyDescent="0.2">
      <c r="A300" s="20" t="s">
        <v>291</v>
      </c>
      <c r="B300" s="21">
        <v>80.930000000000007</v>
      </c>
      <c r="C300" s="20">
        <v>0</v>
      </c>
      <c r="D300" s="20">
        <v>1</v>
      </c>
      <c r="E300" s="20">
        <v>0</v>
      </c>
      <c r="F300" s="22">
        <v>42826</v>
      </c>
      <c r="G300" s="20" t="s">
        <v>43</v>
      </c>
      <c r="H300" s="22">
        <v>42835</v>
      </c>
      <c r="I300" s="20" t="s">
        <v>66</v>
      </c>
      <c r="J300" s="24"/>
      <c r="K300" s="28"/>
      <c r="L300" s="29"/>
    </row>
    <row r="301" spans="1:12" x14ac:dyDescent="0.2">
      <c r="A301" s="20" t="s">
        <v>292</v>
      </c>
      <c r="B301" s="21">
        <v>500</v>
      </c>
      <c r="C301" s="20">
        <v>0</v>
      </c>
      <c r="D301" s="20">
        <v>1</v>
      </c>
      <c r="E301" s="20">
        <v>0</v>
      </c>
      <c r="F301" s="22">
        <v>42826</v>
      </c>
      <c r="G301" s="20" t="s">
        <v>43</v>
      </c>
      <c r="H301" s="22">
        <v>42836</v>
      </c>
      <c r="I301" s="20" t="s">
        <v>306</v>
      </c>
      <c r="J301" s="24"/>
      <c r="K301" s="28"/>
      <c r="L301" s="29"/>
    </row>
    <row r="302" spans="1:12" x14ac:dyDescent="0.2">
      <c r="A302" s="20" t="s">
        <v>281</v>
      </c>
      <c r="B302" s="21">
        <v>0</v>
      </c>
      <c r="C302" s="20">
        <v>0</v>
      </c>
      <c r="D302" s="20">
        <v>1</v>
      </c>
      <c r="E302" s="20">
        <v>1</v>
      </c>
      <c r="F302" s="22">
        <v>42826</v>
      </c>
      <c r="G302" s="20"/>
      <c r="H302" s="22"/>
      <c r="I302" s="20" t="s">
        <v>283</v>
      </c>
      <c r="J302" s="21"/>
      <c r="K302" s="28"/>
      <c r="L302" s="29"/>
    </row>
    <row r="303" spans="1:12" x14ac:dyDescent="0.2">
      <c r="A303" s="20" t="s">
        <v>282</v>
      </c>
      <c r="B303" s="21">
        <v>0</v>
      </c>
      <c r="C303" s="20">
        <v>0</v>
      </c>
      <c r="D303" s="20">
        <v>1</v>
      </c>
      <c r="E303" s="20">
        <v>1</v>
      </c>
      <c r="F303" s="22">
        <v>42826</v>
      </c>
      <c r="G303" s="20"/>
      <c r="H303" s="22"/>
      <c r="I303" s="20" t="s">
        <v>283</v>
      </c>
      <c r="J303" s="21"/>
      <c r="K303" s="28"/>
      <c r="L303" s="29"/>
    </row>
    <row r="304" spans="1:12" x14ac:dyDescent="0.2">
      <c r="A304" s="20" t="s">
        <v>284</v>
      </c>
      <c r="B304" s="21">
        <v>0</v>
      </c>
      <c r="C304" s="20">
        <v>0</v>
      </c>
      <c r="D304" s="20">
        <v>1</v>
      </c>
      <c r="E304" s="20">
        <v>1</v>
      </c>
      <c r="F304" s="22">
        <v>42826</v>
      </c>
      <c r="G304" s="20"/>
      <c r="H304" s="22"/>
      <c r="I304" s="20" t="s">
        <v>283</v>
      </c>
      <c r="J304" s="21"/>
      <c r="K304" s="28"/>
      <c r="L304" s="29"/>
    </row>
    <row r="305" spans="1:12" x14ac:dyDescent="0.2">
      <c r="A305" s="20" t="s">
        <v>293</v>
      </c>
      <c r="B305" s="21">
        <v>0</v>
      </c>
      <c r="C305" s="20">
        <v>0</v>
      </c>
      <c r="D305" s="20">
        <v>1</v>
      </c>
      <c r="E305" s="20">
        <v>1</v>
      </c>
      <c r="F305" s="22">
        <v>42826</v>
      </c>
      <c r="G305" s="20"/>
      <c r="H305" s="22"/>
      <c r="I305" s="20" t="s">
        <v>36</v>
      </c>
      <c r="J305" s="24"/>
      <c r="K305" s="28"/>
      <c r="L305" s="29"/>
    </row>
    <row r="306" spans="1:12" x14ac:dyDescent="0.2">
      <c r="A306" s="20" t="s">
        <v>294</v>
      </c>
      <c r="B306" s="21">
        <v>250</v>
      </c>
      <c r="C306" s="20">
        <v>0</v>
      </c>
      <c r="D306" s="20">
        <v>1</v>
      </c>
      <c r="E306" s="20">
        <v>0</v>
      </c>
      <c r="F306" s="22">
        <v>42826</v>
      </c>
      <c r="G306" s="20" t="s">
        <v>71</v>
      </c>
      <c r="H306" s="22">
        <v>42849</v>
      </c>
      <c r="I306" s="20" t="s">
        <v>252</v>
      </c>
      <c r="J306" s="24"/>
      <c r="K306" s="28"/>
      <c r="L306" s="29"/>
    </row>
    <row r="307" spans="1:12" x14ac:dyDescent="0.2">
      <c r="A307" s="20" t="s">
        <v>23</v>
      </c>
      <c r="B307" s="21">
        <v>50.15</v>
      </c>
      <c r="C307" s="20">
        <v>0</v>
      </c>
      <c r="D307" s="20">
        <v>1</v>
      </c>
      <c r="E307" s="20">
        <v>0</v>
      </c>
      <c r="F307" s="22">
        <v>42826</v>
      </c>
      <c r="G307" s="20" t="s">
        <v>43</v>
      </c>
      <c r="H307" s="22">
        <v>42838</v>
      </c>
      <c r="I307" s="20" t="s">
        <v>283</v>
      </c>
      <c r="J307" s="24"/>
      <c r="K307" s="28"/>
      <c r="L307" s="29"/>
    </row>
    <row r="308" spans="1:12" x14ac:dyDescent="0.2">
      <c r="A308" s="20" t="s">
        <v>251</v>
      </c>
      <c r="B308" s="21">
        <v>169</v>
      </c>
      <c r="C308" s="20">
        <v>0</v>
      </c>
      <c r="D308" s="20">
        <v>1</v>
      </c>
      <c r="E308" s="20">
        <v>0</v>
      </c>
      <c r="F308" s="22">
        <v>42826</v>
      </c>
      <c r="G308" s="20" t="s">
        <v>43</v>
      </c>
      <c r="H308" s="22">
        <v>42838</v>
      </c>
      <c r="I308" s="20" t="s">
        <v>283</v>
      </c>
      <c r="J308" s="24"/>
      <c r="K308" s="28"/>
      <c r="L308" s="29"/>
    </row>
    <row r="309" spans="1:12" x14ac:dyDescent="0.2">
      <c r="A309" s="20" t="s">
        <v>201</v>
      </c>
      <c r="B309" s="21">
        <v>54.79</v>
      </c>
      <c r="C309" s="20">
        <v>0</v>
      </c>
      <c r="D309" s="20">
        <v>1</v>
      </c>
      <c r="E309" s="20">
        <v>0</v>
      </c>
      <c r="F309" s="22">
        <v>42826</v>
      </c>
      <c r="G309" s="20" t="s">
        <v>43</v>
      </c>
      <c r="H309" s="22">
        <v>42838</v>
      </c>
      <c r="I309" s="20" t="s">
        <v>283</v>
      </c>
      <c r="J309" s="24"/>
      <c r="K309" s="28"/>
      <c r="L309" s="29"/>
    </row>
    <row r="310" spans="1:12" x14ac:dyDescent="0.2">
      <c r="A310" s="20" t="s">
        <v>295</v>
      </c>
      <c r="B310" s="21">
        <v>12.9</v>
      </c>
      <c r="C310" s="20">
        <v>0</v>
      </c>
      <c r="D310" s="20">
        <v>1</v>
      </c>
      <c r="E310" s="20">
        <v>0</v>
      </c>
      <c r="F310" s="22">
        <v>42826</v>
      </c>
      <c r="G310" s="20" t="s">
        <v>43</v>
      </c>
      <c r="H310" s="22">
        <v>42838</v>
      </c>
      <c r="I310" s="20" t="s">
        <v>283</v>
      </c>
      <c r="J310" s="24"/>
      <c r="K310" s="28"/>
      <c r="L310" s="29"/>
    </row>
    <row r="311" spans="1:12" x14ac:dyDescent="0.2">
      <c r="A311" s="20" t="s">
        <v>296</v>
      </c>
      <c r="B311" s="21">
        <v>97.94</v>
      </c>
      <c r="C311" s="20">
        <v>0</v>
      </c>
      <c r="D311" s="20">
        <v>1</v>
      </c>
      <c r="E311" s="20">
        <v>0</v>
      </c>
      <c r="F311" s="22">
        <v>42826</v>
      </c>
      <c r="G311" s="20" t="s">
        <v>43</v>
      </c>
      <c r="H311" s="22">
        <v>42838</v>
      </c>
      <c r="I311" s="20" t="s">
        <v>283</v>
      </c>
      <c r="J311" s="24"/>
      <c r="K311" s="28"/>
      <c r="L311" s="29"/>
    </row>
    <row r="312" spans="1:12" x14ac:dyDescent="0.2">
      <c r="A312" s="20" t="s">
        <v>23</v>
      </c>
      <c r="B312" s="21">
        <v>76.87</v>
      </c>
      <c r="C312" s="20">
        <v>0</v>
      </c>
      <c r="D312" s="20">
        <v>1</v>
      </c>
      <c r="E312" s="20">
        <v>0</v>
      </c>
      <c r="F312" s="22">
        <v>42826</v>
      </c>
      <c r="G312" s="20" t="s">
        <v>43</v>
      </c>
      <c r="H312" s="22">
        <v>42840</v>
      </c>
      <c r="I312" s="20" t="s">
        <v>283</v>
      </c>
      <c r="J312" s="24"/>
      <c r="K312" s="28"/>
      <c r="L312" s="29"/>
    </row>
    <row r="313" spans="1:12" x14ac:dyDescent="0.2">
      <c r="A313" s="20" t="s">
        <v>297</v>
      </c>
      <c r="B313" s="21">
        <v>130</v>
      </c>
      <c r="C313" s="20">
        <v>0</v>
      </c>
      <c r="D313" s="20">
        <v>1</v>
      </c>
      <c r="E313" s="20">
        <v>0</v>
      </c>
      <c r="F313" s="22">
        <v>42826</v>
      </c>
      <c r="G313" s="20" t="s">
        <v>43</v>
      </c>
      <c r="H313" s="22">
        <v>42839</v>
      </c>
      <c r="I313" s="20" t="s">
        <v>283</v>
      </c>
      <c r="J313" s="24"/>
      <c r="K313" s="28"/>
      <c r="L313" s="29"/>
    </row>
    <row r="314" spans="1:12" x14ac:dyDescent="0.2">
      <c r="A314" s="20" t="s">
        <v>76</v>
      </c>
      <c r="B314" s="21">
        <v>51.7</v>
      </c>
      <c r="C314" s="20">
        <v>0</v>
      </c>
      <c r="D314" s="20">
        <v>1</v>
      </c>
      <c r="E314" s="20">
        <v>0</v>
      </c>
      <c r="F314" s="22">
        <v>42826</v>
      </c>
      <c r="G314" s="20" t="s">
        <v>43</v>
      </c>
      <c r="H314" s="22">
        <v>42839</v>
      </c>
      <c r="I314" s="20" t="s">
        <v>283</v>
      </c>
      <c r="J314" s="24"/>
      <c r="K314" s="28"/>
      <c r="L314" s="29"/>
    </row>
    <row r="315" spans="1:12" x14ac:dyDescent="0.2">
      <c r="A315" s="20" t="s">
        <v>298</v>
      </c>
      <c r="B315" s="21">
        <v>17</v>
      </c>
      <c r="C315" s="20">
        <v>0</v>
      </c>
      <c r="D315" s="20">
        <v>1</v>
      </c>
      <c r="E315" s="20">
        <v>0</v>
      </c>
      <c r="F315" s="22">
        <v>42826</v>
      </c>
      <c r="G315" s="20" t="s">
        <v>43</v>
      </c>
      <c r="H315" s="22">
        <v>42840</v>
      </c>
      <c r="I315" s="20" t="s">
        <v>283</v>
      </c>
      <c r="J315" s="24"/>
      <c r="K315" s="28"/>
      <c r="L315" s="29"/>
    </row>
    <row r="316" spans="1:12" x14ac:dyDescent="0.2">
      <c r="A316" s="20" t="s">
        <v>299</v>
      </c>
      <c r="B316" s="21">
        <v>12.74</v>
      </c>
      <c r="C316" s="20">
        <v>0</v>
      </c>
      <c r="D316" s="20">
        <v>1</v>
      </c>
      <c r="E316" s="20">
        <v>0</v>
      </c>
      <c r="F316" s="22">
        <v>42826</v>
      </c>
      <c r="G316" s="20" t="s">
        <v>43</v>
      </c>
      <c r="H316" s="22">
        <v>42840</v>
      </c>
      <c r="I316" s="20" t="s">
        <v>283</v>
      </c>
      <c r="J316" s="24"/>
      <c r="K316" s="28"/>
      <c r="L316" s="29"/>
    </row>
    <row r="317" spans="1:12" x14ac:dyDescent="0.2">
      <c r="A317" s="20" t="s">
        <v>300</v>
      </c>
      <c r="B317" s="21">
        <v>21.99</v>
      </c>
      <c r="C317" s="20">
        <v>0</v>
      </c>
      <c r="D317" s="20">
        <v>1</v>
      </c>
      <c r="E317" s="20">
        <v>0</v>
      </c>
      <c r="F317" s="22">
        <v>42826</v>
      </c>
      <c r="G317" s="20" t="s">
        <v>43</v>
      </c>
      <c r="H317" s="22">
        <v>42840</v>
      </c>
      <c r="I317" s="20" t="s">
        <v>283</v>
      </c>
      <c r="J317" s="24"/>
      <c r="K317" s="28"/>
      <c r="L317" s="29"/>
    </row>
    <row r="318" spans="1:12" x14ac:dyDescent="0.2">
      <c r="A318" s="20" t="s">
        <v>251</v>
      </c>
      <c r="B318" s="21">
        <v>158</v>
      </c>
      <c r="C318" s="20">
        <v>0</v>
      </c>
      <c r="D318" s="20">
        <v>1</v>
      </c>
      <c r="E318" s="20">
        <v>0</v>
      </c>
      <c r="F318" s="22">
        <v>42826</v>
      </c>
      <c r="G318" s="20" t="s">
        <v>43</v>
      </c>
      <c r="H318" s="22">
        <v>42839</v>
      </c>
      <c r="I318" s="20" t="s">
        <v>283</v>
      </c>
      <c r="J318" s="24"/>
      <c r="K318" s="28"/>
      <c r="L318" s="29"/>
    </row>
    <row r="319" spans="1:12" x14ac:dyDescent="0.2">
      <c r="A319" s="20" t="s">
        <v>251</v>
      </c>
      <c r="B319" s="21">
        <v>141</v>
      </c>
      <c r="C319" s="20">
        <v>0</v>
      </c>
      <c r="D319" s="20">
        <v>1</v>
      </c>
      <c r="E319" s="20">
        <v>0</v>
      </c>
      <c r="F319" s="22">
        <v>42826</v>
      </c>
      <c r="G319" s="20" t="s">
        <v>43</v>
      </c>
      <c r="H319" s="22">
        <v>42839</v>
      </c>
      <c r="I319" s="20" t="s">
        <v>283</v>
      </c>
      <c r="J319" s="24"/>
      <c r="K319" s="28"/>
      <c r="L319" s="29"/>
    </row>
    <row r="320" spans="1:12" x14ac:dyDescent="0.2">
      <c r="A320" s="20" t="s">
        <v>251</v>
      </c>
      <c r="B320" s="21">
        <v>121.31</v>
      </c>
      <c r="C320" s="20">
        <v>0</v>
      </c>
      <c r="D320" s="20">
        <v>1</v>
      </c>
      <c r="E320" s="20">
        <v>0</v>
      </c>
      <c r="F320" s="22">
        <v>42826</v>
      </c>
      <c r="G320" s="20" t="s">
        <v>43</v>
      </c>
      <c r="H320" s="22">
        <v>42840</v>
      </c>
      <c r="I320" s="20" t="s">
        <v>283</v>
      </c>
      <c r="J320" s="24"/>
      <c r="K320" s="28"/>
      <c r="L320" s="29"/>
    </row>
    <row r="321" spans="1:12" x14ac:dyDescent="0.2">
      <c r="A321" s="20" t="s">
        <v>301</v>
      </c>
      <c r="B321" s="21">
        <v>24.42</v>
      </c>
      <c r="C321" s="20">
        <v>0</v>
      </c>
      <c r="D321" s="20">
        <v>1</v>
      </c>
      <c r="E321" s="20">
        <v>0</v>
      </c>
      <c r="F321" s="22">
        <v>42826</v>
      </c>
      <c r="G321" s="20" t="s">
        <v>43</v>
      </c>
      <c r="H321" s="22">
        <v>42839</v>
      </c>
      <c r="I321" s="20" t="s">
        <v>283</v>
      </c>
      <c r="J321" s="24"/>
      <c r="K321" s="28"/>
      <c r="L321" s="29"/>
    </row>
    <row r="322" spans="1:12" x14ac:dyDescent="0.2">
      <c r="A322" s="20" t="s">
        <v>301</v>
      </c>
      <c r="B322" s="21">
        <v>13.2</v>
      </c>
      <c r="C322" s="20">
        <v>0</v>
      </c>
      <c r="D322" s="20">
        <v>1</v>
      </c>
      <c r="E322" s="20">
        <v>0</v>
      </c>
      <c r="F322" s="22">
        <v>42826</v>
      </c>
      <c r="G322" s="20" t="s">
        <v>43</v>
      </c>
      <c r="H322" s="22">
        <v>42839</v>
      </c>
      <c r="I322" s="20" t="s">
        <v>283</v>
      </c>
      <c r="J322" s="24"/>
      <c r="K322" s="28"/>
      <c r="L322" s="29"/>
    </row>
    <row r="323" spans="1:12" x14ac:dyDescent="0.2">
      <c r="A323" s="20" t="s">
        <v>85</v>
      </c>
      <c r="B323" s="21">
        <v>300</v>
      </c>
      <c r="C323" s="20">
        <v>0</v>
      </c>
      <c r="D323" s="20">
        <v>1</v>
      </c>
      <c r="E323" s="20">
        <v>0</v>
      </c>
      <c r="F323" s="22">
        <v>42826</v>
      </c>
      <c r="G323" s="20" t="s">
        <v>58</v>
      </c>
      <c r="H323" s="22">
        <v>42843</v>
      </c>
      <c r="I323" s="20" t="s">
        <v>283</v>
      </c>
      <c r="J323" s="24"/>
      <c r="K323" s="28"/>
      <c r="L323" s="29"/>
    </row>
    <row r="324" spans="1:12" x14ac:dyDescent="0.2">
      <c r="A324" s="20" t="s">
        <v>23</v>
      </c>
      <c r="B324" s="21">
        <v>100</v>
      </c>
      <c r="C324" s="20">
        <v>0</v>
      </c>
      <c r="D324" s="20">
        <v>1</v>
      </c>
      <c r="E324" s="20">
        <v>0</v>
      </c>
      <c r="F324" s="22">
        <v>42826</v>
      </c>
      <c r="G324" s="20" t="s">
        <v>58</v>
      </c>
      <c r="H324" s="22">
        <v>42843</v>
      </c>
      <c r="I324" s="20" t="s">
        <v>283</v>
      </c>
      <c r="J324" s="24"/>
      <c r="K324" s="28"/>
      <c r="L324" s="29"/>
    </row>
    <row r="325" spans="1:12" x14ac:dyDescent="0.2">
      <c r="A325" s="20" t="s">
        <v>41</v>
      </c>
      <c r="B325" s="21">
        <v>100</v>
      </c>
      <c r="C325" s="20">
        <v>0</v>
      </c>
      <c r="D325" s="20">
        <v>1</v>
      </c>
      <c r="E325" s="20">
        <v>0</v>
      </c>
      <c r="F325" s="22">
        <v>42826</v>
      </c>
      <c r="G325" s="20" t="s">
        <v>58</v>
      </c>
      <c r="H325" s="22">
        <v>42843</v>
      </c>
      <c r="I325" s="20" t="s">
        <v>283</v>
      </c>
      <c r="J325" s="24"/>
      <c r="K325" s="28"/>
      <c r="L325" s="29"/>
    </row>
    <row r="326" spans="1:12" x14ac:dyDescent="0.2">
      <c r="A326" s="20" t="s">
        <v>302</v>
      </c>
      <c r="B326" s="21">
        <v>150</v>
      </c>
      <c r="C326" s="20">
        <v>0</v>
      </c>
      <c r="D326" s="20">
        <v>1</v>
      </c>
      <c r="E326" s="20">
        <v>0</v>
      </c>
      <c r="F326" s="22">
        <v>42826</v>
      </c>
      <c r="G326" s="20" t="s">
        <v>71</v>
      </c>
      <c r="H326" s="22">
        <v>42850</v>
      </c>
      <c r="I326" s="20" t="s">
        <v>283</v>
      </c>
      <c r="J326" s="24"/>
      <c r="K326" s="28"/>
      <c r="L326" s="29"/>
    </row>
    <row r="327" spans="1:12" x14ac:dyDescent="0.2">
      <c r="A327" s="20" t="s">
        <v>85</v>
      </c>
      <c r="B327" s="21">
        <v>150</v>
      </c>
      <c r="C327" s="20">
        <v>0</v>
      </c>
      <c r="D327" s="20">
        <v>1</v>
      </c>
      <c r="E327" s="20">
        <v>0</v>
      </c>
      <c r="F327" s="22">
        <v>42826</v>
      </c>
      <c r="G327" s="20" t="s">
        <v>71</v>
      </c>
      <c r="H327" s="22">
        <v>42850</v>
      </c>
      <c r="I327" s="20" t="s">
        <v>283</v>
      </c>
      <c r="J327" s="24"/>
      <c r="K327" s="28"/>
      <c r="L327" s="29"/>
    </row>
    <row r="328" spans="1:12" x14ac:dyDescent="0.2">
      <c r="A328" s="20" t="s">
        <v>85</v>
      </c>
      <c r="B328" s="21">
        <v>300</v>
      </c>
      <c r="C328" s="20">
        <v>0</v>
      </c>
      <c r="D328" s="20">
        <v>1</v>
      </c>
      <c r="E328" s="20">
        <v>0</v>
      </c>
      <c r="F328" s="22">
        <v>42826</v>
      </c>
      <c r="G328" s="20" t="s">
        <v>43</v>
      </c>
      <c r="H328" s="22">
        <v>42837</v>
      </c>
      <c r="I328" s="20" t="s">
        <v>283</v>
      </c>
      <c r="J328" s="24"/>
      <c r="K328" s="28"/>
      <c r="L328" s="29"/>
    </row>
    <row r="329" spans="1:12" x14ac:dyDescent="0.2">
      <c r="A329" s="20" t="s">
        <v>282</v>
      </c>
      <c r="B329" s="21">
        <f>(16*2.1)+4.1+4.1</f>
        <v>41.800000000000004</v>
      </c>
      <c r="C329" s="20">
        <v>0</v>
      </c>
      <c r="D329" s="20">
        <v>1</v>
      </c>
      <c r="E329" s="20">
        <v>0</v>
      </c>
      <c r="F329" s="22">
        <v>42826</v>
      </c>
      <c r="G329" s="20" t="s">
        <v>71</v>
      </c>
      <c r="H329" s="22">
        <v>42852</v>
      </c>
      <c r="I329" s="20" t="s">
        <v>283</v>
      </c>
      <c r="J329" s="24"/>
      <c r="K329" s="28"/>
      <c r="L329" s="29"/>
    </row>
    <row r="330" spans="1:12" x14ac:dyDescent="0.2">
      <c r="A330" s="20" t="s">
        <v>263</v>
      </c>
      <c r="B330" s="21">
        <v>18.440000000000001</v>
      </c>
      <c r="C330" s="20">
        <v>0</v>
      </c>
      <c r="D330" s="20">
        <v>1</v>
      </c>
      <c r="E330" s="20">
        <v>0</v>
      </c>
      <c r="F330" s="22">
        <v>42826</v>
      </c>
      <c r="G330" s="20" t="s">
        <v>43</v>
      </c>
      <c r="H330" s="22">
        <v>42837</v>
      </c>
      <c r="I330" s="20" t="s">
        <v>66</v>
      </c>
      <c r="J330" s="24"/>
      <c r="K330" s="28"/>
      <c r="L330" s="29"/>
    </row>
    <row r="331" spans="1:12" x14ac:dyDescent="0.2">
      <c r="A331" s="20" t="s">
        <v>303</v>
      </c>
      <c r="B331" s="21">
        <v>55</v>
      </c>
      <c r="C331" s="20">
        <v>0</v>
      </c>
      <c r="D331" s="20">
        <v>1</v>
      </c>
      <c r="E331" s="20">
        <v>0</v>
      </c>
      <c r="F331" s="22">
        <v>42826</v>
      </c>
      <c r="G331" s="20" t="s">
        <v>71</v>
      </c>
      <c r="H331" s="22">
        <v>42849</v>
      </c>
      <c r="I331" s="20" t="s">
        <v>283</v>
      </c>
      <c r="J331" s="24"/>
      <c r="K331" s="28"/>
      <c r="L331" s="29"/>
    </row>
    <row r="332" spans="1:12" x14ac:dyDescent="0.2">
      <c r="A332" s="20" t="s">
        <v>304</v>
      </c>
      <c r="B332" s="21">
        <v>61.66</v>
      </c>
      <c r="C332" s="20">
        <v>0</v>
      </c>
      <c r="D332" s="20">
        <v>1</v>
      </c>
      <c r="E332" s="20">
        <v>0</v>
      </c>
      <c r="F332" s="22">
        <v>42826</v>
      </c>
      <c r="G332" s="20" t="s">
        <v>71</v>
      </c>
      <c r="H332" s="22">
        <v>42849</v>
      </c>
      <c r="I332" s="20" t="s">
        <v>283</v>
      </c>
      <c r="J332" s="24"/>
      <c r="K332" s="28"/>
      <c r="L332" s="29"/>
    </row>
    <row r="333" spans="1:12" x14ac:dyDescent="0.2">
      <c r="A333" s="20" t="s">
        <v>304</v>
      </c>
      <c r="B333" s="21">
        <v>31.44</v>
      </c>
      <c r="C333" s="20">
        <v>0</v>
      </c>
      <c r="D333" s="20">
        <v>1</v>
      </c>
      <c r="E333" s="20">
        <v>0</v>
      </c>
      <c r="F333" s="22">
        <v>42826</v>
      </c>
      <c r="G333" s="20" t="s">
        <v>71</v>
      </c>
      <c r="H333" s="22">
        <v>42849</v>
      </c>
      <c r="I333" s="20" t="s">
        <v>283</v>
      </c>
      <c r="J333" s="24"/>
      <c r="K333" s="28"/>
      <c r="L333" s="29"/>
    </row>
    <row r="334" spans="1:12" x14ac:dyDescent="0.2">
      <c r="A334" s="20" t="s">
        <v>304</v>
      </c>
      <c r="B334" s="21">
        <v>49.99</v>
      </c>
      <c r="C334" s="20">
        <v>0</v>
      </c>
      <c r="D334" s="20">
        <v>1</v>
      </c>
      <c r="E334" s="20">
        <v>0</v>
      </c>
      <c r="F334" s="22">
        <v>42826</v>
      </c>
      <c r="G334" s="20" t="s">
        <v>71</v>
      </c>
      <c r="H334" s="22">
        <v>42849</v>
      </c>
      <c r="I334" s="20" t="s">
        <v>283</v>
      </c>
      <c r="J334" s="24"/>
      <c r="K334" s="28"/>
      <c r="L334" s="29"/>
    </row>
    <row r="335" spans="1:12" x14ac:dyDescent="0.2">
      <c r="A335" s="20" t="s">
        <v>251</v>
      </c>
      <c r="B335" s="21">
        <v>163.98</v>
      </c>
      <c r="C335" s="20">
        <v>0</v>
      </c>
      <c r="D335" s="20">
        <v>1</v>
      </c>
      <c r="E335" s="20">
        <v>0</v>
      </c>
      <c r="F335" s="22">
        <v>42826</v>
      </c>
      <c r="G335" s="20" t="s">
        <v>71</v>
      </c>
      <c r="H335" s="22">
        <v>42849</v>
      </c>
      <c r="I335" s="20" t="s">
        <v>283</v>
      </c>
      <c r="J335" s="24"/>
      <c r="K335" s="28"/>
      <c r="L335" s="29"/>
    </row>
    <row r="336" spans="1:12" x14ac:dyDescent="0.2">
      <c r="A336" s="20" t="s">
        <v>50</v>
      </c>
      <c r="B336" s="21">
        <v>10</v>
      </c>
      <c r="C336" s="20">
        <v>0</v>
      </c>
      <c r="D336" s="20">
        <v>1</v>
      </c>
      <c r="E336" s="20">
        <v>0</v>
      </c>
      <c r="F336" s="22">
        <v>42826</v>
      </c>
      <c r="G336" s="20" t="s">
        <v>71</v>
      </c>
      <c r="H336" s="22">
        <v>42849</v>
      </c>
      <c r="I336" s="20" t="s">
        <v>283</v>
      </c>
      <c r="J336" s="24"/>
      <c r="K336" s="28"/>
      <c r="L336" s="29"/>
    </row>
    <row r="337" spans="1:12" x14ac:dyDescent="0.2">
      <c r="A337" s="20" t="s">
        <v>66</v>
      </c>
      <c r="B337" s="21">
        <v>56</v>
      </c>
      <c r="C337" s="20">
        <v>0</v>
      </c>
      <c r="D337" s="20">
        <v>1</v>
      </c>
      <c r="E337" s="20">
        <v>0</v>
      </c>
      <c r="F337" s="22">
        <v>42826</v>
      </c>
      <c r="G337" s="20" t="s">
        <v>71</v>
      </c>
      <c r="H337" s="22">
        <v>42850</v>
      </c>
      <c r="I337" s="20" t="s">
        <v>283</v>
      </c>
      <c r="J337" s="24"/>
      <c r="K337" s="28"/>
      <c r="L337" s="29"/>
    </row>
    <row r="338" spans="1:12" x14ac:dyDescent="0.2">
      <c r="A338" s="20" t="s">
        <v>251</v>
      </c>
      <c r="B338" s="21">
        <v>160</v>
      </c>
      <c r="C338" s="20">
        <v>0</v>
      </c>
      <c r="D338" s="20">
        <v>1</v>
      </c>
      <c r="E338" s="20">
        <v>0</v>
      </c>
      <c r="F338" s="22">
        <v>42826</v>
      </c>
      <c r="G338" s="20" t="s">
        <v>71</v>
      </c>
      <c r="H338" s="22">
        <v>42850</v>
      </c>
      <c r="I338" s="20" t="s">
        <v>283</v>
      </c>
      <c r="J338" s="24"/>
      <c r="K338" s="28"/>
      <c r="L338" s="29"/>
    </row>
    <row r="339" spans="1:12" x14ac:dyDescent="0.2">
      <c r="A339" s="20" t="s">
        <v>305</v>
      </c>
      <c r="B339" s="21">
        <v>36</v>
      </c>
      <c r="C339" s="20">
        <v>0</v>
      </c>
      <c r="D339" s="20">
        <v>1</v>
      </c>
      <c r="E339" s="20">
        <v>0</v>
      </c>
      <c r="F339" s="22">
        <v>42826</v>
      </c>
      <c r="G339" s="20" t="s">
        <v>71</v>
      </c>
      <c r="H339" s="22">
        <v>42852</v>
      </c>
      <c r="I339" s="20" t="s">
        <v>283</v>
      </c>
      <c r="J339" s="24"/>
      <c r="K339" s="28"/>
      <c r="L339" s="29"/>
    </row>
    <row r="340" spans="1:12" x14ac:dyDescent="0.2">
      <c r="A340" s="20" t="s">
        <v>251</v>
      </c>
      <c r="B340" s="21">
        <v>92.44</v>
      </c>
      <c r="C340" s="20">
        <v>0</v>
      </c>
      <c r="D340" s="20">
        <v>1</v>
      </c>
      <c r="E340" s="20">
        <v>0</v>
      </c>
      <c r="F340" s="22">
        <v>42826</v>
      </c>
      <c r="G340" s="20" t="s">
        <v>71</v>
      </c>
      <c r="H340" s="22">
        <v>42852</v>
      </c>
      <c r="I340" s="20" t="s">
        <v>283</v>
      </c>
      <c r="J340" s="24"/>
      <c r="K340" s="28"/>
      <c r="L340" s="29"/>
    </row>
    <row r="341" spans="1:12" x14ac:dyDescent="0.2">
      <c r="A341" s="20" t="s">
        <v>251</v>
      </c>
      <c r="B341" s="21">
        <v>170.02</v>
      </c>
      <c r="C341" s="20">
        <v>0</v>
      </c>
      <c r="D341" s="20">
        <v>1</v>
      </c>
      <c r="E341" s="20">
        <v>0</v>
      </c>
      <c r="F341" s="22">
        <v>42826</v>
      </c>
      <c r="G341" s="20" t="s">
        <v>71</v>
      </c>
      <c r="H341" s="22">
        <v>42852</v>
      </c>
      <c r="I341" s="20" t="s">
        <v>283</v>
      </c>
      <c r="J341" s="24"/>
      <c r="K341" s="28"/>
      <c r="L341" s="29"/>
    </row>
    <row r="342" spans="1:12" x14ac:dyDescent="0.2">
      <c r="A342" s="20" t="s">
        <v>251</v>
      </c>
      <c r="B342" s="21">
        <v>154.09</v>
      </c>
      <c r="C342" s="20">
        <v>0</v>
      </c>
      <c r="D342" s="20">
        <v>1</v>
      </c>
      <c r="E342" s="20">
        <v>0</v>
      </c>
      <c r="F342" s="22">
        <v>42826</v>
      </c>
      <c r="G342" s="20" t="s">
        <v>71</v>
      </c>
      <c r="H342" s="22">
        <v>42852</v>
      </c>
      <c r="I342" s="20" t="s">
        <v>283</v>
      </c>
      <c r="J342" s="24"/>
      <c r="K342" s="28"/>
      <c r="L342" s="29"/>
    </row>
    <row r="343" spans="1:12" x14ac:dyDescent="0.2">
      <c r="A343" s="20" t="s">
        <v>49</v>
      </c>
      <c r="B343" s="21">
        <v>35</v>
      </c>
      <c r="C343" s="20">
        <v>0</v>
      </c>
      <c r="D343" s="20">
        <v>1</v>
      </c>
      <c r="E343" s="20">
        <v>0</v>
      </c>
      <c r="F343" s="22">
        <v>42826</v>
      </c>
      <c r="G343" s="20" t="s">
        <v>71</v>
      </c>
      <c r="H343" s="22">
        <v>42852</v>
      </c>
      <c r="I343" s="20" t="s">
        <v>283</v>
      </c>
      <c r="J343" s="24"/>
      <c r="K343" s="28"/>
      <c r="L343" s="29"/>
    </row>
    <row r="344" spans="1:12" x14ac:dyDescent="0.2">
      <c r="A344" s="20" t="s">
        <v>76</v>
      </c>
      <c r="B344" s="21">
        <v>53</v>
      </c>
      <c r="C344" s="20">
        <v>0</v>
      </c>
      <c r="D344" s="20">
        <v>1</v>
      </c>
      <c r="E344" s="20">
        <v>0</v>
      </c>
      <c r="F344" s="22">
        <v>42826</v>
      </c>
      <c r="G344" s="20" t="s">
        <v>71</v>
      </c>
      <c r="H344" s="22">
        <v>42853</v>
      </c>
      <c r="I344" s="20" t="s">
        <v>76</v>
      </c>
      <c r="J344" s="24"/>
      <c r="K344" s="28"/>
      <c r="L344" s="29"/>
    </row>
    <row r="345" spans="1:12" x14ac:dyDescent="0.2">
      <c r="A345" s="20" t="s">
        <v>307</v>
      </c>
      <c r="B345" s="18">
        <v>38</v>
      </c>
      <c r="C345" s="20">
        <v>0</v>
      </c>
      <c r="D345" s="20">
        <v>1</v>
      </c>
      <c r="E345" s="20">
        <v>0</v>
      </c>
      <c r="F345" s="22">
        <v>42826</v>
      </c>
      <c r="G345" s="20" t="s">
        <v>71</v>
      </c>
      <c r="H345" s="22">
        <v>42854</v>
      </c>
      <c r="I345" s="20" t="s">
        <v>76</v>
      </c>
      <c r="J345" s="18"/>
      <c r="K345" s="28"/>
      <c r="L345" s="29"/>
    </row>
    <row r="346" spans="1:12" x14ac:dyDescent="0.2">
      <c r="A346" s="20" t="s">
        <v>55</v>
      </c>
      <c r="B346" s="18">
        <v>50</v>
      </c>
      <c r="C346" s="20">
        <v>0</v>
      </c>
      <c r="D346" s="20">
        <v>1</v>
      </c>
      <c r="E346" s="20">
        <v>0</v>
      </c>
      <c r="F346" s="22">
        <v>42826</v>
      </c>
      <c r="G346" s="20" t="s">
        <v>71</v>
      </c>
      <c r="H346" s="22">
        <v>42854</v>
      </c>
      <c r="I346" s="20" t="s">
        <v>53</v>
      </c>
      <c r="J346" s="18"/>
      <c r="K346" s="28"/>
      <c r="L346" s="29"/>
    </row>
    <row r="347" spans="1:12" x14ac:dyDescent="0.2">
      <c r="A347" s="20" t="s">
        <v>64</v>
      </c>
      <c r="B347" s="18">
        <v>50</v>
      </c>
      <c r="C347" s="20">
        <v>0</v>
      </c>
      <c r="D347" s="20">
        <v>1</v>
      </c>
      <c r="E347" s="20">
        <v>0</v>
      </c>
      <c r="F347" s="22">
        <v>42826</v>
      </c>
      <c r="G347" s="20" t="s">
        <v>71</v>
      </c>
      <c r="H347" s="22">
        <v>42855</v>
      </c>
      <c r="I347" s="20" t="s">
        <v>64</v>
      </c>
      <c r="J347" s="18"/>
      <c r="K347" s="28"/>
      <c r="L347" s="29"/>
    </row>
    <row r="348" spans="1:12" x14ac:dyDescent="0.2">
      <c r="A348" s="20" t="s">
        <v>251</v>
      </c>
      <c r="B348" s="18">
        <v>50</v>
      </c>
      <c r="C348" s="20">
        <v>0</v>
      </c>
      <c r="D348" s="20">
        <v>1</v>
      </c>
      <c r="E348" s="20">
        <v>0</v>
      </c>
      <c r="F348" s="22">
        <v>42826</v>
      </c>
      <c r="G348" s="20" t="s">
        <v>71</v>
      </c>
      <c r="H348" s="22">
        <v>42855</v>
      </c>
      <c r="I348" s="20" t="s">
        <v>27</v>
      </c>
      <c r="J348" s="18"/>
      <c r="K348" s="28"/>
      <c r="L348" s="29"/>
    </row>
    <row r="349" spans="1:12" x14ac:dyDescent="0.2">
      <c r="A349" s="20" t="s">
        <v>64</v>
      </c>
      <c r="B349" s="18">
        <v>23.5</v>
      </c>
      <c r="C349" s="20">
        <v>0</v>
      </c>
      <c r="D349" s="20">
        <v>1</v>
      </c>
      <c r="E349" s="20">
        <v>0</v>
      </c>
      <c r="F349" s="22">
        <v>42826</v>
      </c>
      <c r="G349" s="20" t="s">
        <v>71</v>
      </c>
      <c r="H349" s="22">
        <v>42854</v>
      </c>
      <c r="I349" s="20" t="s">
        <v>64</v>
      </c>
      <c r="J349" s="18"/>
      <c r="K349" s="28"/>
      <c r="L349" s="29"/>
    </row>
    <row r="350" spans="1:12" x14ac:dyDescent="0.2">
      <c r="A350" s="20" t="s">
        <v>23</v>
      </c>
      <c r="B350" s="18">
        <v>47.98</v>
      </c>
      <c r="C350" s="20">
        <v>0</v>
      </c>
      <c r="D350" s="20">
        <v>1</v>
      </c>
      <c r="E350" s="20">
        <v>0</v>
      </c>
      <c r="F350" s="22">
        <v>42826</v>
      </c>
      <c r="G350" s="20" t="s">
        <v>71</v>
      </c>
      <c r="H350" s="22">
        <v>42855</v>
      </c>
      <c r="I350" s="20" t="s">
        <v>23</v>
      </c>
      <c r="J350" s="18"/>
      <c r="K350" s="28"/>
      <c r="L350" s="29"/>
    </row>
    <row r="351" spans="1:12" x14ac:dyDescent="0.2">
      <c r="A351" s="20" t="s">
        <v>283</v>
      </c>
      <c r="B351" s="18">
        <v>57</v>
      </c>
      <c r="C351" s="20">
        <v>0</v>
      </c>
      <c r="D351" s="20">
        <v>1</v>
      </c>
      <c r="E351" s="20">
        <v>0</v>
      </c>
      <c r="F351" s="22">
        <v>42826</v>
      </c>
      <c r="G351" s="20" t="s">
        <v>71</v>
      </c>
      <c r="H351" s="22">
        <v>42850</v>
      </c>
      <c r="I351" s="20" t="s">
        <v>283</v>
      </c>
      <c r="J351" s="18"/>
      <c r="K351" s="28"/>
      <c r="L351" s="29"/>
    </row>
    <row r="352" spans="1:12" x14ac:dyDescent="0.2">
      <c r="A352" s="20" t="s">
        <v>23</v>
      </c>
      <c r="B352" s="18">
        <v>94.5</v>
      </c>
      <c r="C352" s="20">
        <v>0</v>
      </c>
      <c r="D352" s="20">
        <v>1</v>
      </c>
      <c r="E352" s="20">
        <v>0</v>
      </c>
      <c r="F352" s="22">
        <v>42826</v>
      </c>
      <c r="G352" s="20" t="s">
        <v>71</v>
      </c>
      <c r="H352" s="22">
        <v>42853</v>
      </c>
      <c r="I352" s="20" t="s">
        <v>23</v>
      </c>
      <c r="J352" s="18"/>
      <c r="K352" s="28"/>
      <c r="L352" s="29"/>
    </row>
    <row r="353" spans="1:12" x14ac:dyDescent="0.2">
      <c r="A353" t="s">
        <v>76</v>
      </c>
      <c r="B353" s="2">
        <v>40</v>
      </c>
      <c r="C353">
        <v>0</v>
      </c>
      <c r="D353">
        <v>1</v>
      </c>
      <c r="E353">
        <v>0</v>
      </c>
      <c r="F353" s="12">
        <v>42856</v>
      </c>
      <c r="G353" t="s">
        <v>10</v>
      </c>
      <c r="H353" s="12">
        <v>42856</v>
      </c>
      <c r="I353" t="s">
        <v>76</v>
      </c>
      <c r="J353" s="18"/>
      <c r="K353" s="28"/>
      <c r="L353" s="29"/>
    </row>
    <row r="354" spans="1:12" x14ac:dyDescent="0.2">
      <c r="A354" t="s">
        <v>33</v>
      </c>
      <c r="B354" s="2">
        <v>300</v>
      </c>
      <c r="C354">
        <v>1</v>
      </c>
      <c r="D354">
        <v>0</v>
      </c>
      <c r="E354">
        <v>0</v>
      </c>
      <c r="F354" s="12">
        <v>42856</v>
      </c>
      <c r="G354" s="31" t="s">
        <v>10</v>
      </c>
      <c r="H354" s="12">
        <v>42857</v>
      </c>
      <c r="I354" t="s">
        <v>34</v>
      </c>
      <c r="J354" s="27"/>
      <c r="K354" s="28"/>
      <c r="L354" s="29"/>
    </row>
    <row r="355" spans="1:12" x14ac:dyDescent="0.2">
      <c r="A355" t="s">
        <v>251</v>
      </c>
      <c r="B355" s="2">
        <v>50</v>
      </c>
      <c r="C355">
        <v>0</v>
      </c>
      <c r="D355">
        <v>1</v>
      </c>
      <c r="E355">
        <v>0</v>
      </c>
      <c r="F355" s="12">
        <v>42856</v>
      </c>
      <c r="G355" t="s">
        <v>10</v>
      </c>
      <c r="H355" s="12">
        <v>42857</v>
      </c>
      <c r="I355" t="s">
        <v>27</v>
      </c>
      <c r="K355" s="28"/>
      <c r="L355" s="29"/>
    </row>
    <row r="356" spans="1:12" x14ac:dyDescent="0.2">
      <c r="A356" t="s">
        <v>23</v>
      </c>
      <c r="B356" s="2">
        <v>47.98</v>
      </c>
      <c r="C356">
        <v>0</v>
      </c>
      <c r="D356">
        <v>1</v>
      </c>
      <c r="E356">
        <v>0</v>
      </c>
      <c r="F356" s="12">
        <v>42856</v>
      </c>
      <c r="G356" t="s">
        <v>10</v>
      </c>
      <c r="H356" s="12">
        <v>42857</v>
      </c>
      <c r="I356" t="s">
        <v>23</v>
      </c>
      <c r="K356" s="28"/>
      <c r="L356" s="29"/>
    </row>
    <row r="357" spans="1:12" x14ac:dyDescent="0.2">
      <c r="A357" t="s">
        <v>24</v>
      </c>
      <c r="B357" s="2">
        <v>54.95</v>
      </c>
      <c r="C357">
        <v>1</v>
      </c>
      <c r="D357">
        <v>0</v>
      </c>
      <c r="E357">
        <v>0</v>
      </c>
      <c r="F357" s="12">
        <v>42856</v>
      </c>
      <c r="G357" t="s">
        <v>10</v>
      </c>
      <c r="H357" s="12">
        <v>42858</v>
      </c>
      <c r="I357" t="s">
        <v>25</v>
      </c>
      <c r="K357" s="28"/>
      <c r="L357" s="29"/>
    </row>
    <row r="358" spans="1:12" x14ac:dyDescent="0.2">
      <c r="A358" t="s">
        <v>39</v>
      </c>
      <c r="B358" s="2">
        <v>55.94</v>
      </c>
      <c r="C358">
        <v>1</v>
      </c>
      <c r="D358">
        <v>0</v>
      </c>
      <c r="E358">
        <v>0</v>
      </c>
      <c r="F358" s="12">
        <v>42856</v>
      </c>
      <c r="G358" t="s">
        <v>10</v>
      </c>
      <c r="H358" s="12">
        <v>42858</v>
      </c>
      <c r="I358" t="s">
        <v>36</v>
      </c>
      <c r="K358" s="28"/>
      <c r="L358" s="29"/>
    </row>
    <row r="359" spans="1:12" x14ac:dyDescent="0.2">
      <c r="A359" t="s">
        <v>70</v>
      </c>
      <c r="B359" s="2">
        <v>36.28</v>
      </c>
      <c r="C359">
        <v>1</v>
      </c>
      <c r="D359">
        <v>0</v>
      </c>
      <c r="E359">
        <v>0</v>
      </c>
      <c r="F359" s="12">
        <v>42856</v>
      </c>
      <c r="G359" t="s">
        <v>10</v>
      </c>
      <c r="H359" s="12">
        <v>42858</v>
      </c>
      <c r="I359" t="s">
        <v>36</v>
      </c>
      <c r="K359" s="28"/>
      <c r="L359" s="29"/>
    </row>
    <row r="360" spans="1:12" x14ac:dyDescent="0.2">
      <c r="A360" t="s">
        <v>40</v>
      </c>
      <c r="B360" s="2">
        <v>190</v>
      </c>
      <c r="C360">
        <v>0</v>
      </c>
      <c r="D360">
        <v>1</v>
      </c>
      <c r="E360">
        <v>0</v>
      </c>
      <c r="F360" s="12">
        <v>42856</v>
      </c>
      <c r="G360" t="s">
        <v>10</v>
      </c>
      <c r="H360" s="12">
        <v>42858</v>
      </c>
      <c r="I360" t="s">
        <v>27</v>
      </c>
      <c r="K360" s="28"/>
      <c r="L360" s="29"/>
    </row>
    <row r="361" spans="1:12" x14ac:dyDescent="0.2">
      <c r="A361" t="s">
        <v>69</v>
      </c>
      <c r="B361" s="2">
        <v>12</v>
      </c>
      <c r="C361">
        <v>0</v>
      </c>
      <c r="D361">
        <v>1</v>
      </c>
      <c r="E361">
        <v>0</v>
      </c>
      <c r="F361" s="12">
        <v>42856</v>
      </c>
      <c r="G361" t="s">
        <v>10</v>
      </c>
      <c r="H361" s="12">
        <v>42858</v>
      </c>
      <c r="I361" t="s">
        <v>29</v>
      </c>
      <c r="K361" s="28"/>
      <c r="L361" s="29"/>
    </row>
    <row r="362" spans="1:12" x14ac:dyDescent="0.2">
      <c r="A362" t="s">
        <v>317</v>
      </c>
      <c r="B362" s="2">
        <v>5</v>
      </c>
      <c r="C362">
        <v>0</v>
      </c>
      <c r="D362">
        <v>1</v>
      </c>
      <c r="E362">
        <v>0</v>
      </c>
      <c r="F362" s="12">
        <v>42856</v>
      </c>
      <c r="G362" t="s">
        <v>10</v>
      </c>
      <c r="H362" s="12">
        <v>42859</v>
      </c>
      <c r="I362" t="s">
        <v>29</v>
      </c>
      <c r="K362" s="28"/>
      <c r="L362" s="29"/>
    </row>
    <row r="363" spans="1:12" x14ac:dyDescent="0.2">
      <c r="A363" t="s">
        <v>69</v>
      </c>
      <c r="B363" s="2">
        <v>13</v>
      </c>
      <c r="C363">
        <v>0</v>
      </c>
      <c r="D363">
        <v>1</v>
      </c>
      <c r="E363">
        <v>0</v>
      </c>
      <c r="F363" s="12">
        <v>42856</v>
      </c>
      <c r="G363" t="s">
        <v>10</v>
      </c>
      <c r="H363" s="12">
        <v>42859</v>
      </c>
      <c r="I363" t="s">
        <v>29</v>
      </c>
      <c r="K363" s="28"/>
      <c r="L363" s="29"/>
    </row>
    <row r="364" spans="1:12" x14ac:dyDescent="0.2">
      <c r="A364" t="s">
        <v>50</v>
      </c>
      <c r="B364" s="2">
        <v>4</v>
      </c>
      <c r="C364">
        <v>0</v>
      </c>
      <c r="D364">
        <v>1</v>
      </c>
      <c r="E364">
        <v>0</v>
      </c>
      <c r="F364" s="12">
        <v>42856</v>
      </c>
      <c r="G364" t="s">
        <v>10</v>
      </c>
      <c r="H364" s="12">
        <v>42860</v>
      </c>
      <c r="I364" t="s">
        <v>29</v>
      </c>
      <c r="K364" s="28"/>
      <c r="L364" s="29"/>
    </row>
    <row r="365" spans="1:12" x14ac:dyDescent="0.2">
      <c r="A365" t="s">
        <v>318</v>
      </c>
      <c r="B365" s="2">
        <v>9.9</v>
      </c>
      <c r="C365">
        <v>0</v>
      </c>
      <c r="D365">
        <v>1</v>
      </c>
      <c r="E365">
        <v>0</v>
      </c>
      <c r="F365" s="12">
        <v>42856</v>
      </c>
      <c r="G365" t="s">
        <v>10</v>
      </c>
      <c r="H365" s="12">
        <v>42860</v>
      </c>
      <c r="I365" t="s">
        <v>98</v>
      </c>
      <c r="K365" s="28"/>
      <c r="L365" s="29"/>
    </row>
    <row r="366" spans="1:12" x14ac:dyDescent="0.2">
      <c r="A366" t="s">
        <v>76</v>
      </c>
      <c r="B366" s="2">
        <v>35.64</v>
      </c>
      <c r="C366">
        <v>0</v>
      </c>
      <c r="D366">
        <v>1</v>
      </c>
      <c r="E366">
        <v>0</v>
      </c>
      <c r="F366" s="12">
        <v>42856</v>
      </c>
      <c r="G366" t="s">
        <v>10</v>
      </c>
      <c r="H366" s="12">
        <v>42860</v>
      </c>
      <c r="I366" t="s">
        <v>76</v>
      </c>
      <c r="K366" s="28"/>
      <c r="L366" s="29"/>
    </row>
    <row r="367" spans="1:12" x14ac:dyDescent="0.2">
      <c r="A367" t="s">
        <v>259</v>
      </c>
      <c r="B367" s="2">
        <v>16.010000000000002</v>
      </c>
      <c r="C367">
        <v>0</v>
      </c>
      <c r="D367">
        <v>1</v>
      </c>
      <c r="E367">
        <v>0</v>
      </c>
      <c r="F367" s="12">
        <v>42856</v>
      </c>
      <c r="G367" t="s">
        <v>10</v>
      </c>
      <c r="H367" s="12">
        <v>42861</v>
      </c>
      <c r="I367" t="s">
        <v>66</v>
      </c>
      <c r="K367" s="28"/>
      <c r="L367" s="29"/>
    </row>
    <row r="368" spans="1:12" x14ac:dyDescent="0.2">
      <c r="A368" t="s">
        <v>251</v>
      </c>
      <c r="B368" s="2">
        <v>50</v>
      </c>
      <c r="C368">
        <v>0</v>
      </c>
      <c r="D368">
        <v>1</v>
      </c>
      <c r="E368">
        <v>0</v>
      </c>
      <c r="F368" s="12">
        <v>42856</v>
      </c>
      <c r="G368" t="s">
        <v>10</v>
      </c>
      <c r="H368" s="12">
        <v>42861</v>
      </c>
      <c r="I368" t="s">
        <v>27</v>
      </c>
      <c r="K368" s="28"/>
      <c r="L368" s="29"/>
    </row>
    <row r="369" spans="1:12" x14ac:dyDescent="0.2">
      <c r="A369" t="s">
        <v>319</v>
      </c>
      <c r="B369" s="2">
        <v>35</v>
      </c>
      <c r="C369">
        <v>0</v>
      </c>
      <c r="D369">
        <v>1</v>
      </c>
      <c r="E369">
        <v>0</v>
      </c>
      <c r="F369" s="12">
        <v>42856</v>
      </c>
      <c r="G369" t="s">
        <v>10</v>
      </c>
      <c r="H369" s="12">
        <v>42861</v>
      </c>
      <c r="I369" t="s">
        <v>27</v>
      </c>
      <c r="K369" s="28"/>
      <c r="L369" s="29"/>
    </row>
    <row r="370" spans="1:12" x14ac:dyDescent="0.2">
      <c r="A370" t="s">
        <v>23</v>
      </c>
      <c r="B370" s="2">
        <v>101.74</v>
      </c>
      <c r="C370">
        <v>0</v>
      </c>
      <c r="D370">
        <v>1</v>
      </c>
      <c r="E370">
        <v>0</v>
      </c>
      <c r="F370" s="12">
        <v>42856</v>
      </c>
      <c r="G370" t="s">
        <v>10</v>
      </c>
      <c r="H370" s="12">
        <v>42861</v>
      </c>
      <c r="I370" t="s">
        <v>23</v>
      </c>
      <c r="K370" s="28"/>
      <c r="L370" s="29"/>
    </row>
    <row r="371" spans="1:12" x14ac:dyDescent="0.2">
      <c r="A371" t="s">
        <v>246</v>
      </c>
      <c r="B371" s="2">
        <v>39.979999999999997</v>
      </c>
      <c r="C371">
        <v>0</v>
      </c>
      <c r="D371">
        <v>1</v>
      </c>
      <c r="E371">
        <v>0</v>
      </c>
      <c r="F371" s="12">
        <v>42856</v>
      </c>
      <c r="G371" t="s">
        <v>10</v>
      </c>
      <c r="H371" s="12">
        <v>42861</v>
      </c>
      <c r="I371" t="s">
        <v>138</v>
      </c>
      <c r="K371" s="28"/>
      <c r="L371" s="29"/>
    </row>
    <row r="372" spans="1:12" x14ac:dyDescent="0.2">
      <c r="A372" t="s">
        <v>23</v>
      </c>
      <c r="B372" s="2">
        <v>179.56</v>
      </c>
      <c r="C372">
        <v>0</v>
      </c>
      <c r="D372">
        <v>1</v>
      </c>
      <c r="E372">
        <v>0</v>
      </c>
      <c r="F372" s="12">
        <v>42856</v>
      </c>
      <c r="G372" t="s">
        <v>10</v>
      </c>
      <c r="H372" s="12">
        <v>42862</v>
      </c>
      <c r="I372" t="s">
        <v>23</v>
      </c>
      <c r="K372" s="28"/>
      <c r="L372" s="29"/>
    </row>
    <row r="373" spans="1:12" x14ac:dyDescent="0.2">
      <c r="A373" t="s">
        <v>320</v>
      </c>
      <c r="B373" s="2">
        <v>8.4700000000000006</v>
      </c>
      <c r="C373">
        <v>0</v>
      </c>
      <c r="D373">
        <v>1</v>
      </c>
      <c r="E373">
        <v>0</v>
      </c>
      <c r="F373" s="12">
        <v>42856</v>
      </c>
      <c r="G373" t="s">
        <v>10</v>
      </c>
      <c r="H373" s="12">
        <v>42863</v>
      </c>
      <c r="I373" t="s">
        <v>29</v>
      </c>
      <c r="K373" s="28"/>
      <c r="L373" s="29"/>
    </row>
    <row r="374" spans="1:12" x14ac:dyDescent="0.2">
      <c r="A374" t="s">
        <v>91</v>
      </c>
      <c r="B374" s="2">
        <v>8</v>
      </c>
      <c r="C374">
        <v>0</v>
      </c>
      <c r="D374">
        <v>1</v>
      </c>
      <c r="E374">
        <v>0</v>
      </c>
      <c r="F374" s="12">
        <v>42856</v>
      </c>
      <c r="G374" t="s">
        <v>10</v>
      </c>
      <c r="H374" s="12">
        <v>42863</v>
      </c>
      <c r="I374" t="s">
        <v>29</v>
      </c>
      <c r="K374" s="28"/>
      <c r="L374" s="29"/>
    </row>
    <row r="375" spans="1:12" x14ac:dyDescent="0.2">
      <c r="A375" t="s">
        <v>321</v>
      </c>
      <c r="B375" s="2">
        <v>36.86</v>
      </c>
      <c r="C375">
        <v>0</v>
      </c>
      <c r="D375">
        <v>1</v>
      </c>
      <c r="E375">
        <v>0</v>
      </c>
      <c r="F375" s="12">
        <v>42856</v>
      </c>
      <c r="G375" t="s">
        <v>43</v>
      </c>
      <c r="H375" s="12">
        <v>42863</v>
      </c>
      <c r="I375" t="s">
        <v>53</v>
      </c>
      <c r="K375" s="28"/>
      <c r="L375" s="29"/>
    </row>
    <row r="376" spans="1:12" x14ac:dyDescent="0.2">
      <c r="A376" t="s">
        <v>35</v>
      </c>
      <c r="B376" s="2">
        <v>378.74</v>
      </c>
      <c r="C376">
        <v>1</v>
      </c>
      <c r="D376">
        <v>0</v>
      </c>
      <c r="E376">
        <v>0</v>
      </c>
      <c r="F376" s="12">
        <v>42856</v>
      </c>
      <c r="G376" t="s">
        <v>10</v>
      </c>
      <c r="H376" s="12">
        <v>42863</v>
      </c>
      <c r="I376" t="s">
        <v>36</v>
      </c>
      <c r="K376" s="28"/>
      <c r="L376" s="29"/>
    </row>
    <row r="377" spans="1:12" x14ac:dyDescent="0.2">
      <c r="A377" t="s">
        <v>77</v>
      </c>
      <c r="B377" s="2">
        <v>5</v>
      </c>
      <c r="C377">
        <v>0</v>
      </c>
      <c r="D377">
        <v>1</v>
      </c>
      <c r="E377">
        <v>0</v>
      </c>
      <c r="F377" s="12">
        <v>42856</v>
      </c>
      <c r="G377" t="s">
        <v>43</v>
      </c>
      <c r="H377" s="12">
        <v>42864</v>
      </c>
      <c r="I377" t="s">
        <v>29</v>
      </c>
      <c r="K377" s="28"/>
      <c r="L377" s="29"/>
    </row>
    <row r="378" spans="1:12" x14ac:dyDescent="0.2">
      <c r="A378" t="s">
        <v>322</v>
      </c>
      <c r="B378" s="2">
        <v>124.12</v>
      </c>
      <c r="C378">
        <v>0</v>
      </c>
      <c r="D378">
        <v>1</v>
      </c>
      <c r="E378">
        <v>0</v>
      </c>
      <c r="F378" s="12">
        <v>42856</v>
      </c>
      <c r="G378" t="s">
        <v>43</v>
      </c>
      <c r="H378" s="12">
        <v>42864</v>
      </c>
      <c r="I378" t="s">
        <v>98</v>
      </c>
      <c r="K378" s="28"/>
      <c r="L378" s="29"/>
    </row>
    <row r="379" spans="1:12" x14ac:dyDescent="0.2">
      <c r="A379" t="s">
        <v>323</v>
      </c>
      <c r="B379" s="2">
        <v>8</v>
      </c>
      <c r="C379">
        <v>0</v>
      </c>
      <c r="D379">
        <v>1</v>
      </c>
      <c r="E379">
        <v>0</v>
      </c>
      <c r="F379" s="12">
        <v>42856</v>
      </c>
      <c r="G379" t="s">
        <v>43</v>
      </c>
      <c r="H379" s="12">
        <v>42864</v>
      </c>
      <c r="I379" t="s">
        <v>29</v>
      </c>
      <c r="K379" s="28"/>
      <c r="L379" s="29"/>
    </row>
    <row r="380" spans="1:12" x14ac:dyDescent="0.2">
      <c r="A380" t="s">
        <v>46</v>
      </c>
      <c r="B380" s="2">
        <v>45.2</v>
      </c>
      <c r="C380">
        <v>1</v>
      </c>
      <c r="D380">
        <v>0</v>
      </c>
      <c r="E380">
        <v>0</v>
      </c>
      <c r="F380" s="12">
        <v>42856</v>
      </c>
      <c r="G380" t="s">
        <v>43</v>
      </c>
      <c r="H380" s="12">
        <v>42865</v>
      </c>
      <c r="I380" t="s">
        <v>25</v>
      </c>
      <c r="K380" s="28"/>
      <c r="L380" s="29"/>
    </row>
    <row r="381" spans="1:12" x14ac:dyDescent="0.2">
      <c r="A381" t="s">
        <v>48</v>
      </c>
      <c r="B381" s="2">
        <v>6.03</v>
      </c>
      <c r="C381">
        <v>1</v>
      </c>
      <c r="D381">
        <v>0</v>
      </c>
      <c r="E381">
        <v>0</v>
      </c>
      <c r="F381" s="12">
        <v>42856</v>
      </c>
      <c r="G381" t="s">
        <v>43</v>
      </c>
      <c r="H381" s="12">
        <v>42865</v>
      </c>
      <c r="I381" t="s">
        <v>25</v>
      </c>
      <c r="K381" s="28"/>
      <c r="L381" s="29"/>
    </row>
    <row r="382" spans="1:12" x14ac:dyDescent="0.2">
      <c r="A382" t="s">
        <v>44</v>
      </c>
      <c r="B382" s="2">
        <v>500</v>
      </c>
      <c r="C382">
        <v>0</v>
      </c>
      <c r="D382">
        <v>1</v>
      </c>
      <c r="E382">
        <v>0</v>
      </c>
      <c r="F382" s="12">
        <v>42856</v>
      </c>
      <c r="G382" t="s">
        <v>43</v>
      </c>
      <c r="H382" s="12">
        <v>42865</v>
      </c>
      <c r="I382" t="s">
        <v>53</v>
      </c>
      <c r="K382" s="28"/>
      <c r="L382" s="29"/>
    </row>
    <row r="383" spans="1:12" x14ac:dyDescent="0.2">
      <c r="A383" t="s">
        <v>50</v>
      </c>
      <c r="B383" s="2">
        <v>3</v>
      </c>
      <c r="C383">
        <v>0</v>
      </c>
      <c r="D383">
        <v>1</v>
      </c>
      <c r="E383">
        <v>0</v>
      </c>
      <c r="F383" s="12">
        <v>42856</v>
      </c>
      <c r="G383" t="s">
        <v>43</v>
      </c>
      <c r="H383" s="12">
        <v>42865</v>
      </c>
      <c r="I383" t="s">
        <v>29</v>
      </c>
      <c r="K383" s="28"/>
      <c r="L383" s="29"/>
    </row>
    <row r="384" spans="1:12" x14ac:dyDescent="0.2">
      <c r="A384" t="s">
        <v>251</v>
      </c>
      <c r="B384" s="2">
        <v>171.52</v>
      </c>
      <c r="C384">
        <v>0</v>
      </c>
      <c r="D384">
        <v>1</v>
      </c>
      <c r="E384">
        <v>0</v>
      </c>
      <c r="F384" s="12">
        <v>42856</v>
      </c>
      <c r="G384" t="s">
        <v>58</v>
      </c>
      <c r="H384" s="12">
        <v>42866</v>
      </c>
      <c r="I384" t="s">
        <v>27</v>
      </c>
      <c r="K384" s="28"/>
      <c r="L384" s="29"/>
    </row>
    <row r="385" spans="1:12" x14ac:dyDescent="0.2">
      <c r="A385" t="s">
        <v>324</v>
      </c>
      <c r="B385" s="2">
        <v>10.79</v>
      </c>
      <c r="C385">
        <v>0</v>
      </c>
      <c r="D385">
        <v>1</v>
      </c>
      <c r="E385">
        <v>0</v>
      </c>
      <c r="F385" s="12">
        <v>42856</v>
      </c>
      <c r="G385" t="s">
        <v>58</v>
      </c>
      <c r="H385" s="12">
        <v>42866</v>
      </c>
      <c r="I385" t="s">
        <v>29</v>
      </c>
      <c r="K385" s="28"/>
      <c r="L385" s="29"/>
    </row>
    <row r="386" spans="1:12" x14ac:dyDescent="0.2">
      <c r="A386" t="s">
        <v>23</v>
      </c>
      <c r="B386" s="2">
        <v>36.659999999999997</v>
      </c>
      <c r="C386">
        <v>0</v>
      </c>
      <c r="D386">
        <v>1</v>
      </c>
      <c r="E386">
        <v>0</v>
      </c>
      <c r="F386" s="12">
        <v>42856</v>
      </c>
      <c r="G386" t="s">
        <v>58</v>
      </c>
      <c r="H386" s="12">
        <v>42867</v>
      </c>
      <c r="I386" t="s">
        <v>23</v>
      </c>
      <c r="K386" s="28"/>
      <c r="L386" s="29"/>
    </row>
    <row r="387" spans="1:12" x14ac:dyDescent="0.2">
      <c r="A387" t="s">
        <v>325</v>
      </c>
      <c r="B387" s="2">
        <v>110</v>
      </c>
      <c r="C387">
        <v>0</v>
      </c>
      <c r="D387">
        <v>1</v>
      </c>
      <c r="E387">
        <v>0</v>
      </c>
      <c r="F387" s="12">
        <v>42856</v>
      </c>
      <c r="G387" t="s">
        <v>58</v>
      </c>
      <c r="H387" s="12">
        <v>42867</v>
      </c>
      <c r="I387" t="s">
        <v>53</v>
      </c>
      <c r="K387" s="28"/>
      <c r="L387" s="29"/>
    </row>
    <row r="388" spans="1:12" x14ac:dyDescent="0.2">
      <c r="A388" t="s">
        <v>326</v>
      </c>
      <c r="B388" s="2">
        <v>46.6</v>
      </c>
      <c r="C388">
        <v>0</v>
      </c>
      <c r="D388">
        <v>1</v>
      </c>
      <c r="E388">
        <v>0</v>
      </c>
      <c r="F388" s="12">
        <v>42856</v>
      </c>
      <c r="G388" t="s">
        <v>58</v>
      </c>
      <c r="H388" s="12">
        <v>42867</v>
      </c>
      <c r="I388" t="s">
        <v>53</v>
      </c>
      <c r="K388" s="28"/>
      <c r="L388" s="29"/>
    </row>
    <row r="389" spans="1:12" x14ac:dyDescent="0.2">
      <c r="A389" t="s">
        <v>327</v>
      </c>
      <c r="B389" s="2">
        <v>80</v>
      </c>
      <c r="C389">
        <v>0</v>
      </c>
      <c r="D389">
        <v>1</v>
      </c>
      <c r="E389">
        <v>0</v>
      </c>
      <c r="F389" s="12">
        <v>42856</v>
      </c>
      <c r="G389" t="s">
        <v>58</v>
      </c>
      <c r="H389" s="12">
        <v>42867</v>
      </c>
      <c r="I389" t="s">
        <v>53</v>
      </c>
      <c r="K389" s="28"/>
      <c r="L389" s="29"/>
    </row>
    <row r="390" spans="1:12" x14ac:dyDescent="0.2">
      <c r="A390" t="s">
        <v>76</v>
      </c>
      <c r="B390" s="2">
        <v>75.849999999999994</v>
      </c>
      <c r="C390">
        <v>0</v>
      </c>
      <c r="D390">
        <v>1</v>
      </c>
      <c r="E390">
        <v>0</v>
      </c>
      <c r="F390" s="12">
        <v>42856</v>
      </c>
      <c r="G390" t="s">
        <v>58</v>
      </c>
      <c r="H390" s="12">
        <v>42868</v>
      </c>
      <c r="I390" t="s">
        <v>76</v>
      </c>
      <c r="K390" s="28"/>
      <c r="L390" s="29"/>
    </row>
    <row r="391" spans="1:12" x14ac:dyDescent="0.2">
      <c r="A391" t="s">
        <v>55</v>
      </c>
      <c r="B391" s="2">
        <v>50</v>
      </c>
      <c r="C391">
        <v>0</v>
      </c>
      <c r="D391">
        <v>1</v>
      </c>
      <c r="E391">
        <v>0</v>
      </c>
      <c r="F391" s="12">
        <v>42856</v>
      </c>
      <c r="G391" t="s">
        <v>58</v>
      </c>
      <c r="H391" s="12">
        <v>42868</v>
      </c>
      <c r="I391" t="s">
        <v>53</v>
      </c>
      <c r="K391" s="28"/>
      <c r="L391" s="29"/>
    </row>
    <row r="392" spans="1:12" x14ac:dyDescent="0.2">
      <c r="A392" t="s">
        <v>328</v>
      </c>
      <c r="B392" s="2">
        <v>444.2</v>
      </c>
      <c r="C392">
        <v>0</v>
      </c>
      <c r="D392">
        <v>1</v>
      </c>
      <c r="E392">
        <v>0</v>
      </c>
      <c r="F392" s="12">
        <v>42856</v>
      </c>
      <c r="G392" t="s">
        <v>58</v>
      </c>
      <c r="H392" s="12">
        <v>42869</v>
      </c>
      <c r="I392" t="s">
        <v>138</v>
      </c>
      <c r="K392" s="28"/>
      <c r="L392" s="29"/>
    </row>
    <row r="393" spans="1:12" x14ac:dyDescent="0.2">
      <c r="A393" t="s">
        <v>57</v>
      </c>
      <c r="B393" s="2">
        <v>648.94000000000005</v>
      </c>
      <c r="C393">
        <v>1</v>
      </c>
      <c r="D393">
        <v>0</v>
      </c>
      <c r="E393">
        <v>0</v>
      </c>
      <c r="F393" s="12">
        <v>42856</v>
      </c>
      <c r="G393" t="s">
        <v>58</v>
      </c>
      <c r="H393" s="12">
        <v>42870</v>
      </c>
      <c r="I393" t="s">
        <v>59</v>
      </c>
      <c r="K393" s="28"/>
      <c r="L393" s="29"/>
    </row>
    <row r="394" spans="1:12" x14ac:dyDescent="0.2">
      <c r="A394" t="s">
        <v>42</v>
      </c>
      <c r="B394" s="2">
        <v>1491.32</v>
      </c>
      <c r="C394">
        <v>1</v>
      </c>
      <c r="D394">
        <v>0</v>
      </c>
      <c r="E394">
        <v>0</v>
      </c>
      <c r="F394" s="12">
        <v>42856</v>
      </c>
      <c r="G394" t="s">
        <v>58</v>
      </c>
      <c r="H394" s="12">
        <v>42870</v>
      </c>
      <c r="I394" t="s">
        <v>36</v>
      </c>
      <c r="K394" s="28"/>
      <c r="L394" s="29"/>
    </row>
    <row r="395" spans="1:12" x14ac:dyDescent="0.2">
      <c r="A395" t="s">
        <v>20</v>
      </c>
      <c r="B395" s="2">
        <f>SUMIFS([1]credito!$B$2:$B$130,[1]credito!$F$2:$F$130,F395,[1]credito!$G$2:$G$130,0)</f>
        <v>2079.7700000000004</v>
      </c>
      <c r="C395">
        <v>1</v>
      </c>
      <c r="D395">
        <v>0</v>
      </c>
      <c r="E395">
        <v>0</v>
      </c>
      <c r="F395" s="12">
        <v>42856</v>
      </c>
      <c r="G395" t="s">
        <v>58</v>
      </c>
      <c r="H395" s="12">
        <v>42870</v>
      </c>
      <c r="I395" t="s">
        <v>21</v>
      </c>
      <c r="K395" s="28"/>
      <c r="L395" s="29"/>
    </row>
    <row r="396" spans="1:12" x14ac:dyDescent="0.2">
      <c r="A396" t="s">
        <v>47</v>
      </c>
      <c r="B396" s="2">
        <v>158</v>
      </c>
      <c r="C396">
        <v>1</v>
      </c>
      <c r="D396">
        <v>0</v>
      </c>
      <c r="E396">
        <v>0</v>
      </c>
      <c r="F396" s="12">
        <v>42856</v>
      </c>
      <c r="G396" t="s">
        <v>58</v>
      </c>
      <c r="H396" s="12">
        <v>42870</v>
      </c>
      <c r="I396" t="s">
        <v>47</v>
      </c>
      <c r="K396" s="28"/>
      <c r="L396" s="29"/>
    </row>
    <row r="397" spans="1:12" x14ac:dyDescent="0.2">
      <c r="A397" t="s">
        <v>60</v>
      </c>
      <c r="B397" s="2">
        <v>50</v>
      </c>
      <c r="C397">
        <v>1</v>
      </c>
      <c r="D397">
        <v>0</v>
      </c>
      <c r="E397">
        <v>0</v>
      </c>
      <c r="F397" s="12">
        <v>42856</v>
      </c>
      <c r="G397" t="s">
        <v>58</v>
      </c>
      <c r="H397" s="12">
        <v>42870</v>
      </c>
      <c r="I397" t="s">
        <v>61</v>
      </c>
      <c r="K397" s="28"/>
      <c r="L397" s="29"/>
    </row>
    <row r="398" spans="1:12" x14ac:dyDescent="0.2">
      <c r="A398" t="s">
        <v>271</v>
      </c>
      <c r="B398" s="2">
        <v>470.66</v>
      </c>
      <c r="C398">
        <v>1</v>
      </c>
      <c r="D398">
        <v>0</v>
      </c>
      <c r="E398">
        <v>0</v>
      </c>
      <c r="F398" s="12">
        <v>42856</v>
      </c>
      <c r="G398" t="s">
        <v>58</v>
      </c>
      <c r="H398" s="12">
        <v>42870</v>
      </c>
      <c r="I398" t="s">
        <v>27</v>
      </c>
      <c r="K398" s="28"/>
      <c r="L398" s="29"/>
    </row>
    <row r="399" spans="1:12" x14ac:dyDescent="0.2">
      <c r="A399" t="s">
        <v>66</v>
      </c>
      <c r="B399" s="2">
        <v>17</v>
      </c>
      <c r="C399">
        <v>0</v>
      </c>
      <c r="D399">
        <v>1</v>
      </c>
      <c r="E399">
        <v>0</v>
      </c>
      <c r="F399" s="12">
        <v>42856</v>
      </c>
      <c r="G399" t="s">
        <v>58</v>
      </c>
      <c r="H399" s="12">
        <v>42870</v>
      </c>
      <c r="I399" t="s">
        <v>66</v>
      </c>
      <c r="K399" s="28"/>
      <c r="L399" s="29"/>
    </row>
    <row r="400" spans="1:12" x14ac:dyDescent="0.2">
      <c r="A400" t="s">
        <v>211</v>
      </c>
      <c r="B400" s="2">
        <v>2.97</v>
      </c>
      <c r="C400">
        <v>0</v>
      </c>
      <c r="D400">
        <v>1</v>
      </c>
      <c r="E400">
        <v>0</v>
      </c>
      <c r="F400" s="12">
        <v>42856</v>
      </c>
      <c r="G400" t="s">
        <v>58</v>
      </c>
      <c r="H400" s="12">
        <v>42870</v>
      </c>
      <c r="I400" t="s">
        <v>29</v>
      </c>
      <c r="K400" s="28"/>
      <c r="L400" s="29"/>
    </row>
    <row r="401" spans="1:12" x14ac:dyDescent="0.2">
      <c r="A401" t="s">
        <v>329</v>
      </c>
      <c r="B401" s="2">
        <v>500</v>
      </c>
      <c r="C401">
        <v>0</v>
      </c>
      <c r="D401">
        <v>1</v>
      </c>
      <c r="E401">
        <v>0</v>
      </c>
      <c r="F401" s="12">
        <v>42856</v>
      </c>
      <c r="G401" t="s">
        <v>58</v>
      </c>
      <c r="H401" s="12">
        <v>42870</v>
      </c>
      <c r="I401" t="s">
        <v>330</v>
      </c>
      <c r="K401" s="28"/>
      <c r="L401" s="29"/>
    </row>
    <row r="402" spans="1:12" x14ac:dyDescent="0.2">
      <c r="A402" t="s">
        <v>331</v>
      </c>
      <c r="B402" s="2">
        <v>28</v>
      </c>
      <c r="C402">
        <v>0</v>
      </c>
      <c r="D402">
        <v>1</v>
      </c>
      <c r="E402">
        <v>0</v>
      </c>
      <c r="F402" s="12">
        <v>42856</v>
      </c>
      <c r="G402" t="s">
        <v>58</v>
      </c>
      <c r="H402" s="12">
        <v>42870</v>
      </c>
      <c r="I402" t="s">
        <v>29</v>
      </c>
      <c r="K402" s="28"/>
      <c r="L402" s="29"/>
    </row>
    <row r="403" spans="1:12" x14ac:dyDescent="0.2">
      <c r="A403" t="s">
        <v>332</v>
      </c>
      <c r="B403" s="2">
        <v>5.99</v>
      </c>
      <c r="C403">
        <v>0</v>
      </c>
      <c r="D403">
        <v>1</v>
      </c>
      <c r="E403">
        <v>0</v>
      </c>
      <c r="F403" s="12">
        <v>42856</v>
      </c>
      <c r="G403" t="s">
        <v>58</v>
      </c>
      <c r="H403" s="12">
        <v>42871</v>
      </c>
      <c r="I403" t="s">
        <v>29</v>
      </c>
      <c r="K403" s="28"/>
      <c r="L403" s="29"/>
    </row>
    <row r="404" spans="1:12" x14ac:dyDescent="0.2">
      <c r="A404" t="s">
        <v>91</v>
      </c>
      <c r="B404" s="2">
        <v>8</v>
      </c>
      <c r="C404">
        <v>0</v>
      </c>
      <c r="D404">
        <v>1</v>
      </c>
      <c r="E404">
        <v>0</v>
      </c>
      <c r="F404" s="12">
        <v>42856</v>
      </c>
      <c r="G404" t="s">
        <v>58</v>
      </c>
      <c r="H404" s="12">
        <v>42871</v>
      </c>
      <c r="I404" t="s">
        <v>29</v>
      </c>
      <c r="K404" s="28"/>
      <c r="L404" s="29"/>
    </row>
    <row r="405" spans="1:12" x14ac:dyDescent="0.2">
      <c r="A405" t="s">
        <v>252</v>
      </c>
      <c r="B405" s="2">
        <v>250</v>
      </c>
      <c r="C405">
        <v>1</v>
      </c>
      <c r="D405">
        <v>0</v>
      </c>
      <c r="E405">
        <v>0</v>
      </c>
      <c r="F405" s="12">
        <v>42856</v>
      </c>
      <c r="G405" t="s">
        <v>58</v>
      </c>
      <c r="H405" s="12">
        <v>42871</v>
      </c>
      <c r="I405" t="s">
        <v>333</v>
      </c>
      <c r="K405" s="28"/>
      <c r="L405" s="29"/>
    </row>
    <row r="406" spans="1:12" x14ac:dyDescent="0.2">
      <c r="A406" t="s">
        <v>334</v>
      </c>
      <c r="B406" s="2">
        <v>18.98</v>
      </c>
      <c r="C406">
        <v>0</v>
      </c>
      <c r="D406">
        <v>1</v>
      </c>
      <c r="E406">
        <v>0</v>
      </c>
      <c r="F406" s="12">
        <v>42856</v>
      </c>
      <c r="G406" t="s">
        <v>58</v>
      </c>
      <c r="H406" s="12">
        <v>42872</v>
      </c>
      <c r="I406" t="s">
        <v>29</v>
      </c>
      <c r="K406" s="28"/>
      <c r="L406" s="29"/>
    </row>
    <row r="407" spans="1:12" x14ac:dyDescent="0.2">
      <c r="A407" t="s">
        <v>334</v>
      </c>
      <c r="B407" s="2">
        <v>8</v>
      </c>
      <c r="C407">
        <v>0</v>
      </c>
      <c r="D407">
        <v>1</v>
      </c>
      <c r="E407">
        <v>0</v>
      </c>
      <c r="F407" s="12">
        <v>42856</v>
      </c>
      <c r="G407" t="s">
        <v>58</v>
      </c>
      <c r="H407" s="12">
        <v>42872</v>
      </c>
      <c r="I407" t="s">
        <v>29</v>
      </c>
      <c r="K407" s="28"/>
      <c r="L407" s="29"/>
    </row>
    <row r="408" spans="1:12" x14ac:dyDescent="0.2">
      <c r="A408" t="s">
        <v>335</v>
      </c>
      <c r="B408" s="2">
        <v>189.8</v>
      </c>
      <c r="C408">
        <v>0</v>
      </c>
      <c r="D408">
        <v>1</v>
      </c>
      <c r="E408">
        <v>0</v>
      </c>
      <c r="F408" s="12">
        <v>42856</v>
      </c>
      <c r="G408" t="s">
        <v>58</v>
      </c>
      <c r="H408" s="12">
        <v>42873</v>
      </c>
      <c r="I408" t="s">
        <v>53</v>
      </c>
      <c r="K408" s="28"/>
      <c r="L408" s="29"/>
    </row>
    <row r="409" spans="1:12" x14ac:dyDescent="0.2">
      <c r="A409" t="s">
        <v>336</v>
      </c>
      <c r="B409" s="2">
        <v>29.9</v>
      </c>
      <c r="C409">
        <v>0</v>
      </c>
      <c r="D409">
        <v>1</v>
      </c>
      <c r="E409">
        <v>0</v>
      </c>
      <c r="F409" s="12">
        <v>42856</v>
      </c>
      <c r="G409" t="s">
        <v>58</v>
      </c>
      <c r="H409" s="12">
        <v>42874</v>
      </c>
      <c r="I409" t="s">
        <v>29</v>
      </c>
      <c r="K409" s="28"/>
      <c r="L409" s="29"/>
    </row>
    <row r="410" spans="1:12" x14ac:dyDescent="0.2">
      <c r="A410" t="s">
        <v>50</v>
      </c>
      <c r="B410" s="2">
        <v>4</v>
      </c>
      <c r="C410">
        <v>0</v>
      </c>
      <c r="D410">
        <v>1</v>
      </c>
      <c r="E410">
        <v>0</v>
      </c>
      <c r="F410" s="12">
        <v>42856</v>
      </c>
      <c r="G410" t="s">
        <v>58</v>
      </c>
      <c r="H410" s="12">
        <v>42874</v>
      </c>
      <c r="I410" t="s">
        <v>29</v>
      </c>
      <c r="K410" s="28"/>
      <c r="L410" s="29"/>
    </row>
    <row r="411" spans="1:12" x14ac:dyDescent="0.2">
      <c r="A411" t="s">
        <v>263</v>
      </c>
      <c r="B411" s="2">
        <v>22.51</v>
      </c>
      <c r="C411">
        <v>0</v>
      </c>
      <c r="D411">
        <v>1</v>
      </c>
      <c r="E411">
        <v>0</v>
      </c>
      <c r="F411" s="12">
        <v>42856</v>
      </c>
      <c r="G411" t="s">
        <v>58</v>
      </c>
      <c r="H411" s="12">
        <v>42875</v>
      </c>
      <c r="I411" t="s">
        <v>66</v>
      </c>
      <c r="K411" s="28"/>
      <c r="L411" s="29"/>
    </row>
    <row r="412" spans="1:12" x14ac:dyDescent="0.2">
      <c r="A412" t="s">
        <v>69</v>
      </c>
      <c r="B412" s="2">
        <v>3.9</v>
      </c>
      <c r="C412">
        <v>0</v>
      </c>
      <c r="D412">
        <v>1</v>
      </c>
      <c r="E412">
        <v>0</v>
      </c>
      <c r="F412" s="12">
        <v>42856</v>
      </c>
      <c r="G412" t="s">
        <v>58</v>
      </c>
      <c r="H412" s="12">
        <v>42875</v>
      </c>
      <c r="I412" t="s">
        <v>29</v>
      </c>
      <c r="K412" s="28"/>
      <c r="L412" s="29"/>
    </row>
    <row r="413" spans="1:12" x14ac:dyDescent="0.2">
      <c r="A413" t="s">
        <v>263</v>
      </c>
      <c r="B413" s="2">
        <v>22.72</v>
      </c>
      <c r="C413">
        <v>0</v>
      </c>
      <c r="D413">
        <v>1</v>
      </c>
      <c r="E413">
        <v>0</v>
      </c>
      <c r="F413" s="12">
        <v>42856</v>
      </c>
      <c r="G413" t="s">
        <v>58</v>
      </c>
      <c r="H413" s="12">
        <v>42876</v>
      </c>
      <c r="I413" t="s">
        <v>66</v>
      </c>
      <c r="K413" s="28"/>
      <c r="L413" s="29"/>
    </row>
    <row r="414" spans="1:12" x14ac:dyDescent="0.2">
      <c r="A414" t="s">
        <v>337</v>
      </c>
      <c r="B414" s="2">
        <v>17.38</v>
      </c>
      <c r="C414">
        <v>0</v>
      </c>
      <c r="D414">
        <v>1</v>
      </c>
      <c r="E414">
        <v>0</v>
      </c>
      <c r="F414" s="12">
        <v>42856</v>
      </c>
      <c r="G414" t="s">
        <v>58</v>
      </c>
      <c r="H414" s="12">
        <v>42876</v>
      </c>
      <c r="I414" t="s">
        <v>98</v>
      </c>
      <c r="K414" s="28"/>
      <c r="L414" s="29"/>
    </row>
    <row r="415" spans="1:12" x14ac:dyDescent="0.2">
      <c r="A415" t="s">
        <v>40</v>
      </c>
      <c r="B415" s="2">
        <v>33</v>
      </c>
      <c r="C415">
        <v>0</v>
      </c>
      <c r="D415">
        <v>1</v>
      </c>
      <c r="E415">
        <v>0</v>
      </c>
      <c r="F415" s="12">
        <v>42856</v>
      </c>
      <c r="G415" t="s">
        <v>58</v>
      </c>
      <c r="H415" s="12">
        <v>42876</v>
      </c>
      <c r="I415" t="s">
        <v>27</v>
      </c>
      <c r="K415" s="28"/>
      <c r="L415" s="29"/>
    </row>
    <row r="416" spans="1:12" x14ac:dyDescent="0.2">
      <c r="A416" t="s">
        <v>338</v>
      </c>
      <c r="B416" s="2">
        <v>11.2</v>
      </c>
      <c r="C416">
        <v>0</v>
      </c>
      <c r="D416">
        <v>1</v>
      </c>
      <c r="E416">
        <v>0</v>
      </c>
      <c r="F416" s="12">
        <v>42856</v>
      </c>
      <c r="G416" t="s">
        <v>58</v>
      </c>
      <c r="H416" s="12">
        <v>42876</v>
      </c>
      <c r="I416" t="s">
        <v>29</v>
      </c>
      <c r="K416" s="28"/>
      <c r="L416" s="29"/>
    </row>
    <row r="417" spans="1:12" x14ac:dyDescent="0.2">
      <c r="A417" t="s">
        <v>23</v>
      </c>
      <c r="B417" s="2">
        <v>76.81</v>
      </c>
      <c r="C417">
        <v>0</v>
      </c>
      <c r="D417">
        <v>1</v>
      </c>
      <c r="E417">
        <v>0</v>
      </c>
      <c r="F417" s="12">
        <v>42856</v>
      </c>
      <c r="G417" t="s">
        <v>58</v>
      </c>
      <c r="H417" s="12">
        <v>42876</v>
      </c>
      <c r="I417" t="s">
        <v>23</v>
      </c>
      <c r="K417" s="28"/>
      <c r="L417" s="29"/>
    </row>
    <row r="418" spans="1:12" x14ac:dyDescent="0.2">
      <c r="A418" t="s">
        <v>55</v>
      </c>
      <c r="B418" s="2">
        <v>30</v>
      </c>
      <c r="C418">
        <v>0</v>
      </c>
      <c r="D418">
        <v>1</v>
      </c>
      <c r="E418">
        <v>0</v>
      </c>
      <c r="F418" s="12">
        <v>42856</v>
      </c>
      <c r="G418" t="s">
        <v>71</v>
      </c>
      <c r="H418" s="12">
        <v>42877</v>
      </c>
      <c r="I418" t="s">
        <v>53</v>
      </c>
      <c r="K418" s="28"/>
      <c r="L418" s="29"/>
    </row>
    <row r="419" spans="1:12" x14ac:dyDescent="0.2">
      <c r="A419" t="s">
        <v>339</v>
      </c>
      <c r="B419" s="2">
        <v>15</v>
      </c>
      <c r="C419">
        <v>0</v>
      </c>
      <c r="D419">
        <v>1</v>
      </c>
      <c r="E419">
        <v>0</v>
      </c>
      <c r="F419" s="12">
        <v>42856</v>
      </c>
      <c r="G419" t="s">
        <v>71</v>
      </c>
      <c r="H419" s="12">
        <v>42877</v>
      </c>
      <c r="I419" t="s">
        <v>138</v>
      </c>
      <c r="K419" s="28"/>
      <c r="L419" s="29"/>
    </row>
    <row r="420" spans="1:12" x14ac:dyDescent="0.2">
      <c r="A420" t="s">
        <v>64</v>
      </c>
      <c r="B420" s="2">
        <v>5</v>
      </c>
      <c r="C420">
        <v>0</v>
      </c>
      <c r="D420">
        <v>1</v>
      </c>
      <c r="E420">
        <v>0</v>
      </c>
      <c r="F420" s="12">
        <v>42856</v>
      </c>
      <c r="G420" t="s">
        <v>71</v>
      </c>
      <c r="H420" s="12">
        <v>42877</v>
      </c>
      <c r="I420" t="s">
        <v>64</v>
      </c>
      <c r="K420" s="28"/>
      <c r="L420" s="29"/>
    </row>
    <row r="421" spans="1:12" x14ac:dyDescent="0.2">
      <c r="A421" t="s">
        <v>338</v>
      </c>
      <c r="B421" s="2">
        <v>39</v>
      </c>
      <c r="C421">
        <v>0</v>
      </c>
      <c r="D421">
        <v>1</v>
      </c>
      <c r="E421">
        <v>0</v>
      </c>
      <c r="F421" s="12">
        <v>42856</v>
      </c>
      <c r="G421" t="s">
        <v>71</v>
      </c>
      <c r="H421" s="12">
        <v>42877</v>
      </c>
      <c r="I421" t="s">
        <v>29</v>
      </c>
      <c r="K421" s="28"/>
      <c r="L421" s="29"/>
    </row>
    <row r="422" spans="1:12" x14ac:dyDescent="0.2">
      <c r="A422" t="s">
        <v>77</v>
      </c>
      <c r="B422" s="2">
        <v>5</v>
      </c>
      <c r="C422">
        <v>0</v>
      </c>
      <c r="D422">
        <v>1</v>
      </c>
      <c r="E422">
        <v>0</v>
      </c>
      <c r="F422" s="12">
        <v>42856</v>
      </c>
      <c r="G422" t="s">
        <v>71</v>
      </c>
      <c r="H422" s="12">
        <v>42877</v>
      </c>
      <c r="I422" t="s">
        <v>29</v>
      </c>
      <c r="K422" s="28"/>
      <c r="L422" s="29"/>
    </row>
    <row r="423" spans="1:12" x14ac:dyDescent="0.2">
      <c r="A423" t="s">
        <v>340</v>
      </c>
      <c r="B423" s="2">
        <v>10</v>
      </c>
      <c r="C423">
        <v>0</v>
      </c>
      <c r="D423">
        <v>1</v>
      </c>
      <c r="E423">
        <v>0</v>
      </c>
      <c r="F423" s="12">
        <v>42856</v>
      </c>
      <c r="G423" t="s">
        <v>71</v>
      </c>
      <c r="H423" s="12">
        <v>42877</v>
      </c>
      <c r="I423" t="s">
        <v>29</v>
      </c>
      <c r="K423" s="28"/>
      <c r="L423" s="29"/>
    </row>
    <row r="424" spans="1:12" x14ac:dyDescent="0.2">
      <c r="A424" t="s">
        <v>317</v>
      </c>
      <c r="B424" s="2">
        <v>5</v>
      </c>
      <c r="C424">
        <v>0</v>
      </c>
      <c r="D424">
        <v>1</v>
      </c>
      <c r="E424">
        <v>0</v>
      </c>
      <c r="F424" s="12">
        <v>42856</v>
      </c>
      <c r="G424" t="s">
        <v>71</v>
      </c>
      <c r="H424" s="12">
        <v>42878</v>
      </c>
      <c r="I424" t="s">
        <v>29</v>
      </c>
      <c r="K424" s="28"/>
      <c r="L424" s="29"/>
    </row>
    <row r="425" spans="1:12" x14ac:dyDescent="0.2">
      <c r="A425" t="s">
        <v>40</v>
      </c>
      <c r="B425" s="2">
        <v>25</v>
      </c>
      <c r="C425">
        <v>0</v>
      </c>
      <c r="D425">
        <v>1</v>
      </c>
      <c r="E425">
        <v>0</v>
      </c>
      <c r="F425" s="12">
        <v>42856</v>
      </c>
      <c r="G425" t="s">
        <v>71</v>
      </c>
      <c r="H425" s="12">
        <v>42878</v>
      </c>
      <c r="I425" t="s">
        <v>27</v>
      </c>
      <c r="K425" s="28"/>
      <c r="L425" s="29"/>
    </row>
    <row r="426" spans="1:12" x14ac:dyDescent="0.2">
      <c r="A426" t="s">
        <v>77</v>
      </c>
      <c r="B426" s="2">
        <v>4</v>
      </c>
      <c r="C426">
        <v>0</v>
      </c>
      <c r="D426">
        <v>1</v>
      </c>
      <c r="E426">
        <v>0</v>
      </c>
      <c r="F426" s="12">
        <v>42856</v>
      </c>
      <c r="G426" t="s">
        <v>71</v>
      </c>
      <c r="H426" s="12">
        <v>42878</v>
      </c>
      <c r="I426" t="s">
        <v>29</v>
      </c>
      <c r="K426" s="28"/>
      <c r="L426" s="29"/>
    </row>
    <row r="427" spans="1:12" x14ac:dyDescent="0.2">
      <c r="A427" t="s">
        <v>98</v>
      </c>
      <c r="B427" s="2">
        <v>41.41</v>
      </c>
      <c r="C427">
        <v>0</v>
      </c>
      <c r="D427">
        <v>1</v>
      </c>
      <c r="E427">
        <v>0</v>
      </c>
      <c r="F427" s="12">
        <v>42856</v>
      </c>
      <c r="G427" t="s">
        <v>71</v>
      </c>
      <c r="H427" s="12">
        <v>42878</v>
      </c>
      <c r="I427" t="s">
        <v>98</v>
      </c>
      <c r="K427" s="28"/>
      <c r="L427" s="29"/>
    </row>
    <row r="428" spans="1:12" x14ac:dyDescent="0.2">
      <c r="A428" t="s">
        <v>50</v>
      </c>
      <c r="B428" s="2">
        <v>2.99</v>
      </c>
      <c r="C428">
        <v>0</v>
      </c>
      <c r="D428">
        <v>1</v>
      </c>
      <c r="E428">
        <v>0</v>
      </c>
      <c r="F428" s="12">
        <v>42856</v>
      </c>
      <c r="G428" t="s">
        <v>71</v>
      </c>
      <c r="H428" s="12">
        <v>42879</v>
      </c>
      <c r="I428" t="s">
        <v>29</v>
      </c>
      <c r="K428" s="28"/>
      <c r="L428" s="29"/>
    </row>
    <row r="429" spans="1:12" x14ac:dyDescent="0.2">
      <c r="A429" t="s">
        <v>77</v>
      </c>
      <c r="B429" s="2">
        <v>4</v>
      </c>
      <c r="C429">
        <v>0</v>
      </c>
      <c r="D429">
        <v>1</v>
      </c>
      <c r="E429">
        <v>0</v>
      </c>
      <c r="F429" s="12">
        <v>42856</v>
      </c>
      <c r="G429" t="s">
        <v>71</v>
      </c>
      <c r="H429" s="12">
        <v>42879</v>
      </c>
      <c r="I429" t="s">
        <v>29</v>
      </c>
      <c r="K429" s="28"/>
      <c r="L429" s="29"/>
    </row>
    <row r="430" spans="1:12" x14ac:dyDescent="0.2">
      <c r="A430" t="s">
        <v>341</v>
      </c>
      <c r="B430" s="2">
        <v>4</v>
      </c>
      <c r="C430">
        <v>0</v>
      </c>
      <c r="D430">
        <v>1</v>
      </c>
      <c r="E430">
        <v>0</v>
      </c>
      <c r="F430" s="12">
        <v>42856</v>
      </c>
      <c r="G430" t="s">
        <v>71</v>
      </c>
      <c r="H430" s="12">
        <v>42879</v>
      </c>
      <c r="I430" t="s">
        <v>29</v>
      </c>
      <c r="K430" s="28"/>
      <c r="L430" s="29"/>
    </row>
    <row r="431" spans="1:12" x14ac:dyDescent="0.2">
      <c r="A431" t="s">
        <v>91</v>
      </c>
      <c r="B431" s="2">
        <v>16</v>
      </c>
      <c r="C431">
        <v>0</v>
      </c>
      <c r="D431">
        <v>1</v>
      </c>
      <c r="E431">
        <v>0</v>
      </c>
      <c r="F431" s="12">
        <v>42856</v>
      </c>
      <c r="G431" t="s">
        <v>71</v>
      </c>
      <c r="H431" s="12">
        <v>42879</v>
      </c>
      <c r="I431" t="s">
        <v>29</v>
      </c>
      <c r="K431" s="28"/>
      <c r="L431" s="29"/>
    </row>
    <row r="432" spans="1:12" x14ac:dyDescent="0.2">
      <c r="A432" t="s">
        <v>342</v>
      </c>
      <c r="B432" s="2">
        <v>12.85</v>
      </c>
      <c r="C432">
        <v>0</v>
      </c>
      <c r="D432">
        <v>1</v>
      </c>
      <c r="E432">
        <v>0</v>
      </c>
      <c r="F432" s="12">
        <v>42856</v>
      </c>
      <c r="G432" t="s">
        <v>71</v>
      </c>
      <c r="H432" s="12">
        <v>42879</v>
      </c>
      <c r="I432" t="s">
        <v>29</v>
      </c>
      <c r="K432" s="28"/>
      <c r="L432" s="29"/>
    </row>
    <row r="433" spans="1:12" x14ac:dyDescent="0.2">
      <c r="A433" t="s">
        <v>49</v>
      </c>
      <c r="B433" s="2">
        <v>10</v>
      </c>
      <c r="C433">
        <v>0</v>
      </c>
      <c r="D433">
        <v>1</v>
      </c>
      <c r="E433">
        <v>0</v>
      </c>
      <c r="F433" s="12">
        <v>42856</v>
      </c>
      <c r="G433" t="s">
        <v>71</v>
      </c>
      <c r="H433" s="12">
        <v>42879</v>
      </c>
      <c r="I433" t="s">
        <v>29</v>
      </c>
      <c r="K433" s="28"/>
      <c r="L433" s="29"/>
    </row>
    <row r="434" spans="1:12" x14ac:dyDescent="0.2">
      <c r="A434" t="s">
        <v>70</v>
      </c>
      <c r="B434" s="2">
        <v>21.41</v>
      </c>
      <c r="C434">
        <v>1</v>
      </c>
      <c r="D434">
        <v>0</v>
      </c>
      <c r="E434">
        <v>0</v>
      </c>
      <c r="F434" s="12">
        <v>42856</v>
      </c>
      <c r="G434" t="s">
        <v>71</v>
      </c>
      <c r="H434" s="12">
        <v>42880</v>
      </c>
      <c r="I434" t="s">
        <v>36</v>
      </c>
      <c r="K434" s="28"/>
      <c r="L434" s="29"/>
    </row>
    <row r="435" spans="1:12" x14ac:dyDescent="0.2">
      <c r="A435" t="s">
        <v>343</v>
      </c>
      <c r="B435" s="2">
        <v>30</v>
      </c>
      <c r="C435">
        <v>0</v>
      </c>
      <c r="D435">
        <v>1</v>
      </c>
      <c r="E435">
        <v>0</v>
      </c>
      <c r="F435" s="12">
        <v>42856</v>
      </c>
      <c r="G435" t="s">
        <v>71</v>
      </c>
      <c r="H435" s="12">
        <v>42880</v>
      </c>
      <c r="I435" t="s">
        <v>138</v>
      </c>
      <c r="K435" s="28"/>
      <c r="L435" s="29"/>
    </row>
    <row r="436" spans="1:12" x14ac:dyDescent="0.2">
      <c r="A436" t="s">
        <v>64</v>
      </c>
      <c r="B436" s="2">
        <v>5</v>
      </c>
      <c r="C436">
        <v>0</v>
      </c>
      <c r="D436">
        <v>1</v>
      </c>
      <c r="E436">
        <v>0</v>
      </c>
      <c r="F436" s="12">
        <v>42856</v>
      </c>
      <c r="G436" t="s">
        <v>71</v>
      </c>
      <c r="H436" s="12">
        <v>42880</v>
      </c>
      <c r="I436" t="s">
        <v>64</v>
      </c>
      <c r="K436" s="28"/>
      <c r="L436" s="29"/>
    </row>
    <row r="437" spans="1:12" x14ac:dyDescent="0.2">
      <c r="A437" t="s">
        <v>66</v>
      </c>
      <c r="B437" s="2">
        <v>14.8</v>
      </c>
      <c r="C437">
        <v>0</v>
      </c>
      <c r="D437">
        <v>1</v>
      </c>
      <c r="E437">
        <v>0</v>
      </c>
      <c r="F437" s="12">
        <v>42856</v>
      </c>
      <c r="G437" t="s">
        <v>71</v>
      </c>
      <c r="H437" s="12">
        <v>42882</v>
      </c>
      <c r="I437" t="s">
        <v>66</v>
      </c>
      <c r="K437" s="28"/>
      <c r="L437" s="29"/>
    </row>
    <row r="438" spans="1:12" x14ac:dyDescent="0.2">
      <c r="A438" t="s">
        <v>66</v>
      </c>
      <c r="B438" s="2">
        <v>16.77</v>
      </c>
      <c r="C438">
        <v>0</v>
      </c>
      <c r="D438">
        <v>1</v>
      </c>
      <c r="E438">
        <v>0</v>
      </c>
      <c r="F438" s="12">
        <v>42856</v>
      </c>
      <c r="G438" t="s">
        <v>71</v>
      </c>
      <c r="H438" s="12">
        <v>42883</v>
      </c>
      <c r="I438" t="s">
        <v>66</v>
      </c>
    </row>
    <row r="439" spans="1:12" x14ac:dyDescent="0.2">
      <c r="A439" t="s">
        <v>66</v>
      </c>
      <c r="B439" s="2">
        <v>29.37</v>
      </c>
      <c r="C439">
        <v>0</v>
      </c>
      <c r="D439">
        <v>1</v>
      </c>
      <c r="E439">
        <v>0</v>
      </c>
      <c r="F439" s="12">
        <v>42856</v>
      </c>
      <c r="G439" t="s">
        <v>71</v>
      </c>
      <c r="H439" s="12">
        <v>42883</v>
      </c>
      <c r="I439" t="s">
        <v>66</v>
      </c>
    </row>
    <row r="440" spans="1:12" x14ac:dyDescent="0.2">
      <c r="A440" t="s">
        <v>41</v>
      </c>
      <c r="B440" s="2">
        <v>50</v>
      </c>
      <c r="C440">
        <v>0</v>
      </c>
      <c r="D440">
        <v>1</v>
      </c>
      <c r="E440">
        <v>0</v>
      </c>
      <c r="F440" s="12">
        <v>42856</v>
      </c>
      <c r="G440" t="s">
        <v>71</v>
      </c>
      <c r="H440" s="12">
        <v>42883</v>
      </c>
      <c r="I440" t="s">
        <v>41</v>
      </c>
    </row>
    <row r="441" spans="1:12" x14ac:dyDescent="0.2">
      <c r="A441" t="s">
        <v>49</v>
      </c>
      <c r="B441" s="2">
        <v>4</v>
      </c>
      <c r="C441">
        <v>0</v>
      </c>
      <c r="D441">
        <v>1</v>
      </c>
      <c r="E441">
        <v>0</v>
      </c>
      <c r="F441" s="12">
        <v>42856</v>
      </c>
      <c r="G441" t="s">
        <v>80</v>
      </c>
      <c r="H441" s="12">
        <v>42884</v>
      </c>
      <c r="I441" t="s">
        <v>29</v>
      </c>
    </row>
    <row r="442" spans="1:12" x14ac:dyDescent="0.2">
      <c r="A442" t="s">
        <v>79</v>
      </c>
      <c r="B442" s="2">
        <v>9</v>
      </c>
      <c r="C442">
        <v>0</v>
      </c>
      <c r="D442">
        <v>1</v>
      </c>
      <c r="E442">
        <v>0</v>
      </c>
      <c r="F442" s="12">
        <v>42856</v>
      </c>
      <c r="G442" t="s">
        <v>80</v>
      </c>
      <c r="H442" s="12">
        <v>42884</v>
      </c>
      <c r="I442" t="s">
        <v>29</v>
      </c>
    </row>
    <row r="443" spans="1:12" x14ac:dyDescent="0.2">
      <c r="A443" t="s">
        <v>50</v>
      </c>
      <c r="B443" s="2">
        <v>8</v>
      </c>
      <c r="C443">
        <v>0</v>
      </c>
      <c r="D443">
        <v>1</v>
      </c>
      <c r="E443">
        <v>0</v>
      </c>
      <c r="F443" s="12">
        <v>42856</v>
      </c>
      <c r="G443" t="s">
        <v>80</v>
      </c>
      <c r="H443" s="12">
        <v>42884</v>
      </c>
      <c r="I443" t="s">
        <v>29</v>
      </c>
    </row>
    <row r="444" spans="1:12" x14ac:dyDescent="0.2">
      <c r="A444" t="s">
        <v>49</v>
      </c>
      <c r="B444" s="2">
        <v>7.73</v>
      </c>
      <c r="C444">
        <v>0</v>
      </c>
      <c r="D444">
        <v>1</v>
      </c>
      <c r="E444">
        <v>0</v>
      </c>
      <c r="F444" s="12">
        <v>42856</v>
      </c>
      <c r="G444" t="s">
        <v>80</v>
      </c>
      <c r="H444" s="12">
        <v>42884</v>
      </c>
      <c r="I444" t="s">
        <v>29</v>
      </c>
    </row>
    <row r="445" spans="1:12" x14ac:dyDescent="0.2">
      <c r="A445" t="s">
        <v>344</v>
      </c>
      <c r="B445" s="2">
        <v>130.06</v>
      </c>
      <c r="C445">
        <v>1</v>
      </c>
      <c r="D445">
        <v>0</v>
      </c>
      <c r="E445">
        <v>0</v>
      </c>
      <c r="F445" s="12">
        <v>42856</v>
      </c>
      <c r="G445" t="s">
        <v>80</v>
      </c>
      <c r="H445" s="12">
        <v>42885</v>
      </c>
      <c r="I445" t="s">
        <v>47</v>
      </c>
    </row>
    <row r="446" spans="1:12" x14ac:dyDescent="0.2">
      <c r="A446" t="s">
        <v>317</v>
      </c>
      <c r="B446" s="2">
        <v>8.5</v>
      </c>
      <c r="C446">
        <v>0</v>
      </c>
      <c r="D446">
        <v>1</v>
      </c>
      <c r="E446">
        <v>0</v>
      </c>
      <c r="F446" s="12">
        <v>42856</v>
      </c>
      <c r="G446" t="s">
        <v>80</v>
      </c>
      <c r="H446" s="12">
        <v>42885</v>
      </c>
      <c r="I446" t="s">
        <v>29</v>
      </c>
    </row>
    <row r="447" spans="1:12" x14ac:dyDescent="0.2">
      <c r="A447" t="s">
        <v>345</v>
      </c>
      <c r="B447" s="2">
        <v>8.25</v>
      </c>
      <c r="C447">
        <v>0</v>
      </c>
      <c r="D447">
        <v>1</v>
      </c>
      <c r="E447">
        <v>0</v>
      </c>
      <c r="F447" s="12">
        <v>42856</v>
      </c>
      <c r="G447" t="s">
        <v>80</v>
      </c>
      <c r="H447" s="12">
        <v>42885</v>
      </c>
      <c r="I447" t="s">
        <v>29</v>
      </c>
    </row>
    <row r="448" spans="1:12" x14ac:dyDescent="0.2">
      <c r="A448" t="s">
        <v>95</v>
      </c>
      <c r="B448" s="2">
        <v>12.54</v>
      </c>
      <c r="C448">
        <v>0</v>
      </c>
      <c r="D448">
        <v>1</v>
      </c>
      <c r="E448">
        <v>0</v>
      </c>
      <c r="F448" s="12">
        <v>42856</v>
      </c>
      <c r="G448" t="s">
        <v>80</v>
      </c>
      <c r="H448" s="12">
        <v>42885</v>
      </c>
      <c r="I448" t="s">
        <v>23</v>
      </c>
    </row>
    <row r="449" spans="1:9" x14ac:dyDescent="0.2">
      <c r="A449" t="s">
        <v>346</v>
      </c>
      <c r="B449" s="2">
        <v>153.16</v>
      </c>
      <c r="C449">
        <v>1</v>
      </c>
      <c r="D449">
        <v>0</v>
      </c>
      <c r="E449">
        <v>0</v>
      </c>
      <c r="F449" s="12">
        <v>42856</v>
      </c>
      <c r="G449" t="s">
        <v>80</v>
      </c>
      <c r="H449" s="12">
        <v>42885</v>
      </c>
      <c r="I449" t="s">
        <v>346</v>
      </c>
    </row>
    <row r="450" spans="1:9" x14ac:dyDescent="0.2">
      <c r="A450" s="4" t="s">
        <v>24</v>
      </c>
      <c r="B450" s="5">
        <v>68.95</v>
      </c>
      <c r="C450" s="4">
        <v>1</v>
      </c>
      <c r="D450" s="4">
        <v>0</v>
      </c>
      <c r="E450" s="4">
        <v>0</v>
      </c>
      <c r="F450" s="13">
        <v>42887</v>
      </c>
      <c r="G450" s="4" t="s">
        <v>10</v>
      </c>
      <c r="H450" s="13">
        <v>42888</v>
      </c>
      <c r="I450" s="4" t="s">
        <v>25</v>
      </c>
    </row>
    <row r="451" spans="1:9" x14ac:dyDescent="0.2">
      <c r="A451" s="4" t="s">
        <v>35</v>
      </c>
      <c r="B451" s="5">
        <v>376.29</v>
      </c>
      <c r="C451" s="4">
        <v>1</v>
      </c>
      <c r="D451" s="4">
        <v>0</v>
      </c>
      <c r="E451" s="4">
        <v>0</v>
      </c>
      <c r="F451" s="13">
        <v>42887</v>
      </c>
      <c r="G451" s="4" t="s">
        <v>43</v>
      </c>
      <c r="H451" s="13">
        <v>42894</v>
      </c>
      <c r="I451" s="4" t="s">
        <v>36</v>
      </c>
    </row>
    <row r="452" spans="1:9" x14ac:dyDescent="0.2">
      <c r="A452" s="4" t="s">
        <v>39</v>
      </c>
      <c r="B452" s="5">
        <v>142.99</v>
      </c>
      <c r="C452" s="4">
        <v>1</v>
      </c>
      <c r="D452" s="4">
        <v>0</v>
      </c>
      <c r="E452" s="4">
        <v>0</v>
      </c>
      <c r="F452" s="13">
        <v>42887</v>
      </c>
      <c r="G452" s="4" t="s">
        <v>58</v>
      </c>
      <c r="H452" s="13">
        <v>42898</v>
      </c>
      <c r="I452" s="4" t="s">
        <v>36</v>
      </c>
    </row>
    <row r="453" spans="1:9" x14ac:dyDescent="0.2">
      <c r="A453" s="4" t="s">
        <v>46</v>
      </c>
      <c r="B453" s="5">
        <v>45.13</v>
      </c>
      <c r="C453" s="4">
        <v>1</v>
      </c>
      <c r="D453" s="4">
        <v>0</v>
      </c>
      <c r="E453" s="4">
        <v>0</v>
      </c>
      <c r="F453" s="13">
        <v>42887</v>
      </c>
      <c r="G453" s="4" t="s">
        <v>58</v>
      </c>
      <c r="H453" s="13">
        <v>42898</v>
      </c>
      <c r="I453" s="4" t="s">
        <v>25</v>
      </c>
    </row>
    <row r="454" spans="1:9" x14ac:dyDescent="0.2">
      <c r="A454" s="4" t="s">
        <v>20</v>
      </c>
      <c r="B454" s="5">
        <f>SUMIFS([1]credito!$B$2:$B$130,[1]credito!$F$2:$F$130,F454,[1]credito!$G$2:$G$130,0)</f>
        <v>3490.0699999999997</v>
      </c>
      <c r="C454" s="4">
        <v>1</v>
      </c>
      <c r="D454" s="4">
        <v>0</v>
      </c>
      <c r="E454" s="4">
        <v>0</v>
      </c>
      <c r="F454" s="13">
        <v>42887</v>
      </c>
      <c r="G454" s="4" t="s">
        <v>58</v>
      </c>
      <c r="H454" s="13">
        <v>42901</v>
      </c>
      <c r="I454" s="4" t="s">
        <v>21</v>
      </c>
    </row>
    <row r="455" spans="1:9" x14ac:dyDescent="0.2">
      <c r="A455" s="4" t="s">
        <v>57</v>
      </c>
      <c r="B455" s="5">
        <v>668.42</v>
      </c>
      <c r="C455" s="4">
        <v>1</v>
      </c>
      <c r="D455" s="4">
        <v>0</v>
      </c>
      <c r="E455" s="4">
        <v>0</v>
      </c>
      <c r="F455" s="13">
        <v>42887</v>
      </c>
      <c r="G455" s="4" t="s">
        <v>58</v>
      </c>
      <c r="H455" s="13">
        <v>42902</v>
      </c>
      <c r="I455" s="4" t="s">
        <v>59</v>
      </c>
    </row>
    <row r="456" spans="1:9" x14ac:dyDescent="0.2">
      <c r="A456" s="4" t="s">
        <v>47</v>
      </c>
      <c r="B456" s="5">
        <v>158</v>
      </c>
      <c r="C456" s="4">
        <v>1</v>
      </c>
      <c r="D456" s="4">
        <v>0</v>
      </c>
      <c r="E456" s="4">
        <v>0</v>
      </c>
      <c r="F456" s="13">
        <v>42887</v>
      </c>
      <c r="G456" s="4" t="s">
        <v>71</v>
      </c>
      <c r="H456" s="13">
        <v>42905</v>
      </c>
      <c r="I456" s="4" t="s">
        <v>47</v>
      </c>
    </row>
    <row r="457" spans="1:9" x14ac:dyDescent="0.2">
      <c r="A457" s="4" t="s">
        <v>33</v>
      </c>
      <c r="B457" s="5">
        <v>300</v>
      </c>
      <c r="C457" s="4">
        <v>1</v>
      </c>
      <c r="D457" s="4">
        <v>0</v>
      </c>
      <c r="E457" s="4">
        <v>0</v>
      </c>
      <c r="F457" s="13">
        <v>42887</v>
      </c>
      <c r="G457" s="4" t="s">
        <v>10</v>
      </c>
      <c r="H457" s="13">
        <v>42888</v>
      </c>
      <c r="I457" s="4" t="s">
        <v>34</v>
      </c>
    </row>
    <row r="458" spans="1:9" x14ac:dyDescent="0.2">
      <c r="A458" s="4" t="s">
        <v>70</v>
      </c>
      <c r="B458" s="5">
        <v>46.27</v>
      </c>
      <c r="C458" s="4">
        <v>1</v>
      </c>
      <c r="D458" s="4">
        <v>0</v>
      </c>
      <c r="E458" s="4">
        <v>0</v>
      </c>
      <c r="F458" s="13">
        <v>42887</v>
      </c>
      <c r="G458" s="4" t="s">
        <v>71</v>
      </c>
      <c r="H458" s="13">
        <v>42907</v>
      </c>
      <c r="I458" s="4" t="s">
        <v>36</v>
      </c>
    </row>
    <row r="459" spans="1:9" x14ac:dyDescent="0.2">
      <c r="A459" s="4" t="s">
        <v>48</v>
      </c>
      <c r="B459" s="5">
        <v>6.03</v>
      </c>
      <c r="C459" s="4">
        <v>1</v>
      </c>
      <c r="D459" s="4">
        <v>0</v>
      </c>
      <c r="E459" s="4">
        <v>0</v>
      </c>
      <c r="F459" s="13">
        <v>42887</v>
      </c>
      <c r="G459" s="4" t="s">
        <v>58</v>
      </c>
      <c r="H459" s="13">
        <v>42898</v>
      </c>
      <c r="I459" s="4" t="s">
        <v>25</v>
      </c>
    </row>
    <row r="460" spans="1:9" x14ac:dyDescent="0.2">
      <c r="A460" s="4" t="s">
        <v>60</v>
      </c>
      <c r="B460" s="5">
        <v>50</v>
      </c>
      <c r="C460" s="4">
        <v>1</v>
      </c>
      <c r="D460" s="4">
        <v>0</v>
      </c>
      <c r="E460" s="4">
        <v>0</v>
      </c>
      <c r="F460" s="13">
        <v>42887</v>
      </c>
      <c r="G460" s="4" t="s">
        <v>58</v>
      </c>
      <c r="H460" s="13">
        <v>42902</v>
      </c>
      <c r="I460" s="4" t="s">
        <v>61</v>
      </c>
    </row>
    <row r="461" spans="1:9" x14ac:dyDescent="0.2">
      <c r="A461" s="4" t="s">
        <v>40</v>
      </c>
      <c r="B461" s="5">
        <v>220</v>
      </c>
      <c r="C461" s="4">
        <v>1</v>
      </c>
      <c r="D461" s="4">
        <v>0</v>
      </c>
      <c r="E461" s="4">
        <v>0</v>
      </c>
      <c r="F461" s="13">
        <v>42887</v>
      </c>
      <c r="G461" s="4" t="s">
        <v>10</v>
      </c>
      <c r="H461" s="13">
        <v>42889</v>
      </c>
      <c r="I461" s="4" t="s">
        <v>27</v>
      </c>
    </row>
    <row r="462" spans="1:9" x14ac:dyDescent="0.2">
      <c r="A462" s="4" t="s">
        <v>252</v>
      </c>
      <c r="B462" s="5">
        <v>250</v>
      </c>
      <c r="C462" s="4">
        <v>1</v>
      </c>
      <c r="D462" s="4">
        <v>0</v>
      </c>
      <c r="E462" s="4">
        <v>0</v>
      </c>
      <c r="F462" s="13">
        <v>42887</v>
      </c>
      <c r="G462" s="4" t="s">
        <v>71</v>
      </c>
      <c r="H462" s="13">
        <v>42905</v>
      </c>
      <c r="I462" s="4" t="s">
        <v>333</v>
      </c>
    </row>
    <row r="463" spans="1:9" x14ac:dyDescent="0.2">
      <c r="A463" s="4" t="s">
        <v>271</v>
      </c>
      <c r="B463" s="5">
        <v>0</v>
      </c>
      <c r="C463" s="4">
        <v>0</v>
      </c>
      <c r="D463" s="4">
        <v>1</v>
      </c>
      <c r="E463" s="4">
        <v>0</v>
      </c>
      <c r="F463" s="13">
        <v>42887</v>
      </c>
      <c r="G463" s="4" t="s">
        <v>58</v>
      </c>
      <c r="H463" s="13">
        <v>42901</v>
      </c>
      <c r="I463" s="4" t="s">
        <v>27</v>
      </c>
    </row>
    <row r="464" spans="1:9" x14ac:dyDescent="0.2">
      <c r="A464" s="4" t="s">
        <v>50</v>
      </c>
      <c r="B464" s="5">
        <v>3</v>
      </c>
      <c r="C464" s="4">
        <v>0</v>
      </c>
      <c r="D464" s="4">
        <v>1</v>
      </c>
      <c r="E464" s="4">
        <v>0</v>
      </c>
      <c r="F464" s="13">
        <v>42887</v>
      </c>
      <c r="G464" s="4" t="s">
        <v>10</v>
      </c>
      <c r="H464" s="13">
        <v>42887</v>
      </c>
      <c r="I464" s="4" t="s">
        <v>29</v>
      </c>
    </row>
    <row r="465" spans="1:9" x14ac:dyDescent="0.2">
      <c r="A465" s="4" t="s">
        <v>77</v>
      </c>
      <c r="B465" s="5">
        <v>4</v>
      </c>
      <c r="C465" s="4">
        <v>0</v>
      </c>
      <c r="D465" s="4">
        <v>1</v>
      </c>
      <c r="E465" s="4">
        <v>0</v>
      </c>
      <c r="F465" s="13">
        <v>42887</v>
      </c>
      <c r="G465" s="4" t="s">
        <v>10</v>
      </c>
      <c r="H465" s="13">
        <v>42887</v>
      </c>
      <c r="I465" s="4" t="s">
        <v>29</v>
      </c>
    </row>
    <row r="466" spans="1:9" x14ac:dyDescent="0.2">
      <c r="A466" s="4" t="s">
        <v>76</v>
      </c>
      <c r="B466" s="5">
        <v>15</v>
      </c>
      <c r="C466" s="4">
        <v>0</v>
      </c>
      <c r="D466" s="4">
        <v>1</v>
      </c>
      <c r="E466" s="4">
        <v>0</v>
      </c>
      <c r="F466" s="13">
        <v>42887</v>
      </c>
      <c r="G466" s="4" t="s">
        <v>10</v>
      </c>
      <c r="H466" s="13">
        <v>42888</v>
      </c>
      <c r="I466" s="4" t="s">
        <v>76</v>
      </c>
    </row>
    <row r="467" spans="1:9" x14ac:dyDescent="0.2">
      <c r="A467" s="4" t="s">
        <v>40</v>
      </c>
      <c r="B467" s="5">
        <v>10</v>
      </c>
      <c r="C467" s="4">
        <v>0</v>
      </c>
      <c r="D467" s="4">
        <v>1</v>
      </c>
      <c r="E467" s="4">
        <v>0</v>
      </c>
      <c r="F467" s="13">
        <v>42887</v>
      </c>
      <c r="G467" s="4" t="s">
        <v>10</v>
      </c>
      <c r="H467" s="13">
        <v>42889</v>
      </c>
      <c r="I467" s="4" t="s">
        <v>27</v>
      </c>
    </row>
    <row r="468" spans="1:9" x14ac:dyDescent="0.2">
      <c r="A468" s="4" t="s">
        <v>347</v>
      </c>
      <c r="B468" s="5">
        <v>6</v>
      </c>
      <c r="C468" s="4">
        <v>0</v>
      </c>
      <c r="D468" s="4">
        <v>1</v>
      </c>
      <c r="E468" s="4">
        <v>0</v>
      </c>
      <c r="F468" s="13">
        <v>42887</v>
      </c>
      <c r="G468" s="4" t="s">
        <v>10</v>
      </c>
      <c r="H468" s="13">
        <v>42889</v>
      </c>
      <c r="I468" s="4" t="s">
        <v>29</v>
      </c>
    </row>
    <row r="469" spans="1:9" x14ac:dyDescent="0.2">
      <c r="A469" s="4" t="s">
        <v>23</v>
      </c>
      <c r="B469" s="5">
        <v>29.14</v>
      </c>
      <c r="C469" s="4">
        <v>0</v>
      </c>
      <c r="D469" s="4">
        <v>1</v>
      </c>
      <c r="E469" s="4">
        <v>0</v>
      </c>
      <c r="F469" s="13">
        <v>42887</v>
      </c>
      <c r="G469" s="4" t="s">
        <v>10</v>
      </c>
      <c r="H469" s="13">
        <v>42889</v>
      </c>
      <c r="I469" s="4" t="s">
        <v>23</v>
      </c>
    </row>
    <row r="470" spans="1:9" x14ac:dyDescent="0.2">
      <c r="A470" s="4" t="s">
        <v>23</v>
      </c>
      <c r="B470" s="5">
        <v>38.950000000000003</v>
      </c>
      <c r="C470" s="4">
        <v>0</v>
      </c>
      <c r="D470" s="4">
        <v>1</v>
      </c>
      <c r="E470" s="4">
        <v>0</v>
      </c>
      <c r="F470" s="13">
        <v>42887</v>
      </c>
      <c r="G470" s="4" t="s">
        <v>10</v>
      </c>
      <c r="H470" s="13">
        <v>42889</v>
      </c>
      <c r="I470" s="4" t="s">
        <v>23</v>
      </c>
    </row>
    <row r="471" spans="1:9" x14ac:dyDescent="0.2">
      <c r="A471" s="4" t="s">
        <v>348</v>
      </c>
      <c r="B471" s="5">
        <v>11.98</v>
      </c>
      <c r="C471" s="4">
        <v>0</v>
      </c>
      <c r="D471" s="4">
        <v>1</v>
      </c>
      <c r="E471" s="4">
        <v>0</v>
      </c>
      <c r="F471" s="13">
        <v>42887</v>
      </c>
      <c r="G471" s="4" t="s">
        <v>43</v>
      </c>
      <c r="H471" s="13">
        <v>42894</v>
      </c>
      <c r="I471" s="4" t="s">
        <v>29</v>
      </c>
    </row>
    <row r="472" spans="1:9" x14ac:dyDescent="0.2">
      <c r="A472" s="4" t="s">
        <v>49</v>
      </c>
      <c r="B472" s="5">
        <v>17.5</v>
      </c>
      <c r="C472" s="4">
        <v>0</v>
      </c>
      <c r="D472" s="4">
        <v>1</v>
      </c>
      <c r="E472" s="4">
        <v>0</v>
      </c>
      <c r="F472" s="13">
        <v>42887</v>
      </c>
      <c r="G472" s="4" t="s">
        <v>43</v>
      </c>
      <c r="H472" s="13">
        <v>42894</v>
      </c>
      <c r="I472" s="4" t="s">
        <v>29</v>
      </c>
    </row>
    <row r="473" spans="1:9" x14ac:dyDescent="0.2">
      <c r="A473" s="4" t="s">
        <v>349</v>
      </c>
      <c r="B473" s="5">
        <v>17.64</v>
      </c>
      <c r="C473" s="4">
        <v>0</v>
      </c>
      <c r="D473" s="4">
        <v>1</v>
      </c>
      <c r="E473" s="4">
        <v>0</v>
      </c>
      <c r="F473" s="13">
        <v>42887</v>
      </c>
      <c r="G473" s="4" t="s">
        <v>43</v>
      </c>
      <c r="H473" s="13">
        <v>42894</v>
      </c>
      <c r="I473" s="4" t="s">
        <v>29</v>
      </c>
    </row>
    <row r="474" spans="1:9" x14ac:dyDescent="0.2">
      <c r="A474" s="4" t="s">
        <v>298</v>
      </c>
      <c r="B474" s="5">
        <v>11.67</v>
      </c>
      <c r="C474" s="4">
        <v>0</v>
      </c>
      <c r="D474" s="4">
        <v>1</v>
      </c>
      <c r="E474" s="4">
        <v>0</v>
      </c>
      <c r="F474" s="13">
        <v>42887</v>
      </c>
      <c r="G474" s="4" t="s">
        <v>43</v>
      </c>
      <c r="H474" s="13">
        <v>42894</v>
      </c>
      <c r="I474" s="4" t="s">
        <v>29</v>
      </c>
    </row>
    <row r="475" spans="1:9" x14ac:dyDescent="0.2">
      <c r="A475" s="4" t="s">
        <v>55</v>
      </c>
      <c r="B475" s="5">
        <v>50</v>
      </c>
      <c r="C475" s="4">
        <v>0</v>
      </c>
      <c r="D475" s="4">
        <v>1</v>
      </c>
      <c r="E475" s="4">
        <v>0</v>
      </c>
      <c r="F475" s="13">
        <v>42887</v>
      </c>
      <c r="G475" s="4" t="s">
        <v>43</v>
      </c>
      <c r="H475" s="13">
        <v>42896</v>
      </c>
      <c r="I475" s="4" t="s">
        <v>55</v>
      </c>
    </row>
    <row r="476" spans="1:9" x14ac:dyDescent="0.2">
      <c r="A476" s="4" t="s">
        <v>44</v>
      </c>
      <c r="B476" s="5">
        <v>400</v>
      </c>
      <c r="C476" s="4">
        <v>0</v>
      </c>
      <c r="D476" s="4">
        <v>1</v>
      </c>
      <c r="E476" s="4">
        <v>0</v>
      </c>
      <c r="F476" s="13">
        <v>42887</v>
      </c>
      <c r="G476" s="4" t="s">
        <v>43</v>
      </c>
      <c r="H476" s="13">
        <v>42890</v>
      </c>
      <c r="I476" s="4" t="s">
        <v>53</v>
      </c>
    </row>
    <row r="477" spans="1:9" x14ac:dyDescent="0.2">
      <c r="A477" s="4" t="s">
        <v>41</v>
      </c>
      <c r="B477" s="5">
        <v>50</v>
      </c>
      <c r="C477" s="4">
        <v>0</v>
      </c>
      <c r="D477" s="4">
        <v>1</v>
      </c>
      <c r="E477" s="4">
        <v>0</v>
      </c>
      <c r="F477" s="13">
        <v>42887</v>
      </c>
      <c r="G477" s="4" t="s">
        <v>43</v>
      </c>
      <c r="H477" s="13">
        <v>42890</v>
      </c>
      <c r="I477" s="4" t="s">
        <v>41</v>
      </c>
    </row>
    <row r="478" spans="1:9" x14ac:dyDescent="0.2">
      <c r="A478" s="4" t="s">
        <v>41</v>
      </c>
      <c r="B478" s="5">
        <v>20</v>
      </c>
      <c r="C478" s="4">
        <v>0</v>
      </c>
      <c r="D478" s="4">
        <v>1</v>
      </c>
      <c r="E478" s="4">
        <v>0</v>
      </c>
      <c r="F478" s="13">
        <v>42887</v>
      </c>
      <c r="G478" s="4" t="s">
        <v>43</v>
      </c>
      <c r="H478" s="13">
        <v>42894</v>
      </c>
      <c r="I478" s="4" t="s">
        <v>41</v>
      </c>
    </row>
    <row r="479" spans="1:9" x14ac:dyDescent="0.2">
      <c r="A479" s="4" t="s">
        <v>41</v>
      </c>
      <c r="B479" s="5">
        <v>50</v>
      </c>
      <c r="C479" s="4">
        <v>0</v>
      </c>
      <c r="D479" s="4">
        <v>1</v>
      </c>
      <c r="E479" s="4">
        <v>0</v>
      </c>
      <c r="F479" s="13">
        <v>42887</v>
      </c>
      <c r="G479" s="4" t="s">
        <v>43</v>
      </c>
      <c r="H479" s="13">
        <v>42897</v>
      </c>
      <c r="I479" s="4" t="s">
        <v>41</v>
      </c>
    </row>
    <row r="480" spans="1:9" x14ac:dyDescent="0.2">
      <c r="A480" s="4" t="s">
        <v>64</v>
      </c>
      <c r="B480" s="5">
        <v>10</v>
      </c>
      <c r="C480" s="4">
        <v>0</v>
      </c>
      <c r="D480" s="4">
        <v>1</v>
      </c>
      <c r="E480" s="4">
        <v>0</v>
      </c>
      <c r="F480" s="13">
        <v>42887</v>
      </c>
      <c r="G480" s="4" t="s">
        <v>43</v>
      </c>
      <c r="H480" s="13">
        <v>42897</v>
      </c>
      <c r="I480" s="4" t="s">
        <v>64</v>
      </c>
    </row>
    <row r="481" spans="1:9" x14ac:dyDescent="0.2">
      <c r="A481" s="4" t="s">
        <v>40</v>
      </c>
      <c r="B481" s="5">
        <v>20</v>
      </c>
      <c r="C481" s="4">
        <v>0</v>
      </c>
      <c r="D481" s="4">
        <v>1</v>
      </c>
      <c r="E481" s="4">
        <v>0</v>
      </c>
      <c r="F481" s="13">
        <v>42887</v>
      </c>
      <c r="G481" s="4" t="s">
        <v>43</v>
      </c>
      <c r="H481" s="13">
        <v>42897</v>
      </c>
      <c r="I481" s="4" t="s">
        <v>27</v>
      </c>
    </row>
    <row r="482" spans="1:9" x14ac:dyDescent="0.2">
      <c r="A482" s="4" t="s">
        <v>350</v>
      </c>
      <c r="B482" s="5">
        <v>20</v>
      </c>
      <c r="C482" s="4">
        <v>0</v>
      </c>
      <c r="D482" s="4">
        <v>1</v>
      </c>
      <c r="E482" s="4">
        <v>0</v>
      </c>
      <c r="F482" s="13">
        <v>42887</v>
      </c>
      <c r="G482" s="4" t="s">
        <v>43</v>
      </c>
      <c r="H482" s="13">
        <v>42897</v>
      </c>
      <c r="I482" s="4" t="s">
        <v>29</v>
      </c>
    </row>
    <row r="483" spans="1:9" x14ac:dyDescent="0.2">
      <c r="A483" s="4" t="s">
        <v>66</v>
      </c>
      <c r="B483" s="5">
        <v>30</v>
      </c>
      <c r="C483" s="4">
        <v>0</v>
      </c>
      <c r="D483" s="4">
        <v>1</v>
      </c>
      <c r="E483" s="4">
        <v>0</v>
      </c>
      <c r="F483" s="13">
        <v>42887</v>
      </c>
      <c r="G483" s="4" t="s">
        <v>43</v>
      </c>
      <c r="H483" s="13">
        <v>42896</v>
      </c>
      <c r="I483" s="4" t="s">
        <v>66</v>
      </c>
    </row>
    <row r="484" spans="1:9" x14ac:dyDescent="0.2">
      <c r="A484" s="4" t="s">
        <v>87</v>
      </c>
      <c r="B484" s="5">
        <v>20</v>
      </c>
      <c r="C484" s="4">
        <v>0</v>
      </c>
      <c r="D484" s="4">
        <v>1</v>
      </c>
      <c r="E484" s="4">
        <v>0</v>
      </c>
      <c r="F484" s="13">
        <v>42887</v>
      </c>
      <c r="G484" s="4" t="s">
        <v>58</v>
      </c>
      <c r="H484" s="13">
        <v>42899</v>
      </c>
      <c r="I484" s="4" t="s">
        <v>29</v>
      </c>
    </row>
    <row r="485" spans="1:9" x14ac:dyDescent="0.2">
      <c r="A485" s="4" t="s">
        <v>79</v>
      </c>
      <c r="B485" s="5">
        <v>9</v>
      </c>
      <c r="C485" s="4">
        <v>0</v>
      </c>
      <c r="D485" s="4">
        <v>1</v>
      </c>
      <c r="E485" s="4">
        <v>0</v>
      </c>
      <c r="F485" s="13">
        <v>42887</v>
      </c>
      <c r="G485" s="4" t="s">
        <v>58</v>
      </c>
      <c r="H485" s="13">
        <v>42898</v>
      </c>
      <c r="I485" s="4" t="s">
        <v>29</v>
      </c>
    </row>
    <row r="486" spans="1:9" x14ac:dyDescent="0.2">
      <c r="A486" s="4" t="s">
        <v>66</v>
      </c>
      <c r="B486" s="5">
        <v>30</v>
      </c>
      <c r="C486" s="4">
        <v>0</v>
      </c>
      <c r="D486" s="4">
        <v>1</v>
      </c>
      <c r="E486" s="4">
        <v>0</v>
      </c>
      <c r="F486" s="13">
        <v>42887</v>
      </c>
      <c r="G486" s="4" t="s">
        <v>43</v>
      </c>
      <c r="H486" s="13">
        <v>42898</v>
      </c>
      <c r="I486" s="4" t="s">
        <v>66</v>
      </c>
    </row>
    <row r="487" spans="1:9" x14ac:dyDescent="0.2">
      <c r="A487" s="4" t="s">
        <v>66</v>
      </c>
      <c r="B487" s="5">
        <v>21.55</v>
      </c>
      <c r="C487" s="4">
        <v>0</v>
      </c>
      <c r="D487" s="4">
        <v>1</v>
      </c>
      <c r="E487" s="4">
        <v>0</v>
      </c>
      <c r="F487" s="13">
        <v>42887</v>
      </c>
      <c r="G487" s="4" t="s">
        <v>43</v>
      </c>
      <c r="H487" s="13">
        <v>42898</v>
      </c>
      <c r="I487" s="4" t="s">
        <v>66</v>
      </c>
    </row>
    <row r="488" spans="1:9" x14ac:dyDescent="0.2">
      <c r="A488" s="4" t="s">
        <v>23</v>
      </c>
      <c r="B488" s="5">
        <v>103.52</v>
      </c>
      <c r="C488" s="4">
        <v>0</v>
      </c>
      <c r="D488" s="4">
        <v>1</v>
      </c>
      <c r="E488" s="4">
        <v>0</v>
      </c>
      <c r="F488" s="13">
        <v>42887</v>
      </c>
      <c r="G488" s="4" t="s">
        <v>43</v>
      </c>
      <c r="H488" s="13">
        <v>42898</v>
      </c>
      <c r="I488" s="4" t="s">
        <v>66</v>
      </c>
    </row>
    <row r="489" spans="1:9" x14ac:dyDescent="0.2">
      <c r="A489" s="4" t="s">
        <v>23</v>
      </c>
      <c r="B489" s="5">
        <v>20</v>
      </c>
      <c r="C489" s="4">
        <v>0</v>
      </c>
      <c r="D489" s="4">
        <v>1</v>
      </c>
      <c r="E489" s="4">
        <v>0</v>
      </c>
      <c r="F489" s="13">
        <v>42887</v>
      </c>
      <c r="G489" s="4" t="s">
        <v>43</v>
      </c>
      <c r="H489" s="13">
        <v>42898</v>
      </c>
      <c r="I489" s="4" t="s">
        <v>66</v>
      </c>
    </row>
    <row r="490" spans="1:9" x14ac:dyDescent="0.2">
      <c r="A490" s="4" t="s">
        <v>351</v>
      </c>
      <c r="B490" s="5">
        <v>14.78</v>
      </c>
      <c r="C490" s="4">
        <v>0</v>
      </c>
      <c r="D490" s="4">
        <v>1</v>
      </c>
      <c r="E490" s="4">
        <v>0</v>
      </c>
      <c r="F490" s="13">
        <v>42887</v>
      </c>
      <c r="G490" s="4" t="s">
        <v>43</v>
      </c>
      <c r="H490" s="13">
        <v>42898</v>
      </c>
      <c r="I490" s="4" t="s">
        <v>66</v>
      </c>
    </row>
    <row r="491" spans="1:9" x14ac:dyDescent="0.2">
      <c r="A491" s="4" t="s">
        <v>223</v>
      </c>
      <c r="B491" s="5">
        <v>34.89</v>
      </c>
      <c r="C491" s="4">
        <v>0</v>
      </c>
      <c r="D491" s="4">
        <v>1</v>
      </c>
      <c r="E491" s="4">
        <v>0</v>
      </c>
      <c r="F491" s="13">
        <v>42887</v>
      </c>
      <c r="G491" s="4" t="s">
        <v>58</v>
      </c>
      <c r="H491" s="13">
        <v>42898</v>
      </c>
      <c r="I491" s="4" t="s">
        <v>66</v>
      </c>
    </row>
    <row r="492" spans="1:9" x14ac:dyDescent="0.2">
      <c r="A492" s="4" t="s">
        <v>352</v>
      </c>
      <c r="B492" s="5">
        <v>50</v>
      </c>
      <c r="C492" s="4">
        <v>0</v>
      </c>
      <c r="D492" s="4">
        <v>1</v>
      </c>
      <c r="E492" s="4">
        <v>0</v>
      </c>
      <c r="F492" s="13">
        <v>42887</v>
      </c>
      <c r="G492" s="4" t="s">
        <v>58</v>
      </c>
      <c r="H492" s="13">
        <v>42900</v>
      </c>
      <c r="I492" s="4" t="s">
        <v>353</v>
      </c>
    </row>
    <row r="493" spans="1:9" x14ac:dyDescent="0.2">
      <c r="A493" s="4" t="s">
        <v>354</v>
      </c>
      <c r="B493" s="5">
        <v>5</v>
      </c>
      <c r="C493" s="4">
        <v>0</v>
      </c>
      <c r="D493" s="4">
        <v>1</v>
      </c>
      <c r="E493" s="4">
        <v>0</v>
      </c>
      <c r="F493" s="13">
        <v>42887</v>
      </c>
      <c r="G493" s="4" t="s">
        <v>58</v>
      </c>
      <c r="H493" s="13">
        <v>42900</v>
      </c>
      <c r="I493" s="4" t="s">
        <v>29</v>
      </c>
    </row>
    <row r="494" spans="1:9" x14ac:dyDescent="0.2">
      <c r="A494" s="4" t="s">
        <v>348</v>
      </c>
      <c r="B494" s="5">
        <v>10</v>
      </c>
      <c r="C494" s="4">
        <v>0</v>
      </c>
      <c r="D494" s="4">
        <v>1</v>
      </c>
      <c r="E494" s="4">
        <v>0</v>
      </c>
      <c r="F494" s="13">
        <v>42887</v>
      </c>
      <c r="G494" s="4" t="s">
        <v>58</v>
      </c>
      <c r="H494" s="13">
        <v>42900</v>
      </c>
      <c r="I494" s="4" t="s">
        <v>29</v>
      </c>
    </row>
    <row r="495" spans="1:9" x14ac:dyDescent="0.2">
      <c r="A495" s="4" t="s">
        <v>355</v>
      </c>
      <c r="B495" s="5">
        <v>8</v>
      </c>
      <c r="C495" s="4">
        <v>0</v>
      </c>
      <c r="D495" s="4">
        <v>1</v>
      </c>
      <c r="E495" s="4">
        <v>0</v>
      </c>
      <c r="F495" s="13">
        <v>42887</v>
      </c>
      <c r="G495" s="4" t="s">
        <v>58</v>
      </c>
      <c r="H495" s="13">
        <v>42900</v>
      </c>
      <c r="I495" s="4" t="s">
        <v>29</v>
      </c>
    </row>
    <row r="496" spans="1:9" x14ac:dyDescent="0.2">
      <c r="A496" s="4" t="s">
        <v>263</v>
      </c>
      <c r="B496" s="5">
        <v>28.83</v>
      </c>
      <c r="C496" s="4">
        <v>0</v>
      </c>
      <c r="D496" s="4">
        <v>1</v>
      </c>
      <c r="E496" s="4">
        <v>0</v>
      </c>
      <c r="F496" s="13">
        <v>42887</v>
      </c>
      <c r="G496" s="4" t="s">
        <v>58</v>
      </c>
      <c r="H496" s="13">
        <v>42900</v>
      </c>
      <c r="I496" s="4" t="s">
        <v>66</v>
      </c>
    </row>
    <row r="497" spans="1:9" x14ac:dyDescent="0.2">
      <c r="A497" s="4" t="s">
        <v>50</v>
      </c>
      <c r="B497" s="5">
        <v>3.88</v>
      </c>
      <c r="C497" s="4">
        <v>0</v>
      </c>
      <c r="D497" s="4">
        <v>1</v>
      </c>
      <c r="E497" s="4">
        <v>0</v>
      </c>
      <c r="F497" s="13">
        <v>42887</v>
      </c>
      <c r="G497" s="4" t="s">
        <v>71</v>
      </c>
      <c r="H497" s="13">
        <v>42905</v>
      </c>
      <c r="I497" s="4" t="s">
        <v>29</v>
      </c>
    </row>
    <row r="498" spans="1:9" x14ac:dyDescent="0.2">
      <c r="A498" s="4" t="s">
        <v>356</v>
      </c>
      <c r="B498" s="5">
        <v>50</v>
      </c>
      <c r="C498" s="4">
        <v>0</v>
      </c>
      <c r="D498" s="4">
        <v>1</v>
      </c>
      <c r="E498" s="4">
        <v>0</v>
      </c>
      <c r="F498" s="13">
        <v>42887</v>
      </c>
      <c r="G498" s="4" t="s">
        <v>71</v>
      </c>
      <c r="H498" s="13">
        <v>42906</v>
      </c>
      <c r="I498" s="4" t="s">
        <v>117</v>
      </c>
    </row>
    <row r="499" spans="1:9" x14ac:dyDescent="0.2">
      <c r="A499" s="4" t="s">
        <v>357</v>
      </c>
      <c r="B499" s="5">
        <v>32</v>
      </c>
      <c r="C499" s="4">
        <v>0</v>
      </c>
      <c r="D499" s="4">
        <v>1</v>
      </c>
      <c r="E499" s="4">
        <v>0</v>
      </c>
      <c r="F499" s="13">
        <v>42887</v>
      </c>
      <c r="G499" s="4" t="s">
        <v>71</v>
      </c>
      <c r="H499" s="13">
        <v>42906</v>
      </c>
      <c r="I499" s="4" t="s">
        <v>53</v>
      </c>
    </row>
    <row r="500" spans="1:9" x14ac:dyDescent="0.2">
      <c r="A500" s="4" t="s">
        <v>335</v>
      </c>
      <c r="B500" s="5">
        <v>80</v>
      </c>
      <c r="C500" s="4">
        <v>0</v>
      </c>
      <c r="D500" s="4">
        <v>1</v>
      </c>
      <c r="E500" s="4">
        <v>0</v>
      </c>
      <c r="F500" s="13">
        <v>42887</v>
      </c>
      <c r="G500" s="4" t="s">
        <v>71</v>
      </c>
      <c r="H500" s="13">
        <v>42906</v>
      </c>
      <c r="I500" s="4" t="s">
        <v>358</v>
      </c>
    </row>
    <row r="501" spans="1:9" x14ac:dyDescent="0.2">
      <c r="A501" s="4" t="s">
        <v>359</v>
      </c>
      <c r="B501" s="5">
        <v>30</v>
      </c>
      <c r="C501" s="4">
        <v>0</v>
      </c>
      <c r="D501" s="4">
        <v>1</v>
      </c>
      <c r="E501" s="4">
        <v>0</v>
      </c>
      <c r="F501" s="13">
        <v>42887</v>
      </c>
      <c r="G501" s="4" t="s">
        <v>71</v>
      </c>
      <c r="H501" s="13">
        <v>42907</v>
      </c>
      <c r="I501" s="4" t="s">
        <v>358</v>
      </c>
    </row>
    <row r="502" spans="1:9" x14ac:dyDescent="0.2">
      <c r="A502" s="4" t="s">
        <v>69</v>
      </c>
      <c r="B502" s="5">
        <v>15</v>
      </c>
      <c r="C502" s="4">
        <v>0</v>
      </c>
      <c r="D502" s="4">
        <v>1</v>
      </c>
      <c r="E502" s="4">
        <v>0</v>
      </c>
      <c r="F502" s="13">
        <v>42887</v>
      </c>
      <c r="G502" s="4" t="s">
        <v>71</v>
      </c>
      <c r="H502" s="13">
        <v>42908</v>
      </c>
      <c r="I502" s="4" t="s">
        <v>29</v>
      </c>
    </row>
    <row r="503" spans="1:9" x14ac:dyDescent="0.2">
      <c r="A503" s="4" t="s">
        <v>41</v>
      </c>
      <c r="B503" s="5">
        <v>15</v>
      </c>
      <c r="C503" s="4">
        <v>0</v>
      </c>
      <c r="D503" s="4">
        <v>1</v>
      </c>
      <c r="E503" s="4">
        <v>0</v>
      </c>
      <c r="F503" s="13">
        <v>42887</v>
      </c>
      <c r="G503" s="4" t="s">
        <v>71</v>
      </c>
      <c r="H503" s="13">
        <v>42910</v>
      </c>
      <c r="I503" s="4" t="s">
        <v>41</v>
      </c>
    </row>
    <row r="504" spans="1:9" x14ac:dyDescent="0.2">
      <c r="A504" s="4" t="s">
        <v>50</v>
      </c>
      <c r="B504" s="5">
        <v>3</v>
      </c>
      <c r="C504" s="4">
        <v>0</v>
      </c>
      <c r="D504" s="4">
        <v>1</v>
      </c>
      <c r="E504" s="4">
        <v>0</v>
      </c>
      <c r="F504" s="13">
        <v>42887</v>
      </c>
      <c r="G504" s="4" t="s">
        <v>71</v>
      </c>
      <c r="H504" s="13">
        <v>42912</v>
      </c>
      <c r="I504" s="4" t="s">
        <v>29</v>
      </c>
    </row>
    <row r="505" spans="1:9" x14ac:dyDescent="0.2">
      <c r="A505" s="4" t="s">
        <v>360</v>
      </c>
      <c r="B505" s="5">
        <v>5</v>
      </c>
      <c r="C505" s="4">
        <v>0</v>
      </c>
      <c r="D505" s="4">
        <v>1</v>
      </c>
      <c r="E505" s="4">
        <v>0</v>
      </c>
      <c r="F505" s="13">
        <v>42887</v>
      </c>
      <c r="G505" s="4" t="s">
        <v>71</v>
      </c>
      <c r="H505" s="13">
        <v>42913</v>
      </c>
      <c r="I505" s="4" t="s">
        <v>29</v>
      </c>
    </row>
    <row r="506" spans="1:9" x14ac:dyDescent="0.2">
      <c r="A506" s="4" t="s">
        <v>317</v>
      </c>
      <c r="B506" s="5">
        <v>3</v>
      </c>
      <c r="C506" s="4">
        <v>0</v>
      </c>
      <c r="D506" s="4">
        <v>1</v>
      </c>
      <c r="E506" s="4">
        <v>0</v>
      </c>
      <c r="F506" s="13">
        <v>42887</v>
      </c>
      <c r="G506" s="4" t="s">
        <v>71</v>
      </c>
      <c r="H506" s="13">
        <v>42883</v>
      </c>
      <c r="I506" s="4" t="s">
        <v>29</v>
      </c>
    </row>
    <row r="507" spans="1:9" x14ac:dyDescent="0.2">
      <c r="A507" s="4" t="s">
        <v>64</v>
      </c>
      <c r="B507" s="5">
        <v>20</v>
      </c>
      <c r="C507" s="4">
        <v>0</v>
      </c>
      <c r="D507" s="4">
        <v>1</v>
      </c>
      <c r="E507" s="4">
        <v>0</v>
      </c>
      <c r="F507" s="13">
        <v>42887</v>
      </c>
      <c r="G507" s="4" t="s">
        <v>71</v>
      </c>
      <c r="H507" s="13">
        <v>42915</v>
      </c>
      <c r="I507" s="4" t="s">
        <v>64</v>
      </c>
    </row>
    <row r="508" spans="1:9" x14ac:dyDescent="0.2">
      <c r="A508" s="4" t="s">
        <v>77</v>
      </c>
      <c r="B508" s="5">
        <v>4</v>
      </c>
      <c r="C508" s="4">
        <v>0</v>
      </c>
      <c r="D508" s="4">
        <v>1</v>
      </c>
      <c r="E508" s="4">
        <v>0</v>
      </c>
      <c r="F508" s="13">
        <v>42887</v>
      </c>
      <c r="G508" s="4" t="s">
        <v>71</v>
      </c>
      <c r="H508" s="13">
        <v>42915</v>
      </c>
      <c r="I508" s="4" t="s">
        <v>29</v>
      </c>
    </row>
    <row r="509" spans="1:9" x14ac:dyDescent="0.2">
      <c r="A509" s="4" t="s">
        <v>77</v>
      </c>
      <c r="B509" s="5">
        <v>4</v>
      </c>
      <c r="C509" s="4">
        <v>0</v>
      </c>
      <c r="D509" s="4">
        <v>1</v>
      </c>
      <c r="E509" s="4">
        <v>0</v>
      </c>
      <c r="F509" s="13">
        <v>42887</v>
      </c>
      <c r="G509" s="4" t="s">
        <v>71</v>
      </c>
      <c r="H509" s="13">
        <v>42916</v>
      </c>
      <c r="I509" s="4" t="s">
        <v>29</v>
      </c>
    </row>
    <row r="510" spans="1:9" x14ac:dyDescent="0.2">
      <c r="A510" s="4" t="s">
        <v>66</v>
      </c>
      <c r="B510" s="5">
        <v>36.61</v>
      </c>
      <c r="C510" s="4">
        <v>0</v>
      </c>
      <c r="D510" s="4">
        <v>1</v>
      </c>
      <c r="E510" s="4">
        <v>0</v>
      </c>
      <c r="F510" s="13">
        <v>42887</v>
      </c>
      <c r="G510" s="4" t="s">
        <v>71</v>
      </c>
      <c r="H510" s="13">
        <v>42916</v>
      </c>
      <c r="I510" s="4" t="s">
        <v>66</v>
      </c>
    </row>
    <row r="511" spans="1:9" x14ac:dyDescent="0.2">
      <c r="A511" s="4" t="s">
        <v>251</v>
      </c>
      <c r="B511" s="5">
        <v>50</v>
      </c>
      <c r="C511" s="4">
        <v>0</v>
      </c>
      <c r="D511" s="4">
        <v>1</v>
      </c>
      <c r="E511" s="4">
        <v>0</v>
      </c>
      <c r="F511" s="13">
        <v>42887</v>
      </c>
      <c r="G511" s="4" t="s">
        <v>71</v>
      </c>
      <c r="H511" s="13">
        <v>42916</v>
      </c>
      <c r="I511" s="4" t="s">
        <v>27</v>
      </c>
    </row>
    <row r="512" spans="1:9" x14ac:dyDescent="0.2">
      <c r="A512" t="s">
        <v>24</v>
      </c>
      <c r="B512" s="2">
        <v>68.95</v>
      </c>
      <c r="C512">
        <v>1</v>
      </c>
      <c r="D512">
        <v>0</v>
      </c>
      <c r="E512">
        <v>0</v>
      </c>
      <c r="F512" s="12">
        <v>42917</v>
      </c>
      <c r="G512" t="s">
        <v>10</v>
      </c>
      <c r="H512" s="12">
        <v>42920</v>
      </c>
      <c r="I512" t="s">
        <v>25</v>
      </c>
    </row>
    <row r="513" spans="1:9" x14ac:dyDescent="0.2">
      <c r="A513" t="s">
        <v>39</v>
      </c>
      <c r="B513" s="2">
        <v>132.77000000000001</v>
      </c>
      <c r="C513">
        <v>1</v>
      </c>
      <c r="D513">
        <v>0</v>
      </c>
      <c r="E513">
        <v>0</v>
      </c>
      <c r="F513" s="12">
        <v>42917</v>
      </c>
      <c r="G513" t="s">
        <v>43</v>
      </c>
      <c r="H513" s="12">
        <v>42926</v>
      </c>
      <c r="I513" t="s">
        <v>36</v>
      </c>
    </row>
    <row r="514" spans="1:9" x14ac:dyDescent="0.2">
      <c r="A514" t="s">
        <v>35</v>
      </c>
      <c r="B514" s="2">
        <v>382.73</v>
      </c>
      <c r="C514">
        <v>1</v>
      </c>
      <c r="D514">
        <v>0</v>
      </c>
      <c r="E514">
        <v>0</v>
      </c>
      <c r="F514" s="12">
        <v>42917</v>
      </c>
      <c r="G514" t="s">
        <v>43</v>
      </c>
      <c r="H514" s="12">
        <v>42926</v>
      </c>
      <c r="I514" t="s">
        <v>36</v>
      </c>
    </row>
    <row r="515" spans="1:9" x14ac:dyDescent="0.2">
      <c r="A515" t="s">
        <v>47</v>
      </c>
      <c r="B515" s="2">
        <v>158</v>
      </c>
      <c r="C515">
        <v>1</v>
      </c>
      <c r="D515">
        <v>0</v>
      </c>
      <c r="E515">
        <v>0</v>
      </c>
      <c r="F515" s="12">
        <v>42917</v>
      </c>
      <c r="G515" t="s">
        <v>43</v>
      </c>
      <c r="H515" s="12">
        <v>42930</v>
      </c>
      <c r="I515" t="s">
        <v>47</v>
      </c>
    </row>
    <row r="516" spans="1:9" x14ac:dyDescent="0.2">
      <c r="A516" t="s">
        <v>33</v>
      </c>
      <c r="B516" s="2">
        <v>300</v>
      </c>
      <c r="C516">
        <v>1</v>
      </c>
      <c r="D516">
        <v>0</v>
      </c>
      <c r="E516">
        <v>0</v>
      </c>
      <c r="F516" s="12">
        <v>42917</v>
      </c>
      <c r="G516" t="s">
        <v>10</v>
      </c>
      <c r="H516" s="12">
        <v>42919</v>
      </c>
      <c r="I516" t="s">
        <v>34</v>
      </c>
    </row>
    <row r="517" spans="1:9" x14ac:dyDescent="0.2">
      <c r="A517" t="s">
        <v>70</v>
      </c>
      <c r="B517" s="2">
        <v>61.53</v>
      </c>
      <c r="C517">
        <v>1</v>
      </c>
      <c r="D517">
        <v>0</v>
      </c>
      <c r="E517">
        <v>0</v>
      </c>
      <c r="F517" s="12">
        <v>42917</v>
      </c>
      <c r="G517" t="s">
        <v>43</v>
      </c>
      <c r="H517" s="12">
        <v>42930</v>
      </c>
      <c r="I517" t="s">
        <v>36</v>
      </c>
    </row>
    <row r="518" spans="1:9" x14ac:dyDescent="0.2">
      <c r="A518" t="s">
        <v>48</v>
      </c>
      <c r="B518" s="2">
        <v>6.03</v>
      </c>
      <c r="C518">
        <v>1</v>
      </c>
      <c r="D518">
        <v>0</v>
      </c>
      <c r="E518">
        <v>0</v>
      </c>
      <c r="F518" s="12">
        <v>42917</v>
      </c>
      <c r="G518" t="s">
        <v>43</v>
      </c>
      <c r="H518" s="12">
        <v>42926</v>
      </c>
      <c r="I518" t="s">
        <v>25</v>
      </c>
    </row>
    <row r="519" spans="1:9" x14ac:dyDescent="0.2">
      <c r="A519" t="s">
        <v>60</v>
      </c>
      <c r="B519" s="2">
        <v>50</v>
      </c>
      <c r="C519">
        <v>1</v>
      </c>
      <c r="D519">
        <v>0</v>
      </c>
      <c r="E519">
        <v>0</v>
      </c>
      <c r="F519" s="12">
        <v>42917</v>
      </c>
      <c r="G519" t="s">
        <v>43</v>
      </c>
      <c r="H519" s="12">
        <v>42933</v>
      </c>
      <c r="I519" t="s">
        <v>61</v>
      </c>
    </row>
    <row r="520" spans="1:9" x14ac:dyDescent="0.2">
      <c r="A520" t="s">
        <v>20</v>
      </c>
      <c r="B520" s="2">
        <f>SUMIFS([1]credito!$B$2:$B$130,[1]credito!$F$2:$F$130,F520,[1]credito!$G$2:$G$130,0)</f>
        <v>4557.2599999999993</v>
      </c>
      <c r="C520">
        <v>1</v>
      </c>
      <c r="D520">
        <v>0</v>
      </c>
      <c r="E520">
        <v>0</v>
      </c>
      <c r="F520" s="12">
        <v>42917</v>
      </c>
      <c r="G520" t="s">
        <v>43</v>
      </c>
      <c r="H520" s="12">
        <v>42930</v>
      </c>
      <c r="I520" t="s">
        <v>21</v>
      </c>
    </row>
    <row r="521" spans="1:9" x14ac:dyDescent="0.2">
      <c r="A521" t="s">
        <v>57</v>
      </c>
      <c r="B521" s="2">
        <v>658.67</v>
      </c>
      <c r="C521">
        <v>1</v>
      </c>
      <c r="D521">
        <v>0</v>
      </c>
      <c r="E521">
        <v>0</v>
      </c>
      <c r="F521" s="12">
        <v>42917</v>
      </c>
      <c r="G521" t="s">
        <v>43</v>
      </c>
      <c r="H521" s="12">
        <v>42933</v>
      </c>
      <c r="I521" t="s">
        <v>59</v>
      </c>
    </row>
    <row r="522" spans="1:9" x14ac:dyDescent="0.2">
      <c r="A522" t="s">
        <v>40</v>
      </c>
      <c r="B522" s="2">
        <v>210</v>
      </c>
      <c r="C522">
        <v>0</v>
      </c>
      <c r="D522">
        <v>1</v>
      </c>
      <c r="E522">
        <v>0</v>
      </c>
      <c r="F522" s="12">
        <v>42917</v>
      </c>
      <c r="G522" t="s">
        <v>10</v>
      </c>
      <c r="H522" s="12">
        <v>42925</v>
      </c>
      <c r="I522" t="s">
        <v>27</v>
      </c>
    </row>
    <row r="523" spans="1:9" x14ac:dyDescent="0.2">
      <c r="A523" t="s">
        <v>252</v>
      </c>
      <c r="B523" s="2">
        <v>250</v>
      </c>
      <c r="C523">
        <v>1</v>
      </c>
      <c r="D523">
        <v>0</v>
      </c>
      <c r="E523">
        <v>0</v>
      </c>
      <c r="F523" s="12">
        <v>42917</v>
      </c>
      <c r="G523" t="s">
        <v>58</v>
      </c>
      <c r="H523" s="12">
        <v>42935</v>
      </c>
      <c r="I523" t="s">
        <v>333</v>
      </c>
    </row>
    <row r="524" spans="1:9" x14ac:dyDescent="0.2">
      <c r="A524" t="s">
        <v>361</v>
      </c>
      <c r="B524" s="2">
        <v>2700</v>
      </c>
      <c r="C524">
        <v>0</v>
      </c>
      <c r="D524">
        <v>1</v>
      </c>
      <c r="E524">
        <v>0</v>
      </c>
      <c r="F524" s="12">
        <v>42917</v>
      </c>
      <c r="G524" t="s">
        <v>10</v>
      </c>
      <c r="H524" s="12">
        <v>42922</v>
      </c>
      <c r="I524" t="s">
        <v>361</v>
      </c>
    </row>
    <row r="525" spans="1:9" x14ac:dyDescent="0.2">
      <c r="A525" t="s">
        <v>55</v>
      </c>
      <c r="B525" s="2">
        <v>30</v>
      </c>
      <c r="C525">
        <v>0</v>
      </c>
      <c r="D525">
        <v>1</v>
      </c>
      <c r="E525">
        <v>0</v>
      </c>
      <c r="F525" s="12">
        <v>42917</v>
      </c>
      <c r="G525" t="s">
        <v>10</v>
      </c>
      <c r="H525" s="12">
        <v>42917</v>
      </c>
      <c r="I525" t="s">
        <v>55</v>
      </c>
    </row>
    <row r="526" spans="1:9" x14ac:dyDescent="0.2">
      <c r="A526" t="s">
        <v>40</v>
      </c>
      <c r="B526" s="2">
        <v>10</v>
      </c>
      <c r="C526">
        <v>0</v>
      </c>
      <c r="D526">
        <v>1</v>
      </c>
      <c r="E526">
        <v>0</v>
      </c>
      <c r="F526" s="12">
        <v>42917</v>
      </c>
      <c r="G526" t="s">
        <v>10</v>
      </c>
      <c r="H526" s="12">
        <v>42917</v>
      </c>
      <c r="I526" t="s">
        <v>27</v>
      </c>
    </row>
    <row r="527" spans="1:9" x14ac:dyDescent="0.2">
      <c r="A527" t="s">
        <v>23</v>
      </c>
      <c r="B527" s="2">
        <v>25.45</v>
      </c>
      <c r="C527">
        <v>0</v>
      </c>
      <c r="D527">
        <v>1</v>
      </c>
      <c r="E527">
        <v>0</v>
      </c>
      <c r="F527" s="12">
        <v>42917</v>
      </c>
      <c r="G527" t="s">
        <v>10</v>
      </c>
      <c r="H527" s="12">
        <v>42917</v>
      </c>
      <c r="I527" t="s">
        <v>23</v>
      </c>
    </row>
    <row r="528" spans="1:9" x14ac:dyDescent="0.2">
      <c r="A528" t="s">
        <v>362</v>
      </c>
      <c r="B528" s="2">
        <v>100</v>
      </c>
      <c r="C528">
        <v>0</v>
      </c>
      <c r="D528">
        <v>1</v>
      </c>
      <c r="E528">
        <v>0</v>
      </c>
      <c r="F528" s="12">
        <v>42917</v>
      </c>
      <c r="G528" t="s">
        <v>10</v>
      </c>
      <c r="H528" s="12">
        <v>42919</v>
      </c>
      <c r="I528" t="s">
        <v>64</v>
      </c>
    </row>
    <row r="529" spans="1:9" x14ac:dyDescent="0.2">
      <c r="A529" t="s">
        <v>76</v>
      </c>
      <c r="B529" s="2">
        <v>35</v>
      </c>
      <c r="C529">
        <v>0</v>
      </c>
      <c r="D529">
        <v>1</v>
      </c>
      <c r="E529">
        <v>0</v>
      </c>
      <c r="F529" s="12">
        <v>42917</v>
      </c>
      <c r="G529" t="s">
        <v>10</v>
      </c>
      <c r="H529" s="12">
        <v>42918</v>
      </c>
      <c r="I529" t="s">
        <v>76</v>
      </c>
    </row>
    <row r="530" spans="1:9" x14ac:dyDescent="0.2">
      <c r="A530" t="s">
        <v>66</v>
      </c>
      <c r="B530" s="2">
        <v>21.22</v>
      </c>
      <c r="C530">
        <v>0</v>
      </c>
      <c r="D530">
        <v>1</v>
      </c>
      <c r="E530">
        <v>0</v>
      </c>
      <c r="F530" s="12">
        <v>42917</v>
      </c>
      <c r="G530" t="s">
        <v>10</v>
      </c>
      <c r="H530" s="12">
        <v>42918</v>
      </c>
      <c r="I530" t="s">
        <v>66</v>
      </c>
    </row>
    <row r="531" spans="1:9" x14ac:dyDescent="0.2">
      <c r="A531" t="s">
        <v>50</v>
      </c>
      <c r="B531" s="2">
        <v>3</v>
      </c>
      <c r="C531">
        <v>0</v>
      </c>
      <c r="D531">
        <v>1</v>
      </c>
      <c r="E531">
        <v>0</v>
      </c>
      <c r="F531" s="12">
        <v>42917</v>
      </c>
      <c r="G531" t="s">
        <v>10</v>
      </c>
      <c r="H531" s="12">
        <v>42919</v>
      </c>
      <c r="I531" t="s">
        <v>29</v>
      </c>
    </row>
    <row r="532" spans="1:9" x14ac:dyDescent="0.2">
      <c r="A532" t="s">
        <v>251</v>
      </c>
      <c r="B532" s="2">
        <v>50</v>
      </c>
      <c r="C532">
        <v>0</v>
      </c>
      <c r="D532">
        <v>1</v>
      </c>
      <c r="E532">
        <v>0</v>
      </c>
      <c r="F532" s="12">
        <v>42917</v>
      </c>
      <c r="G532" t="s">
        <v>10</v>
      </c>
      <c r="H532" s="12">
        <v>42918</v>
      </c>
      <c r="I532" t="s">
        <v>27</v>
      </c>
    </row>
    <row r="533" spans="1:9" x14ac:dyDescent="0.2">
      <c r="A533" t="s">
        <v>227</v>
      </c>
      <c r="B533" s="2">
        <v>1.92</v>
      </c>
      <c r="C533">
        <v>0</v>
      </c>
      <c r="D533">
        <v>1</v>
      </c>
      <c r="E533">
        <v>0</v>
      </c>
      <c r="F533" s="12">
        <v>42917</v>
      </c>
      <c r="G533" t="s">
        <v>10</v>
      </c>
      <c r="H533" s="12">
        <v>42919</v>
      </c>
      <c r="I533" t="s">
        <v>236</v>
      </c>
    </row>
    <row r="534" spans="1:9" x14ac:dyDescent="0.2">
      <c r="A534" t="s">
        <v>23</v>
      </c>
      <c r="B534" s="2">
        <v>25.45</v>
      </c>
      <c r="C534">
        <v>0</v>
      </c>
      <c r="D534">
        <v>1</v>
      </c>
      <c r="E534">
        <v>0</v>
      </c>
      <c r="F534" s="12">
        <v>42917</v>
      </c>
      <c r="G534" t="s">
        <v>10</v>
      </c>
      <c r="H534" s="12">
        <v>42918</v>
      </c>
      <c r="I534" t="s">
        <v>23</v>
      </c>
    </row>
    <row r="535" spans="1:9" x14ac:dyDescent="0.2">
      <c r="A535" t="s">
        <v>238</v>
      </c>
      <c r="B535" s="2">
        <v>19.68</v>
      </c>
      <c r="C535">
        <v>1</v>
      </c>
      <c r="D535">
        <v>0</v>
      </c>
      <c r="E535">
        <v>0</v>
      </c>
      <c r="F535" s="12">
        <v>42917</v>
      </c>
      <c r="G535" t="s">
        <v>10</v>
      </c>
      <c r="H535" s="12">
        <v>42921</v>
      </c>
      <c r="I535" t="s">
        <v>236</v>
      </c>
    </row>
    <row r="536" spans="1:9" x14ac:dyDescent="0.2">
      <c r="A536" t="s">
        <v>363</v>
      </c>
      <c r="B536" s="2">
        <v>5</v>
      </c>
      <c r="C536">
        <v>0</v>
      </c>
      <c r="D536">
        <v>1</v>
      </c>
      <c r="E536">
        <v>0</v>
      </c>
      <c r="F536" s="12">
        <v>42917</v>
      </c>
      <c r="G536" t="s">
        <v>10</v>
      </c>
      <c r="H536" s="12">
        <v>42921</v>
      </c>
      <c r="I536" t="s">
        <v>29</v>
      </c>
    </row>
    <row r="537" spans="1:9" x14ac:dyDescent="0.2">
      <c r="A537" t="s">
        <v>77</v>
      </c>
      <c r="B537" s="2">
        <v>4</v>
      </c>
      <c r="C537">
        <v>0</v>
      </c>
      <c r="D537">
        <v>1</v>
      </c>
      <c r="E537">
        <v>0</v>
      </c>
      <c r="F537" s="12">
        <v>42917</v>
      </c>
      <c r="G537" t="s">
        <v>10</v>
      </c>
      <c r="H537" s="12">
        <v>42921</v>
      </c>
      <c r="I537" t="s">
        <v>29</v>
      </c>
    </row>
    <row r="538" spans="1:9" x14ac:dyDescent="0.2">
      <c r="A538" t="s">
        <v>364</v>
      </c>
      <c r="B538" s="2">
        <v>4.99</v>
      </c>
      <c r="C538">
        <v>0</v>
      </c>
      <c r="D538">
        <v>1</v>
      </c>
      <c r="E538">
        <v>0</v>
      </c>
      <c r="F538" s="12">
        <v>42917</v>
      </c>
      <c r="G538" t="s">
        <v>10</v>
      </c>
      <c r="H538" s="12">
        <v>42919</v>
      </c>
      <c r="I538" t="s">
        <v>29</v>
      </c>
    </row>
    <row r="539" spans="1:9" x14ac:dyDescent="0.2">
      <c r="A539" t="s">
        <v>365</v>
      </c>
      <c r="B539" s="2">
        <v>4.9000000000000004</v>
      </c>
      <c r="C539">
        <v>0</v>
      </c>
      <c r="D539">
        <v>1</v>
      </c>
      <c r="E539">
        <v>0</v>
      </c>
      <c r="F539" s="12">
        <v>42917</v>
      </c>
      <c r="G539" t="s">
        <v>10</v>
      </c>
      <c r="H539" s="12">
        <v>42919</v>
      </c>
      <c r="I539" t="s">
        <v>29</v>
      </c>
    </row>
    <row r="540" spans="1:9" x14ac:dyDescent="0.2">
      <c r="A540" t="s">
        <v>362</v>
      </c>
      <c r="B540" s="2">
        <v>100</v>
      </c>
      <c r="C540">
        <v>0</v>
      </c>
      <c r="D540">
        <v>1</v>
      </c>
      <c r="E540">
        <v>0</v>
      </c>
      <c r="F540" s="12">
        <v>42917</v>
      </c>
      <c r="G540" t="s">
        <v>10</v>
      </c>
      <c r="H540" s="12">
        <v>42922</v>
      </c>
      <c r="I540" t="s">
        <v>64</v>
      </c>
    </row>
    <row r="541" spans="1:9" x14ac:dyDescent="0.2">
      <c r="A541" t="s">
        <v>366</v>
      </c>
      <c r="B541" s="2">
        <v>28</v>
      </c>
      <c r="C541">
        <v>0</v>
      </c>
      <c r="D541">
        <v>1</v>
      </c>
      <c r="E541">
        <v>0</v>
      </c>
      <c r="F541" s="12">
        <v>42917</v>
      </c>
      <c r="G541" t="s">
        <v>10</v>
      </c>
      <c r="H541" s="12">
        <v>42922</v>
      </c>
      <c r="I541" t="s">
        <v>36</v>
      </c>
    </row>
    <row r="542" spans="1:9" x14ac:dyDescent="0.2">
      <c r="A542" t="s">
        <v>50</v>
      </c>
      <c r="B542" s="2">
        <v>3</v>
      </c>
      <c r="C542">
        <v>0</v>
      </c>
      <c r="D542">
        <v>1</v>
      </c>
      <c r="E542">
        <v>0</v>
      </c>
      <c r="F542" s="12">
        <v>42917</v>
      </c>
      <c r="G542" t="s">
        <v>10</v>
      </c>
      <c r="H542" s="12">
        <v>42922</v>
      </c>
      <c r="I542" t="s">
        <v>29</v>
      </c>
    </row>
    <row r="543" spans="1:9" x14ac:dyDescent="0.2">
      <c r="A543" t="s">
        <v>251</v>
      </c>
      <c r="B543" s="2">
        <v>50</v>
      </c>
      <c r="C543">
        <v>0</v>
      </c>
      <c r="D543">
        <v>1</v>
      </c>
      <c r="E543">
        <v>0</v>
      </c>
      <c r="F543" s="12">
        <v>42917</v>
      </c>
      <c r="G543" t="s">
        <v>10</v>
      </c>
      <c r="H543" s="12">
        <v>42923</v>
      </c>
      <c r="I543" t="s">
        <v>27</v>
      </c>
    </row>
    <row r="544" spans="1:9" x14ac:dyDescent="0.2">
      <c r="A544" t="s">
        <v>117</v>
      </c>
      <c r="B544" s="2">
        <v>30</v>
      </c>
      <c r="C544">
        <v>0</v>
      </c>
      <c r="D544">
        <v>1</v>
      </c>
      <c r="E544">
        <v>0</v>
      </c>
      <c r="F544" s="12">
        <v>42917</v>
      </c>
      <c r="G544" t="s">
        <v>10</v>
      </c>
      <c r="H544" s="12">
        <v>42924</v>
      </c>
      <c r="I544" t="s">
        <v>117</v>
      </c>
    </row>
    <row r="545" spans="1:9" x14ac:dyDescent="0.2">
      <c r="A545" t="s">
        <v>50</v>
      </c>
      <c r="B545" s="2">
        <v>4.5</v>
      </c>
      <c r="C545">
        <v>0</v>
      </c>
      <c r="D545">
        <v>1</v>
      </c>
      <c r="E545">
        <v>0</v>
      </c>
      <c r="F545" s="12">
        <v>42917</v>
      </c>
      <c r="G545" t="s">
        <v>10</v>
      </c>
      <c r="H545" s="12">
        <v>42924</v>
      </c>
      <c r="I545" t="s">
        <v>29</v>
      </c>
    </row>
    <row r="546" spans="1:9" x14ac:dyDescent="0.2">
      <c r="A546" t="s">
        <v>367</v>
      </c>
      <c r="B546" s="2">
        <v>186.4</v>
      </c>
      <c r="C546">
        <v>0</v>
      </c>
      <c r="D546">
        <v>1</v>
      </c>
      <c r="E546">
        <v>0</v>
      </c>
      <c r="F546" s="12">
        <v>42917</v>
      </c>
      <c r="G546" t="s">
        <v>10</v>
      </c>
      <c r="H546" s="12">
        <v>42924</v>
      </c>
      <c r="I546" t="s">
        <v>138</v>
      </c>
    </row>
    <row r="547" spans="1:9" x14ac:dyDescent="0.2">
      <c r="A547" t="s">
        <v>365</v>
      </c>
      <c r="B547" s="2">
        <v>26.8</v>
      </c>
      <c r="C547">
        <v>0</v>
      </c>
      <c r="D547">
        <v>1</v>
      </c>
      <c r="E547">
        <v>0</v>
      </c>
      <c r="F547" s="12">
        <v>42917</v>
      </c>
      <c r="G547" t="s">
        <v>10</v>
      </c>
      <c r="H547" s="12">
        <v>42923</v>
      </c>
      <c r="I547" t="s">
        <v>29</v>
      </c>
    </row>
    <row r="548" spans="1:9" x14ac:dyDescent="0.2">
      <c r="A548" t="s">
        <v>368</v>
      </c>
      <c r="B548" s="2">
        <v>12.15</v>
      </c>
      <c r="C548">
        <v>0</v>
      </c>
      <c r="D548">
        <v>1</v>
      </c>
      <c r="E548">
        <v>0</v>
      </c>
      <c r="F548" s="12">
        <v>42917</v>
      </c>
      <c r="G548" t="s">
        <v>10</v>
      </c>
      <c r="H548" s="12">
        <v>42924</v>
      </c>
      <c r="I548" t="s">
        <v>23</v>
      </c>
    </row>
    <row r="549" spans="1:9" x14ac:dyDescent="0.2">
      <c r="A549" t="s">
        <v>369</v>
      </c>
      <c r="B549" s="2">
        <v>96.29</v>
      </c>
      <c r="C549">
        <v>0</v>
      </c>
      <c r="D549">
        <v>1</v>
      </c>
      <c r="E549">
        <v>0</v>
      </c>
      <c r="F549" s="12">
        <v>42917</v>
      </c>
      <c r="G549" t="s">
        <v>10</v>
      </c>
      <c r="H549" s="12">
        <v>42924</v>
      </c>
      <c r="I549" t="s">
        <v>53</v>
      </c>
    </row>
    <row r="550" spans="1:9" x14ac:dyDescent="0.2">
      <c r="A550" t="s">
        <v>370</v>
      </c>
      <c r="B550" s="2">
        <v>45.5</v>
      </c>
      <c r="C550">
        <v>0</v>
      </c>
      <c r="D550">
        <v>1</v>
      </c>
      <c r="E550">
        <v>0</v>
      </c>
      <c r="F550" s="12">
        <v>42917</v>
      </c>
      <c r="G550" t="s">
        <v>10</v>
      </c>
      <c r="H550" s="12">
        <v>42924</v>
      </c>
      <c r="I550" t="s">
        <v>98</v>
      </c>
    </row>
    <row r="551" spans="1:9" x14ac:dyDescent="0.2">
      <c r="A551" t="s">
        <v>77</v>
      </c>
      <c r="B551" s="2">
        <v>4</v>
      </c>
      <c r="C551">
        <v>0</v>
      </c>
      <c r="D551">
        <v>1</v>
      </c>
      <c r="E551">
        <v>0</v>
      </c>
      <c r="F551" s="12">
        <v>42917</v>
      </c>
      <c r="G551" t="s">
        <v>43</v>
      </c>
      <c r="H551" s="12">
        <v>42926</v>
      </c>
      <c r="I551" t="s">
        <v>29</v>
      </c>
    </row>
    <row r="552" spans="1:9" x14ac:dyDescent="0.2">
      <c r="A552" t="s">
        <v>251</v>
      </c>
      <c r="B552" s="2">
        <v>50</v>
      </c>
      <c r="C552">
        <v>0</v>
      </c>
      <c r="D552">
        <v>1</v>
      </c>
      <c r="E552">
        <v>0</v>
      </c>
      <c r="F552" s="12">
        <v>42917</v>
      </c>
      <c r="G552" t="s">
        <v>10</v>
      </c>
      <c r="H552" s="12">
        <v>42924</v>
      </c>
      <c r="I552" t="s">
        <v>27</v>
      </c>
    </row>
    <row r="553" spans="1:9" x14ac:dyDescent="0.2">
      <c r="A553" t="s">
        <v>317</v>
      </c>
      <c r="B553" s="2">
        <v>3</v>
      </c>
      <c r="C553">
        <v>0</v>
      </c>
      <c r="D553">
        <v>1</v>
      </c>
      <c r="E553">
        <v>0</v>
      </c>
      <c r="F553" s="12">
        <v>42917</v>
      </c>
      <c r="G553" t="s">
        <v>43</v>
      </c>
      <c r="H553" s="12">
        <v>42926</v>
      </c>
      <c r="I553" t="s">
        <v>29</v>
      </c>
    </row>
    <row r="554" spans="1:9" x14ac:dyDescent="0.2">
      <c r="A554" t="s">
        <v>79</v>
      </c>
      <c r="B554" s="2">
        <v>5.5</v>
      </c>
      <c r="C554">
        <v>0</v>
      </c>
      <c r="D554">
        <v>1</v>
      </c>
      <c r="E554">
        <v>0</v>
      </c>
      <c r="F554" s="12">
        <v>42917</v>
      </c>
      <c r="G554" t="s">
        <v>43</v>
      </c>
      <c r="H554" s="12">
        <v>42926</v>
      </c>
      <c r="I554" t="s">
        <v>29</v>
      </c>
    </row>
    <row r="555" spans="1:9" x14ac:dyDescent="0.2">
      <c r="A555" t="s">
        <v>371</v>
      </c>
      <c r="B555" s="2">
        <v>12.5</v>
      </c>
      <c r="C555">
        <v>0</v>
      </c>
      <c r="D555">
        <v>1</v>
      </c>
      <c r="E555">
        <v>0</v>
      </c>
      <c r="F555" s="12">
        <v>42917</v>
      </c>
      <c r="G555" t="s">
        <v>10</v>
      </c>
      <c r="H555" s="12">
        <v>42924</v>
      </c>
      <c r="I555" t="s">
        <v>29</v>
      </c>
    </row>
    <row r="556" spans="1:9" x14ac:dyDescent="0.2">
      <c r="A556" t="s">
        <v>372</v>
      </c>
      <c r="B556" s="2">
        <v>3</v>
      </c>
      <c r="C556">
        <v>0</v>
      </c>
      <c r="D556">
        <v>1</v>
      </c>
      <c r="E556">
        <v>0</v>
      </c>
      <c r="F556" s="12">
        <v>42917</v>
      </c>
      <c r="G556" t="s">
        <v>10</v>
      </c>
      <c r="H556" s="12">
        <v>42924</v>
      </c>
      <c r="I556" t="s">
        <v>29</v>
      </c>
    </row>
    <row r="557" spans="1:9" x14ac:dyDescent="0.2">
      <c r="A557" t="s">
        <v>373</v>
      </c>
      <c r="B557" s="2">
        <v>3</v>
      </c>
      <c r="C557">
        <v>0</v>
      </c>
      <c r="D557">
        <v>1</v>
      </c>
      <c r="E557">
        <v>0</v>
      </c>
      <c r="F557" s="12">
        <v>42917</v>
      </c>
      <c r="G557" t="s">
        <v>10</v>
      </c>
      <c r="H557" s="12">
        <v>42924</v>
      </c>
      <c r="I557" t="s">
        <v>29</v>
      </c>
    </row>
    <row r="558" spans="1:9" x14ac:dyDescent="0.2">
      <c r="A558" t="s">
        <v>374</v>
      </c>
      <c r="B558" s="2">
        <v>2.73</v>
      </c>
      <c r="C558">
        <v>0</v>
      </c>
      <c r="D558">
        <v>1</v>
      </c>
      <c r="E558">
        <v>0</v>
      </c>
      <c r="F558" s="12">
        <v>42917</v>
      </c>
      <c r="G558" t="s">
        <v>10</v>
      </c>
      <c r="H558" s="12">
        <v>42924</v>
      </c>
      <c r="I558" t="s">
        <v>66</v>
      </c>
    </row>
    <row r="559" spans="1:9" x14ac:dyDescent="0.2">
      <c r="A559" t="s">
        <v>375</v>
      </c>
      <c r="B559" s="2">
        <v>8.31</v>
      </c>
      <c r="C559">
        <v>0</v>
      </c>
      <c r="D559">
        <v>1</v>
      </c>
      <c r="E559">
        <v>0</v>
      </c>
      <c r="F559" s="12">
        <v>42917</v>
      </c>
      <c r="G559" t="s">
        <v>10</v>
      </c>
      <c r="H559" s="12">
        <v>42925</v>
      </c>
      <c r="I559" t="s">
        <v>98</v>
      </c>
    </row>
    <row r="560" spans="1:9" x14ac:dyDescent="0.2">
      <c r="A560" t="s">
        <v>376</v>
      </c>
      <c r="B560" s="2">
        <v>2.5</v>
      </c>
      <c r="C560">
        <v>0</v>
      </c>
      <c r="D560">
        <v>1</v>
      </c>
      <c r="E560">
        <v>0</v>
      </c>
      <c r="F560" s="12">
        <v>42917</v>
      </c>
      <c r="G560" t="s">
        <v>43</v>
      </c>
      <c r="H560" s="12">
        <v>42927</v>
      </c>
      <c r="I560" t="s">
        <v>29</v>
      </c>
    </row>
    <row r="561" spans="1:9" x14ac:dyDescent="0.2">
      <c r="A561" t="s">
        <v>376</v>
      </c>
      <c r="B561" s="2">
        <v>3</v>
      </c>
      <c r="C561">
        <v>0</v>
      </c>
      <c r="D561">
        <v>1</v>
      </c>
      <c r="E561">
        <v>0</v>
      </c>
      <c r="F561" s="12">
        <v>42917</v>
      </c>
      <c r="G561" t="s">
        <v>43</v>
      </c>
      <c r="H561" s="12">
        <v>42927</v>
      </c>
      <c r="I561" t="s">
        <v>29</v>
      </c>
    </row>
    <row r="562" spans="1:9" x14ac:dyDescent="0.2">
      <c r="A562" t="s">
        <v>69</v>
      </c>
      <c r="B562" s="2">
        <v>7.9</v>
      </c>
      <c r="C562">
        <v>0</v>
      </c>
      <c r="D562">
        <v>1</v>
      </c>
      <c r="E562">
        <v>0</v>
      </c>
      <c r="F562" s="12">
        <v>42917</v>
      </c>
      <c r="G562" t="s">
        <v>43</v>
      </c>
      <c r="H562" s="12">
        <v>42927</v>
      </c>
      <c r="I562" t="s">
        <v>29</v>
      </c>
    </row>
    <row r="563" spans="1:9" x14ac:dyDescent="0.2">
      <c r="A563" t="s">
        <v>50</v>
      </c>
      <c r="B563" s="2">
        <v>3</v>
      </c>
      <c r="C563">
        <v>0</v>
      </c>
      <c r="D563">
        <v>1</v>
      </c>
      <c r="E563">
        <v>0</v>
      </c>
      <c r="F563" s="12">
        <v>42917</v>
      </c>
      <c r="G563" t="s">
        <v>43</v>
      </c>
      <c r="H563" s="12">
        <v>42928</v>
      </c>
      <c r="I563" t="s">
        <v>29</v>
      </c>
    </row>
    <row r="564" spans="1:9" x14ac:dyDescent="0.2">
      <c r="A564" t="s">
        <v>377</v>
      </c>
      <c r="B564" s="2">
        <v>12.39</v>
      </c>
      <c r="C564">
        <v>0</v>
      </c>
      <c r="D564">
        <v>1</v>
      </c>
      <c r="E564">
        <v>0</v>
      </c>
      <c r="F564" s="12">
        <v>42917</v>
      </c>
      <c r="G564" t="s">
        <v>43</v>
      </c>
      <c r="H564" s="12">
        <v>42928</v>
      </c>
      <c r="I564" t="s">
        <v>378</v>
      </c>
    </row>
    <row r="565" spans="1:9" x14ac:dyDescent="0.2">
      <c r="A565" t="s">
        <v>69</v>
      </c>
      <c r="B565" s="2">
        <v>6.9</v>
      </c>
      <c r="C565">
        <v>0</v>
      </c>
      <c r="D565">
        <v>1</v>
      </c>
      <c r="E565">
        <v>0</v>
      </c>
      <c r="F565" s="12">
        <v>42917</v>
      </c>
      <c r="G565" t="s">
        <v>43</v>
      </c>
      <c r="H565" s="12">
        <v>42929</v>
      </c>
      <c r="I565" t="s">
        <v>29</v>
      </c>
    </row>
    <row r="566" spans="1:9" x14ac:dyDescent="0.2">
      <c r="A566" t="s">
        <v>379</v>
      </c>
      <c r="B566" s="2">
        <v>6.75</v>
      </c>
      <c r="C566">
        <v>0</v>
      </c>
      <c r="D566">
        <v>1</v>
      </c>
      <c r="E566">
        <v>0</v>
      </c>
      <c r="F566" s="12">
        <v>42917</v>
      </c>
      <c r="G566" t="s">
        <v>43</v>
      </c>
      <c r="H566" s="12">
        <v>42930</v>
      </c>
      <c r="I566" t="s">
        <v>378</v>
      </c>
    </row>
    <row r="567" spans="1:9" x14ac:dyDescent="0.2">
      <c r="A567" t="s">
        <v>251</v>
      </c>
      <c r="B567" s="2">
        <v>50</v>
      </c>
      <c r="C567">
        <v>0</v>
      </c>
      <c r="D567">
        <v>1</v>
      </c>
      <c r="E567">
        <v>0</v>
      </c>
      <c r="F567" s="12">
        <v>42917</v>
      </c>
      <c r="G567" t="s">
        <v>43</v>
      </c>
      <c r="H567" s="12">
        <v>42931</v>
      </c>
      <c r="I567" t="s">
        <v>27</v>
      </c>
    </row>
    <row r="568" spans="1:9" x14ac:dyDescent="0.2">
      <c r="A568" t="s">
        <v>66</v>
      </c>
      <c r="B568" s="2">
        <v>15.43</v>
      </c>
      <c r="C568">
        <v>0</v>
      </c>
      <c r="D568">
        <v>1</v>
      </c>
      <c r="E568">
        <v>0</v>
      </c>
      <c r="F568" s="12">
        <v>42917</v>
      </c>
      <c r="G568" t="s">
        <v>43</v>
      </c>
      <c r="H568" s="12">
        <v>42931</v>
      </c>
      <c r="I568" t="s">
        <v>66</v>
      </c>
    </row>
    <row r="569" spans="1:9" x14ac:dyDescent="0.2">
      <c r="A569" t="s">
        <v>117</v>
      </c>
      <c r="B569" s="2">
        <v>20</v>
      </c>
      <c r="C569">
        <v>0</v>
      </c>
      <c r="D569">
        <v>1</v>
      </c>
      <c r="E569">
        <v>0</v>
      </c>
      <c r="F569" s="12">
        <v>42917</v>
      </c>
      <c r="G569" t="s">
        <v>43</v>
      </c>
      <c r="H569" s="12">
        <v>42931</v>
      </c>
      <c r="I569" t="s">
        <v>117</v>
      </c>
    </row>
    <row r="570" spans="1:9" x14ac:dyDescent="0.2">
      <c r="A570" t="s">
        <v>76</v>
      </c>
      <c r="B570" s="2">
        <v>21.8</v>
      </c>
      <c r="C570">
        <v>0</v>
      </c>
      <c r="D570">
        <v>1</v>
      </c>
      <c r="E570">
        <v>0</v>
      </c>
      <c r="F570" s="12">
        <v>42917</v>
      </c>
      <c r="G570" t="s">
        <v>43</v>
      </c>
      <c r="H570" s="12">
        <v>42931</v>
      </c>
      <c r="I570" t="s">
        <v>138</v>
      </c>
    </row>
    <row r="571" spans="1:9" x14ac:dyDescent="0.2">
      <c r="A571" t="s">
        <v>76</v>
      </c>
      <c r="B571" s="2">
        <v>30.9</v>
      </c>
      <c r="C571">
        <v>0</v>
      </c>
      <c r="D571">
        <v>1</v>
      </c>
      <c r="E571">
        <v>0</v>
      </c>
      <c r="F571" s="12">
        <v>42917</v>
      </c>
      <c r="G571" t="s">
        <v>43</v>
      </c>
      <c r="H571" s="12">
        <v>42931</v>
      </c>
      <c r="I571" t="s">
        <v>138</v>
      </c>
    </row>
    <row r="572" spans="1:9" x14ac:dyDescent="0.2">
      <c r="A572" t="s">
        <v>380</v>
      </c>
      <c r="B572" s="2">
        <v>37.5</v>
      </c>
      <c r="C572">
        <v>0</v>
      </c>
      <c r="D572">
        <v>1</v>
      </c>
      <c r="E572">
        <v>0</v>
      </c>
      <c r="F572" s="12">
        <v>42917</v>
      </c>
      <c r="G572" t="s">
        <v>43</v>
      </c>
      <c r="H572" s="12">
        <v>42931</v>
      </c>
      <c r="I572" t="s">
        <v>138</v>
      </c>
    </row>
    <row r="573" spans="1:9" x14ac:dyDescent="0.2">
      <c r="A573" t="s">
        <v>380</v>
      </c>
      <c r="B573" s="2">
        <v>6</v>
      </c>
      <c r="C573">
        <v>0</v>
      </c>
      <c r="D573">
        <v>1</v>
      </c>
      <c r="E573">
        <v>0</v>
      </c>
      <c r="F573" s="12">
        <v>42917</v>
      </c>
      <c r="G573" t="s">
        <v>43</v>
      </c>
      <c r="H573" s="12">
        <v>42931</v>
      </c>
      <c r="I573" t="s">
        <v>138</v>
      </c>
    </row>
    <row r="574" spans="1:9" x14ac:dyDescent="0.2">
      <c r="A574" t="s">
        <v>40</v>
      </c>
      <c r="B574" s="2">
        <v>16.399999999999999</v>
      </c>
      <c r="C574">
        <v>0</v>
      </c>
      <c r="D574">
        <v>1</v>
      </c>
      <c r="E574">
        <v>0</v>
      </c>
      <c r="F574" s="12">
        <v>42917</v>
      </c>
      <c r="G574" t="s">
        <v>43</v>
      </c>
      <c r="H574" s="12">
        <v>42931</v>
      </c>
      <c r="I574" t="s">
        <v>27</v>
      </c>
    </row>
    <row r="575" spans="1:9" x14ac:dyDescent="0.2">
      <c r="A575" t="s">
        <v>381</v>
      </c>
      <c r="B575" s="2">
        <v>6.55</v>
      </c>
      <c r="C575">
        <v>0</v>
      </c>
      <c r="D575">
        <v>1</v>
      </c>
      <c r="E575">
        <v>0</v>
      </c>
      <c r="F575" s="12">
        <v>42917</v>
      </c>
      <c r="G575" t="s">
        <v>43</v>
      </c>
      <c r="H575" s="12">
        <v>42932</v>
      </c>
      <c r="I575" t="s">
        <v>29</v>
      </c>
    </row>
    <row r="576" spans="1:9" x14ac:dyDescent="0.2">
      <c r="A576" t="s">
        <v>23</v>
      </c>
      <c r="B576" s="2">
        <v>29.41</v>
      </c>
      <c r="C576">
        <v>0</v>
      </c>
      <c r="D576">
        <v>1</v>
      </c>
      <c r="E576">
        <v>0</v>
      </c>
      <c r="F576" s="12">
        <v>42917</v>
      </c>
      <c r="G576" t="s">
        <v>43</v>
      </c>
      <c r="H576" s="12">
        <v>42932</v>
      </c>
      <c r="I576" t="s">
        <v>23</v>
      </c>
    </row>
    <row r="577" spans="1:9" x14ac:dyDescent="0.2">
      <c r="A577" t="s">
        <v>251</v>
      </c>
      <c r="B577" s="2">
        <v>50</v>
      </c>
      <c r="C577">
        <v>0</v>
      </c>
      <c r="D577">
        <v>1</v>
      </c>
      <c r="E577">
        <v>0</v>
      </c>
      <c r="F577" s="12">
        <v>42917</v>
      </c>
      <c r="G577" t="s">
        <v>43</v>
      </c>
      <c r="H577" s="12">
        <v>42932</v>
      </c>
      <c r="I577" t="s">
        <v>27</v>
      </c>
    </row>
    <row r="578" spans="1:9" x14ac:dyDescent="0.2">
      <c r="A578" t="s">
        <v>23</v>
      </c>
      <c r="B578" s="2">
        <v>3.24</v>
      </c>
      <c r="C578">
        <v>0</v>
      </c>
      <c r="D578">
        <v>1</v>
      </c>
      <c r="E578">
        <v>0</v>
      </c>
      <c r="F578" s="12">
        <v>42917</v>
      </c>
      <c r="G578" t="s">
        <v>58</v>
      </c>
      <c r="H578" s="12">
        <v>42933</v>
      </c>
      <c r="I578" t="s">
        <v>23</v>
      </c>
    </row>
    <row r="579" spans="1:9" x14ac:dyDescent="0.2">
      <c r="A579" t="s">
        <v>382</v>
      </c>
      <c r="B579" s="2">
        <v>6.48</v>
      </c>
      <c r="C579">
        <v>0</v>
      </c>
      <c r="D579">
        <v>1</v>
      </c>
      <c r="E579">
        <v>0</v>
      </c>
      <c r="F579" s="12">
        <v>42917</v>
      </c>
      <c r="G579" t="s">
        <v>58</v>
      </c>
      <c r="H579" s="12">
        <v>42933</v>
      </c>
      <c r="I579" t="s">
        <v>98</v>
      </c>
    </row>
    <row r="580" spans="1:9" x14ac:dyDescent="0.2">
      <c r="A580" t="s">
        <v>49</v>
      </c>
      <c r="B580" s="2">
        <v>5.78</v>
      </c>
      <c r="C580">
        <v>0</v>
      </c>
      <c r="D580">
        <v>1</v>
      </c>
      <c r="E580">
        <v>0</v>
      </c>
      <c r="F580" s="12">
        <v>42917</v>
      </c>
      <c r="G580" t="s">
        <v>58</v>
      </c>
      <c r="H580" s="12">
        <v>42934</v>
      </c>
      <c r="I580" t="s">
        <v>29</v>
      </c>
    </row>
    <row r="581" spans="1:9" x14ac:dyDescent="0.2">
      <c r="A581" t="s">
        <v>248</v>
      </c>
      <c r="B581" s="2">
        <v>5.07</v>
      </c>
      <c r="C581">
        <v>0</v>
      </c>
      <c r="D581">
        <v>1</v>
      </c>
      <c r="E581">
        <v>0</v>
      </c>
      <c r="F581" s="12">
        <v>42917</v>
      </c>
      <c r="G581" t="s">
        <v>58</v>
      </c>
      <c r="H581" s="12">
        <v>42934</v>
      </c>
      <c r="I581" t="s">
        <v>29</v>
      </c>
    </row>
    <row r="582" spans="1:9" x14ac:dyDescent="0.2">
      <c r="A582" t="s">
        <v>50</v>
      </c>
      <c r="B582" s="2">
        <v>2.99</v>
      </c>
      <c r="C582">
        <v>0</v>
      </c>
      <c r="D582">
        <v>1</v>
      </c>
      <c r="E582">
        <v>0</v>
      </c>
      <c r="F582" s="12">
        <v>42917</v>
      </c>
      <c r="G582" t="s">
        <v>58</v>
      </c>
      <c r="H582" s="12">
        <v>42935</v>
      </c>
      <c r="I582" t="s">
        <v>29</v>
      </c>
    </row>
    <row r="583" spans="1:9" x14ac:dyDescent="0.2">
      <c r="A583" t="s">
        <v>91</v>
      </c>
      <c r="B583" s="2">
        <v>8</v>
      </c>
      <c r="C583">
        <v>0</v>
      </c>
      <c r="D583">
        <v>1</v>
      </c>
      <c r="E583">
        <v>0</v>
      </c>
      <c r="F583" s="12">
        <v>42917</v>
      </c>
      <c r="G583" t="s">
        <v>58</v>
      </c>
      <c r="H583" s="12">
        <v>42935</v>
      </c>
      <c r="I583" t="s">
        <v>29</v>
      </c>
    </row>
    <row r="584" spans="1:9" x14ac:dyDescent="0.2">
      <c r="A584" t="s">
        <v>383</v>
      </c>
      <c r="B584" s="2">
        <v>7.4</v>
      </c>
      <c r="C584">
        <v>0</v>
      </c>
      <c r="D584">
        <v>1</v>
      </c>
      <c r="E584">
        <v>0</v>
      </c>
      <c r="F584" s="12">
        <v>42917</v>
      </c>
      <c r="G584" t="s">
        <v>58</v>
      </c>
      <c r="H584" s="12">
        <v>42935</v>
      </c>
      <c r="I584" t="s">
        <v>29</v>
      </c>
    </row>
    <row r="585" spans="1:9" x14ac:dyDescent="0.2">
      <c r="A585" t="s">
        <v>50</v>
      </c>
      <c r="B585" s="2">
        <v>3</v>
      </c>
      <c r="C585">
        <v>0</v>
      </c>
      <c r="D585">
        <v>1</v>
      </c>
      <c r="E585">
        <v>0</v>
      </c>
      <c r="F585" s="12">
        <v>42917</v>
      </c>
      <c r="G585" t="s">
        <v>58</v>
      </c>
      <c r="H585" s="12">
        <v>42935</v>
      </c>
      <c r="I585" t="s">
        <v>29</v>
      </c>
    </row>
    <row r="586" spans="1:9" x14ac:dyDescent="0.2">
      <c r="A586" t="s">
        <v>49</v>
      </c>
      <c r="B586" s="2">
        <v>5</v>
      </c>
      <c r="C586">
        <v>0</v>
      </c>
      <c r="D586">
        <v>1</v>
      </c>
      <c r="E586">
        <v>0</v>
      </c>
      <c r="F586" s="12">
        <v>42917</v>
      </c>
      <c r="G586" t="s">
        <v>58</v>
      </c>
      <c r="H586" s="12">
        <v>42935</v>
      </c>
      <c r="I586" t="s">
        <v>29</v>
      </c>
    </row>
    <row r="587" spans="1:9" x14ac:dyDescent="0.2">
      <c r="A587" t="s">
        <v>49</v>
      </c>
      <c r="B587" s="2">
        <v>4</v>
      </c>
      <c r="C587">
        <v>0</v>
      </c>
      <c r="D587">
        <v>1</v>
      </c>
      <c r="E587">
        <v>0</v>
      </c>
      <c r="F587" s="12">
        <v>42917</v>
      </c>
      <c r="G587" t="s">
        <v>58</v>
      </c>
      <c r="H587" s="12">
        <v>42937</v>
      </c>
      <c r="I587" t="s">
        <v>29</v>
      </c>
    </row>
    <row r="588" spans="1:9" x14ac:dyDescent="0.2">
      <c r="A588" t="s">
        <v>49</v>
      </c>
      <c r="B588" s="2">
        <v>7</v>
      </c>
      <c r="C588">
        <v>0</v>
      </c>
      <c r="D588">
        <v>1</v>
      </c>
      <c r="E588">
        <v>0</v>
      </c>
      <c r="F588" s="12">
        <v>42917</v>
      </c>
      <c r="G588" t="s">
        <v>58</v>
      </c>
      <c r="H588" s="12">
        <v>42937</v>
      </c>
      <c r="I588" t="s">
        <v>29</v>
      </c>
    </row>
    <row r="589" spans="1:9" x14ac:dyDescent="0.2">
      <c r="A589" t="s">
        <v>384</v>
      </c>
      <c r="B589" s="2">
        <v>15</v>
      </c>
      <c r="C589">
        <v>0</v>
      </c>
      <c r="D589">
        <v>1</v>
      </c>
      <c r="E589">
        <v>0</v>
      </c>
      <c r="F589" s="12">
        <v>42917</v>
      </c>
      <c r="G589" t="s">
        <v>58</v>
      </c>
      <c r="H589" s="12">
        <v>42940</v>
      </c>
      <c r="I589" t="s">
        <v>117</v>
      </c>
    </row>
    <row r="590" spans="1:9" x14ac:dyDescent="0.2">
      <c r="A590" t="s">
        <v>49</v>
      </c>
      <c r="B590" s="2">
        <v>4.6900000000000004</v>
      </c>
      <c r="C590">
        <v>0</v>
      </c>
      <c r="D590">
        <v>1</v>
      </c>
      <c r="E590">
        <v>0</v>
      </c>
      <c r="F590" s="12">
        <v>42917</v>
      </c>
      <c r="G590" t="s">
        <v>58</v>
      </c>
      <c r="H590" s="12">
        <v>42940</v>
      </c>
      <c r="I590" t="s">
        <v>29</v>
      </c>
    </row>
    <row r="591" spans="1:9" x14ac:dyDescent="0.2">
      <c r="A591" t="s">
        <v>317</v>
      </c>
      <c r="B591" s="2">
        <v>2.95</v>
      </c>
      <c r="C591">
        <v>0</v>
      </c>
      <c r="D591">
        <v>1</v>
      </c>
      <c r="E591">
        <v>0</v>
      </c>
      <c r="F591" s="12">
        <v>42917</v>
      </c>
      <c r="G591" t="s">
        <v>58</v>
      </c>
      <c r="H591" s="12">
        <v>42940</v>
      </c>
      <c r="I591" t="s">
        <v>29</v>
      </c>
    </row>
    <row r="592" spans="1:9" x14ac:dyDescent="0.2">
      <c r="A592" t="s">
        <v>317</v>
      </c>
      <c r="B592" s="2">
        <v>9</v>
      </c>
      <c r="C592">
        <v>0</v>
      </c>
      <c r="D592">
        <v>1</v>
      </c>
      <c r="E592">
        <v>0</v>
      </c>
      <c r="F592" s="12">
        <v>42917</v>
      </c>
      <c r="G592" t="s">
        <v>58</v>
      </c>
      <c r="H592" s="12">
        <v>42940</v>
      </c>
      <c r="I592" t="s">
        <v>29</v>
      </c>
    </row>
    <row r="593" spans="1:9" x14ac:dyDescent="0.2">
      <c r="A593" t="s">
        <v>251</v>
      </c>
      <c r="B593" s="2">
        <v>50</v>
      </c>
      <c r="C593">
        <v>0</v>
      </c>
      <c r="D593">
        <v>1</v>
      </c>
      <c r="E593">
        <v>0</v>
      </c>
      <c r="F593" s="12">
        <v>42917</v>
      </c>
      <c r="G593" t="s">
        <v>58</v>
      </c>
      <c r="H593" s="12">
        <v>42940</v>
      </c>
      <c r="I593" t="s">
        <v>27</v>
      </c>
    </row>
    <row r="594" spans="1:9" x14ac:dyDescent="0.2">
      <c r="A594" t="s">
        <v>23</v>
      </c>
      <c r="B594" s="2">
        <v>30.33</v>
      </c>
      <c r="C594">
        <v>0</v>
      </c>
      <c r="D594">
        <v>1</v>
      </c>
      <c r="E594">
        <v>0</v>
      </c>
      <c r="F594" s="12">
        <v>42917</v>
      </c>
      <c r="G594" t="s">
        <v>58</v>
      </c>
      <c r="H594" s="12">
        <v>42940</v>
      </c>
      <c r="I594" t="s">
        <v>23</v>
      </c>
    </row>
    <row r="595" spans="1:9" x14ac:dyDescent="0.2">
      <c r="A595" t="s">
        <v>66</v>
      </c>
      <c r="B595" s="2">
        <v>6.2</v>
      </c>
      <c r="C595">
        <v>0</v>
      </c>
      <c r="D595">
        <v>1</v>
      </c>
      <c r="E595">
        <v>0</v>
      </c>
      <c r="F595" s="12">
        <v>42917</v>
      </c>
      <c r="G595" t="s">
        <v>58</v>
      </c>
      <c r="H595" s="12">
        <v>42940</v>
      </c>
      <c r="I595" t="s">
        <v>66</v>
      </c>
    </row>
    <row r="596" spans="1:9" x14ac:dyDescent="0.2">
      <c r="A596" t="s">
        <v>49</v>
      </c>
      <c r="B596" s="2">
        <v>9.19</v>
      </c>
      <c r="C596">
        <v>0</v>
      </c>
      <c r="D596">
        <v>1</v>
      </c>
      <c r="E596">
        <v>0</v>
      </c>
      <c r="F596" s="12">
        <v>42917</v>
      </c>
      <c r="G596" t="s">
        <v>71</v>
      </c>
      <c r="H596" s="12">
        <v>42941</v>
      </c>
      <c r="I596" t="s">
        <v>29</v>
      </c>
    </row>
    <row r="597" spans="1:9" x14ac:dyDescent="0.2">
      <c r="A597" t="s">
        <v>23</v>
      </c>
      <c r="B597" s="2">
        <v>130.80000000000001</v>
      </c>
      <c r="C597">
        <v>0</v>
      </c>
      <c r="D597">
        <v>1</v>
      </c>
      <c r="E597">
        <v>0</v>
      </c>
      <c r="F597" s="12">
        <v>42917</v>
      </c>
      <c r="G597" t="s">
        <v>71</v>
      </c>
      <c r="H597" s="12">
        <v>42942</v>
      </c>
      <c r="I597" t="s">
        <v>23</v>
      </c>
    </row>
    <row r="598" spans="1:9" x14ac:dyDescent="0.2">
      <c r="A598" t="s">
        <v>385</v>
      </c>
      <c r="B598" s="2">
        <v>4</v>
      </c>
      <c r="C598">
        <v>0</v>
      </c>
      <c r="D598">
        <v>1</v>
      </c>
      <c r="E598">
        <v>0</v>
      </c>
      <c r="F598" s="12">
        <v>42917</v>
      </c>
      <c r="G598" t="s">
        <v>71</v>
      </c>
      <c r="H598" s="12">
        <v>42942</v>
      </c>
      <c r="I598" t="s">
        <v>29</v>
      </c>
    </row>
    <row r="599" spans="1:9" x14ac:dyDescent="0.2">
      <c r="A599" t="s">
        <v>346</v>
      </c>
      <c r="B599" s="2">
        <v>4.84</v>
      </c>
      <c r="C599">
        <v>0</v>
      </c>
      <c r="D599">
        <v>1</v>
      </c>
      <c r="E599">
        <v>0</v>
      </c>
      <c r="F599" s="12">
        <v>42917</v>
      </c>
      <c r="G599" t="s">
        <v>71</v>
      </c>
      <c r="H599" s="12">
        <v>42942</v>
      </c>
      <c r="I599" t="s">
        <v>346</v>
      </c>
    </row>
    <row r="600" spans="1:9" x14ac:dyDescent="0.2">
      <c r="A600" t="s">
        <v>69</v>
      </c>
      <c r="B600" s="2">
        <v>5</v>
      </c>
      <c r="C600">
        <v>0</v>
      </c>
      <c r="D600">
        <v>1</v>
      </c>
      <c r="E600">
        <v>0</v>
      </c>
      <c r="F600" s="12">
        <v>42917</v>
      </c>
      <c r="G600" t="s">
        <v>71</v>
      </c>
      <c r="H600" s="12">
        <v>42943</v>
      </c>
      <c r="I600" t="s">
        <v>29</v>
      </c>
    </row>
    <row r="601" spans="1:9" x14ac:dyDescent="0.2">
      <c r="A601" t="s">
        <v>386</v>
      </c>
      <c r="B601" s="2">
        <v>20</v>
      </c>
      <c r="C601">
        <v>0</v>
      </c>
      <c r="D601">
        <v>1</v>
      </c>
      <c r="E601">
        <v>0</v>
      </c>
      <c r="F601" s="12">
        <v>42917</v>
      </c>
      <c r="G601" t="s">
        <v>71</v>
      </c>
      <c r="H601" s="12">
        <v>42943</v>
      </c>
      <c r="I601" t="s">
        <v>29</v>
      </c>
    </row>
    <row r="602" spans="1:9" x14ac:dyDescent="0.2">
      <c r="A602" t="s">
        <v>387</v>
      </c>
      <c r="B602" s="2">
        <v>2.19</v>
      </c>
      <c r="C602">
        <v>0</v>
      </c>
      <c r="D602">
        <v>1</v>
      </c>
      <c r="E602">
        <v>0</v>
      </c>
      <c r="F602" s="12">
        <v>42917</v>
      </c>
      <c r="G602" t="s">
        <v>71</v>
      </c>
      <c r="H602" s="12">
        <v>42943</v>
      </c>
      <c r="I602" t="s">
        <v>29</v>
      </c>
    </row>
    <row r="603" spans="1:9" x14ac:dyDescent="0.2">
      <c r="A603" t="s">
        <v>241</v>
      </c>
      <c r="B603" s="2">
        <v>7.76</v>
      </c>
      <c r="C603">
        <v>0</v>
      </c>
      <c r="D603">
        <v>1</v>
      </c>
      <c r="E603">
        <v>0</v>
      </c>
      <c r="F603" s="12">
        <v>42917</v>
      </c>
      <c r="G603" t="s">
        <v>71</v>
      </c>
      <c r="H603" s="12">
        <v>42943</v>
      </c>
      <c r="I603" t="s">
        <v>29</v>
      </c>
    </row>
    <row r="604" spans="1:9" x14ac:dyDescent="0.2">
      <c r="A604" t="s">
        <v>49</v>
      </c>
      <c r="B604" s="2">
        <v>4.8</v>
      </c>
      <c r="C604">
        <v>0</v>
      </c>
      <c r="D604">
        <v>1</v>
      </c>
      <c r="E604">
        <v>0</v>
      </c>
      <c r="F604" s="12">
        <v>42917</v>
      </c>
      <c r="G604" t="s">
        <v>71</v>
      </c>
      <c r="H604" s="12">
        <v>42943</v>
      </c>
      <c r="I604" t="s">
        <v>29</v>
      </c>
    </row>
    <row r="605" spans="1:9" x14ac:dyDescent="0.2">
      <c r="A605" t="s">
        <v>251</v>
      </c>
      <c r="B605" s="2">
        <v>28.13</v>
      </c>
      <c r="C605">
        <v>0</v>
      </c>
      <c r="D605">
        <v>1</v>
      </c>
      <c r="E605">
        <v>0</v>
      </c>
      <c r="F605" s="12">
        <v>42917</v>
      </c>
      <c r="G605" t="s">
        <v>71</v>
      </c>
      <c r="H605" s="12">
        <v>42944</v>
      </c>
      <c r="I605" t="s">
        <v>27</v>
      </c>
    </row>
    <row r="606" spans="1:9" x14ac:dyDescent="0.2">
      <c r="A606" t="s">
        <v>388</v>
      </c>
      <c r="B606" s="2">
        <v>48</v>
      </c>
      <c r="C606">
        <v>0</v>
      </c>
      <c r="D606">
        <v>1</v>
      </c>
      <c r="E606">
        <v>0</v>
      </c>
      <c r="F606" s="12">
        <v>42917</v>
      </c>
      <c r="G606" t="s">
        <v>71</v>
      </c>
      <c r="H606" s="12">
        <v>42947</v>
      </c>
      <c r="I606" t="s">
        <v>76</v>
      </c>
    </row>
    <row r="607" spans="1:9" x14ac:dyDescent="0.2">
      <c r="A607" t="s">
        <v>389</v>
      </c>
      <c r="B607" s="2">
        <v>17.899999999999999</v>
      </c>
      <c r="C607">
        <v>0</v>
      </c>
      <c r="D607">
        <v>1</v>
      </c>
      <c r="E607">
        <v>0</v>
      </c>
      <c r="F607" s="12">
        <v>42917</v>
      </c>
      <c r="G607" t="s">
        <v>71</v>
      </c>
      <c r="H607" s="12">
        <v>42947</v>
      </c>
      <c r="I607" t="s">
        <v>29</v>
      </c>
    </row>
    <row r="608" spans="1:9" x14ac:dyDescent="0.2">
      <c r="A608" t="s">
        <v>390</v>
      </c>
      <c r="B608" s="2">
        <v>2</v>
      </c>
      <c r="C608">
        <v>0</v>
      </c>
      <c r="D608">
        <v>1</v>
      </c>
      <c r="E608">
        <v>0</v>
      </c>
      <c r="F608" s="12">
        <v>42917</v>
      </c>
      <c r="G608" t="s">
        <v>71</v>
      </c>
      <c r="H608" s="12">
        <v>42947</v>
      </c>
      <c r="I608" t="s">
        <v>53</v>
      </c>
    </row>
    <row r="609" spans="1:9" x14ac:dyDescent="0.2">
      <c r="A609" t="s">
        <v>49</v>
      </c>
      <c r="B609" s="2">
        <v>10</v>
      </c>
      <c r="C609">
        <v>0</v>
      </c>
      <c r="D609">
        <v>1</v>
      </c>
      <c r="E609">
        <v>0</v>
      </c>
      <c r="F609" s="12">
        <v>42917</v>
      </c>
      <c r="G609" t="s">
        <v>71</v>
      </c>
      <c r="H609" s="12">
        <v>42947</v>
      </c>
      <c r="I609" t="s">
        <v>29</v>
      </c>
    </row>
    <row r="610" spans="1:9" x14ac:dyDescent="0.2">
      <c r="A610" t="s">
        <v>49</v>
      </c>
      <c r="B610" s="2">
        <v>20</v>
      </c>
      <c r="C610">
        <v>0</v>
      </c>
      <c r="D610">
        <v>1</v>
      </c>
      <c r="E610">
        <v>0</v>
      </c>
      <c r="F610" s="12">
        <v>42917</v>
      </c>
      <c r="G610" t="s">
        <v>71</v>
      </c>
      <c r="H610" s="12">
        <v>42947</v>
      </c>
      <c r="I610" t="s">
        <v>29</v>
      </c>
    </row>
    <row r="611" spans="1:9" x14ac:dyDescent="0.2">
      <c r="A611" t="s">
        <v>23</v>
      </c>
      <c r="B611" s="2">
        <v>8.8000000000000007</v>
      </c>
      <c r="C611">
        <v>0</v>
      </c>
      <c r="D611">
        <v>1</v>
      </c>
      <c r="E611">
        <v>0</v>
      </c>
      <c r="F611" s="12">
        <v>42917</v>
      </c>
      <c r="G611" t="s">
        <v>71</v>
      </c>
      <c r="H611" s="12">
        <v>42947</v>
      </c>
      <c r="I611" t="s">
        <v>23</v>
      </c>
    </row>
    <row r="612" spans="1:9" x14ac:dyDescent="0.2">
      <c r="A612" t="s">
        <v>23</v>
      </c>
      <c r="B612" s="2">
        <v>6.2</v>
      </c>
      <c r="C612">
        <v>0</v>
      </c>
      <c r="D612">
        <v>1</v>
      </c>
      <c r="E612">
        <v>0</v>
      </c>
      <c r="F612" s="12">
        <v>42917</v>
      </c>
      <c r="G612" t="s">
        <v>71</v>
      </c>
      <c r="H612" s="12">
        <v>42947</v>
      </c>
      <c r="I612" t="s">
        <v>23</v>
      </c>
    </row>
    <row r="613" spans="1:9" x14ac:dyDescent="0.2">
      <c r="A613" t="s">
        <v>391</v>
      </c>
      <c r="B613" s="2">
        <v>29.54</v>
      </c>
      <c r="C613">
        <v>0</v>
      </c>
      <c r="D613">
        <v>1</v>
      </c>
      <c r="E613">
        <v>0</v>
      </c>
      <c r="F613" s="12">
        <v>42917</v>
      </c>
      <c r="G613" t="s">
        <v>71</v>
      </c>
      <c r="H613" s="12">
        <v>42947</v>
      </c>
      <c r="I613" t="s">
        <v>29</v>
      </c>
    </row>
    <row r="614" spans="1:9" x14ac:dyDescent="0.2">
      <c r="A614" t="s">
        <v>392</v>
      </c>
      <c r="B614" s="2">
        <v>68.099999999999994</v>
      </c>
      <c r="C614">
        <v>1</v>
      </c>
      <c r="D614">
        <v>0</v>
      </c>
      <c r="E614">
        <v>0</v>
      </c>
      <c r="F614" s="12">
        <v>42917</v>
      </c>
      <c r="G614" t="s">
        <v>71</v>
      </c>
      <c r="H614" s="12">
        <v>42947</v>
      </c>
      <c r="I614" t="s">
        <v>27</v>
      </c>
    </row>
    <row r="615" spans="1:9" x14ac:dyDescent="0.2">
      <c r="A615" t="s">
        <v>393</v>
      </c>
      <c r="B615" s="2">
        <v>105.65</v>
      </c>
      <c r="C615">
        <v>1</v>
      </c>
      <c r="D615">
        <v>0</v>
      </c>
      <c r="E615">
        <v>0</v>
      </c>
      <c r="F615" s="12">
        <v>42917</v>
      </c>
      <c r="G615" t="s">
        <v>71</v>
      </c>
      <c r="H615" s="12">
        <v>42947</v>
      </c>
      <c r="I615" t="s">
        <v>27</v>
      </c>
    </row>
    <row r="616" spans="1:9" x14ac:dyDescent="0.2">
      <c r="A616" t="s">
        <v>394</v>
      </c>
      <c r="B616" s="2">
        <v>193.04</v>
      </c>
      <c r="C616">
        <v>1</v>
      </c>
      <c r="D616">
        <v>0</v>
      </c>
      <c r="E616">
        <v>0</v>
      </c>
      <c r="F616" s="12">
        <v>42917</v>
      </c>
      <c r="G616" t="s">
        <v>71</v>
      </c>
      <c r="H616" s="12">
        <v>42947</v>
      </c>
      <c r="I616" t="s">
        <v>27</v>
      </c>
    </row>
    <row r="617" spans="1:9" x14ac:dyDescent="0.2">
      <c r="A617" t="s">
        <v>395</v>
      </c>
      <c r="B617" s="2">
        <v>190.5</v>
      </c>
      <c r="C617">
        <v>1</v>
      </c>
      <c r="D617">
        <v>0</v>
      </c>
      <c r="E617">
        <v>0</v>
      </c>
      <c r="F617" s="12">
        <v>42917</v>
      </c>
      <c r="G617" t="s">
        <v>71</v>
      </c>
      <c r="H617" s="12">
        <v>42947</v>
      </c>
      <c r="I617" t="s">
        <v>27</v>
      </c>
    </row>
    <row r="618" spans="1:9" x14ac:dyDescent="0.2">
      <c r="A618" t="s">
        <v>64</v>
      </c>
      <c r="B618" s="2">
        <v>20</v>
      </c>
      <c r="C618">
        <v>0</v>
      </c>
      <c r="D618">
        <v>1</v>
      </c>
      <c r="E618">
        <v>0</v>
      </c>
      <c r="F618" s="12">
        <v>42917</v>
      </c>
      <c r="G618" t="s">
        <v>71</v>
      </c>
      <c r="H618" s="12">
        <v>42947</v>
      </c>
      <c r="I618" t="s">
        <v>64</v>
      </c>
    </row>
    <row r="619" spans="1:9" x14ac:dyDescent="0.2">
      <c r="A619" t="s">
        <v>396</v>
      </c>
      <c r="B619" s="2">
        <v>10</v>
      </c>
      <c r="C619">
        <v>0</v>
      </c>
      <c r="D619">
        <v>1</v>
      </c>
      <c r="E619">
        <v>0</v>
      </c>
      <c r="F619" s="12">
        <v>42917</v>
      </c>
      <c r="G619" t="s">
        <v>71</v>
      </c>
      <c r="H619" s="12">
        <v>42947</v>
      </c>
      <c r="I619" t="s">
        <v>29</v>
      </c>
    </row>
    <row r="620" spans="1:9" x14ac:dyDescent="0.2">
      <c r="A620" t="s">
        <v>44</v>
      </c>
      <c r="B620" s="2">
        <v>12.71</v>
      </c>
      <c r="C620">
        <v>0</v>
      </c>
      <c r="D620">
        <v>1</v>
      </c>
      <c r="E620">
        <v>0</v>
      </c>
      <c r="F620" s="12">
        <v>42917</v>
      </c>
      <c r="G620" t="s">
        <v>71</v>
      </c>
      <c r="H620" s="12">
        <v>42947</v>
      </c>
      <c r="I620" t="s">
        <v>53</v>
      </c>
    </row>
    <row r="621" spans="1:9" x14ac:dyDescent="0.2">
      <c r="A621" s="4" t="s">
        <v>24</v>
      </c>
      <c r="B621" s="5">
        <v>68.95</v>
      </c>
      <c r="C621" s="4">
        <v>1</v>
      </c>
      <c r="D621" s="4">
        <v>0</v>
      </c>
      <c r="E621" s="4">
        <v>0</v>
      </c>
      <c r="F621" s="13">
        <v>42948</v>
      </c>
      <c r="G621" s="4" t="s">
        <v>10</v>
      </c>
      <c r="H621" s="13">
        <v>42949</v>
      </c>
      <c r="I621" s="4" t="s">
        <v>25</v>
      </c>
    </row>
    <row r="622" spans="1:9" x14ac:dyDescent="0.2">
      <c r="A622" s="4" t="s">
        <v>35</v>
      </c>
      <c r="B622" s="2">
        <v>416.36</v>
      </c>
      <c r="C622" s="4">
        <v>1</v>
      </c>
      <c r="D622" s="4">
        <v>0</v>
      </c>
      <c r="E622" s="4">
        <v>0</v>
      </c>
      <c r="F622" s="13">
        <v>42948</v>
      </c>
      <c r="G622" s="4" t="s">
        <v>43</v>
      </c>
      <c r="H622" s="13">
        <v>42955</v>
      </c>
      <c r="I622" s="4" t="s">
        <v>36</v>
      </c>
    </row>
    <row r="623" spans="1:9" x14ac:dyDescent="0.2">
      <c r="A623" s="4" t="s">
        <v>39</v>
      </c>
      <c r="B623" s="5">
        <v>107.77</v>
      </c>
      <c r="C623" s="4">
        <v>1</v>
      </c>
      <c r="D623" s="4">
        <v>0</v>
      </c>
      <c r="E623" s="4">
        <v>0</v>
      </c>
      <c r="F623" s="13">
        <v>42948</v>
      </c>
      <c r="G623" s="4" t="s">
        <v>58</v>
      </c>
      <c r="H623" s="13">
        <v>42965</v>
      </c>
      <c r="I623" s="4" t="s">
        <v>36</v>
      </c>
    </row>
    <row r="624" spans="1:9" x14ac:dyDescent="0.2">
      <c r="A624" s="4" t="s">
        <v>20</v>
      </c>
      <c r="B624" s="2">
        <f>SUMIFS([1]credito!$B$2:$B$130,[1]credito!$F$2:$F$130,F624,[1]credito!$G$2:$G$130,0)</f>
        <v>1708.45</v>
      </c>
      <c r="C624" s="4">
        <v>1</v>
      </c>
      <c r="D624" s="4">
        <v>0</v>
      </c>
      <c r="E624" s="4">
        <v>0</v>
      </c>
      <c r="F624" s="13">
        <v>42948</v>
      </c>
      <c r="G624" s="4" t="s">
        <v>58</v>
      </c>
      <c r="H624" s="13">
        <v>42964</v>
      </c>
      <c r="I624" s="4" t="s">
        <v>21</v>
      </c>
    </row>
    <row r="625" spans="1:9" x14ac:dyDescent="0.2">
      <c r="A625" s="4" t="s">
        <v>57</v>
      </c>
      <c r="B625" s="5">
        <v>658.67</v>
      </c>
      <c r="C625" s="4">
        <v>1</v>
      </c>
      <c r="D625" s="4">
        <v>0</v>
      </c>
      <c r="E625" s="4">
        <v>0</v>
      </c>
      <c r="F625" s="13">
        <v>42948</v>
      </c>
      <c r="G625" s="4" t="s">
        <v>58</v>
      </c>
      <c r="H625" s="13">
        <v>42962</v>
      </c>
      <c r="I625" s="4" t="s">
        <v>59</v>
      </c>
    </row>
    <row r="626" spans="1:9" x14ac:dyDescent="0.2">
      <c r="A626" s="4" t="s">
        <v>47</v>
      </c>
      <c r="B626" s="5">
        <v>158</v>
      </c>
      <c r="C626" s="4">
        <v>1</v>
      </c>
      <c r="D626" s="4">
        <v>0</v>
      </c>
      <c r="E626" s="4">
        <v>0</v>
      </c>
      <c r="F626" s="13">
        <v>42948</v>
      </c>
      <c r="G626" s="4" t="s">
        <v>58</v>
      </c>
      <c r="H626" s="13">
        <v>42963</v>
      </c>
      <c r="I626" s="4" t="s">
        <v>47</v>
      </c>
    </row>
    <row r="627" spans="1:9" x14ac:dyDescent="0.2">
      <c r="A627" s="4" t="s">
        <v>33</v>
      </c>
      <c r="B627" s="5">
        <v>300</v>
      </c>
      <c r="C627" s="4">
        <v>1</v>
      </c>
      <c r="D627" s="4">
        <v>0</v>
      </c>
      <c r="E627" s="4">
        <v>0</v>
      </c>
      <c r="F627" s="13">
        <v>42948</v>
      </c>
      <c r="G627" s="4" t="s">
        <v>10</v>
      </c>
      <c r="H627" s="13">
        <v>42949</v>
      </c>
      <c r="I627" s="4" t="s">
        <v>34</v>
      </c>
    </row>
    <row r="628" spans="1:9" x14ac:dyDescent="0.2">
      <c r="A628" s="4" t="s">
        <v>48</v>
      </c>
      <c r="B628" s="5">
        <v>6.03</v>
      </c>
      <c r="C628" s="4">
        <v>1</v>
      </c>
      <c r="D628" s="4">
        <v>0</v>
      </c>
      <c r="E628" s="4">
        <v>0</v>
      </c>
      <c r="F628" s="13">
        <v>42948</v>
      </c>
      <c r="G628" s="4" t="s">
        <v>58</v>
      </c>
      <c r="H628" s="13">
        <v>42963</v>
      </c>
      <c r="I628" s="4" t="s">
        <v>25</v>
      </c>
    </row>
    <row r="629" spans="1:9" x14ac:dyDescent="0.2">
      <c r="A629" s="4" t="s">
        <v>60</v>
      </c>
      <c r="B629" s="5">
        <v>50</v>
      </c>
      <c r="C629" s="4">
        <v>1</v>
      </c>
      <c r="D629" s="4">
        <v>0</v>
      </c>
      <c r="E629" s="4">
        <v>0</v>
      </c>
      <c r="F629" s="13">
        <v>42948</v>
      </c>
      <c r="G629" s="4" t="s">
        <v>58</v>
      </c>
      <c r="H629" s="13">
        <v>42963</v>
      </c>
      <c r="I629" s="4" t="s">
        <v>61</v>
      </c>
    </row>
    <row r="630" spans="1:9" x14ac:dyDescent="0.2">
      <c r="A630" s="4" t="s">
        <v>50</v>
      </c>
      <c r="B630" s="5">
        <v>0</v>
      </c>
      <c r="C630" s="4">
        <v>0</v>
      </c>
      <c r="D630" s="4">
        <v>1</v>
      </c>
      <c r="E630" s="4">
        <v>0</v>
      </c>
      <c r="F630" s="13">
        <v>42948</v>
      </c>
      <c r="G630" s="4" t="s">
        <v>10</v>
      </c>
      <c r="H630" s="13">
        <v>42949</v>
      </c>
      <c r="I630" s="4" t="s">
        <v>29</v>
      </c>
    </row>
    <row r="631" spans="1:9" x14ac:dyDescent="0.2">
      <c r="A631" s="4" t="s">
        <v>34</v>
      </c>
      <c r="B631" s="5">
        <v>0</v>
      </c>
      <c r="C631" s="4">
        <v>0</v>
      </c>
      <c r="D631" s="4">
        <v>1</v>
      </c>
      <c r="E631" s="4">
        <v>0</v>
      </c>
      <c r="F631" s="13">
        <v>42948</v>
      </c>
      <c r="G631" s="4" t="s">
        <v>10</v>
      </c>
      <c r="H631" s="13">
        <v>42950</v>
      </c>
      <c r="I631" s="4" t="s">
        <v>34</v>
      </c>
    </row>
    <row r="632" spans="1:9" x14ac:dyDescent="0.2">
      <c r="A632" s="4" t="s">
        <v>50</v>
      </c>
      <c r="B632" s="5">
        <v>2.99</v>
      </c>
      <c r="C632" s="4">
        <v>0</v>
      </c>
      <c r="D632" s="4">
        <v>1</v>
      </c>
      <c r="E632" s="4">
        <v>0</v>
      </c>
      <c r="F632" s="13">
        <v>42948</v>
      </c>
      <c r="G632" s="4" t="s">
        <v>10</v>
      </c>
      <c r="H632" s="13">
        <v>42950</v>
      </c>
      <c r="I632" s="4" t="s">
        <v>29</v>
      </c>
    </row>
    <row r="633" spans="1:9" x14ac:dyDescent="0.2">
      <c r="A633" s="4" t="s">
        <v>23</v>
      </c>
      <c r="B633" s="5">
        <v>14.79</v>
      </c>
      <c r="C633" s="4">
        <v>0</v>
      </c>
      <c r="D633" s="4">
        <v>1</v>
      </c>
      <c r="E633" s="4">
        <v>0</v>
      </c>
      <c r="F633" s="13">
        <v>42948</v>
      </c>
      <c r="G633" s="4" t="s">
        <v>10</v>
      </c>
      <c r="H633" s="13">
        <v>42949</v>
      </c>
      <c r="I633" s="4" t="s">
        <v>23</v>
      </c>
    </row>
    <row r="634" spans="1:9" x14ac:dyDescent="0.2">
      <c r="A634" s="4" t="s">
        <v>391</v>
      </c>
      <c r="B634" s="5">
        <v>11.15</v>
      </c>
      <c r="C634" s="4">
        <v>0</v>
      </c>
      <c r="D634" s="4">
        <v>1</v>
      </c>
      <c r="E634" s="4">
        <v>0</v>
      </c>
      <c r="F634" s="13">
        <v>42948</v>
      </c>
      <c r="G634" s="4" t="s">
        <v>10</v>
      </c>
      <c r="H634" s="13">
        <v>42949</v>
      </c>
      <c r="I634" s="4" t="s">
        <v>29</v>
      </c>
    </row>
    <row r="635" spans="1:9" x14ac:dyDescent="0.2">
      <c r="A635" s="4" t="s">
        <v>227</v>
      </c>
      <c r="B635" s="5">
        <v>2.87</v>
      </c>
      <c r="C635" s="4">
        <v>0</v>
      </c>
      <c r="D635" s="4">
        <v>1</v>
      </c>
      <c r="E635" s="4">
        <v>0</v>
      </c>
      <c r="F635" s="13">
        <v>42948</v>
      </c>
      <c r="G635" s="4" t="s">
        <v>10</v>
      </c>
      <c r="H635" s="13">
        <v>42949</v>
      </c>
      <c r="I635" s="4" t="s">
        <v>236</v>
      </c>
    </row>
    <row r="636" spans="1:9" x14ac:dyDescent="0.2">
      <c r="A636" s="4" t="s">
        <v>397</v>
      </c>
      <c r="B636" s="5">
        <v>156.19</v>
      </c>
      <c r="C636" s="4">
        <v>0</v>
      </c>
      <c r="D636" s="4">
        <v>1</v>
      </c>
      <c r="E636" s="4">
        <v>0</v>
      </c>
      <c r="F636" s="13">
        <v>42948</v>
      </c>
      <c r="G636" s="4" t="s">
        <v>10</v>
      </c>
      <c r="H636" s="13">
        <v>42949</v>
      </c>
      <c r="I636" s="4" t="s">
        <v>27</v>
      </c>
    </row>
    <row r="637" spans="1:9" x14ac:dyDescent="0.2">
      <c r="A637" s="4" t="s">
        <v>398</v>
      </c>
      <c r="B637" s="5">
        <v>4</v>
      </c>
      <c r="C637" s="4">
        <v>0</v>
      </c>
      <c r="D637" s="4">
        <v>1</v>
      </c>
      <c r="E637" s="4">
        <v>0</v>
      </c>
      <c r="F637" s="13">
        <v>42948</v>
      </c>
      <c r="G637" s="4" t="s">
        <v>10</v>
      </c>
      <c r="H637" s="13">
        <v>42949</v>
      </c>
      <c r="I637" s="4" t="s">
        <v>29</v>
      </c>
    </row>
    <row r="638" spans="1:9" x14ac:dyDescent="0.2">
      <c r="A638" s="4" t="s">
        <v>49</v>
      </c>
      <c r="B638" s="5">
        <v>5.0999999999999996</v>
      </c>
      <c r="C638" s="4">
        <v>0</v>
      </c>
      <c r="D638" s="4">
        <v>1</v>
      </c>
      <c r="E638" s="4">
        <v>0</v>
      </c>
      <c r="F638" s="13">
        <v>42948</v>
      </c>
      <c r="G638" s="4" t="s">
        <v>10</v>
      </c>
      <c r="H638" s="13">
        <v>42949</v>
      </c>
      <c r="I638" s="4" t="s">
        <v>29</v>
      </c>
    </row>
    <row r="639" spans="1:9" x14ac:dyDescent="0.2">
      <c r="A639" s="4" t="s">
        <v>85</v>
      </c>
      <c r="B639" s="5">
        <v>20</v>
      </c>
      <c r="C639" s="4">
        <v>0</v>
      </c>
      <c r="D639" s="4">
        <v>1</v>
      </c>
      <c r="E639" s="4">
        <v>0</v>
      </c>
      <c r="F639" s="13">
        <v>42948</v>
      </c>
      <c r="G639" s="4" t="s">
        <v>10</v>
      </c>
      <c r="H639" s="13">
        <v>42950</v>
      </c>
      <c r="I639" s="4" t="s">
        <v>85</v>
      </c>
    </row>
    <row r="640" spans="1:9" x14ac:dyDescent="0.2">
      <c r="A640" s="4" t="s">
        <v>346</v>
      </c>
      <c r="B640" s="5">
        <v>1</v>
      </c>
      <c r="C640" s="4">
        <v>0</v>
      </c>
      <c r="D640" s="4">
        <v>1</v>
      </c>
      <c r="E640" s="4">
        <v>0</v>
      </c>
      <c r="F640" s="13">
        <v>42917</v>
      </c>
      <c r="G640" s="4" t="s">
        <v>71</v>
      </c>
      <c r="H640" s="13">
        <v>42942</v>
      </c>
      <c r="I640" s="4" t="s">
        <v>346</v>
      </c>
    </row>
    <row r="641" spans="1:9" x14ac:dyDescent="0.2">
      <c r="A641" s="4" t="s">
        <v>399</v>
      </c>
      <c r="B641" s="5">
        <v>0</v>
      </c>
      <c r="C641" s="4">
        <v>0</v>
      </c>
      <c r="D641" s="4">
        <v>0</v>
      </c>
      <c r="E641" s="4">
        <v>1</v>
      </c>
      <c r="F641" s="13">
        <v>42948</v>
      </c>
      <c r="G641" s="4" t="s">
        <v>10</v>
      </c>
      <c r="H641" s="13">
        <v>42950</v>
      </c>
      <c r="I641" s="4" t="s">
        <v>36</v>
      </c>
    </row>
    <row r="642" spans="1:9" x14ac:dyDescent="0.2">
      <c r="A642" s="4" t="s">
        <v>400</v>
      </c>
      <c r="B642" s="5">
        <v>8</v>
      </c>
      <c r="C642" s="4">
        <v>0</v>
      </c>
      <c r="D642" s="4">
        <v>1</v>
      </c>
      <c r="E642" s="4">
        <v>0</v>
      </c>
      <c r="F642" s="13">
        <v>42948</v>
      </c>
      <c r="G642" s="4" t="s">
        <v>10</v>
      </c>
      <c r="H642" s="13">
        <v>42950</v>
      </c>
      <c r="I642" s="4" t="s">
        <v>29</v>
      </c>
    </row>
    <row r="643" spans="1:9" x14ac:dyDescent="0.2">
      <c r="A643" s="4" t="s">
        <v>77</v>
      </c>
      <c r="B643" s="5">
        <v>4</v>
      </c>
      <c r="C643" s="4">
        <v>0</v>
      </c>
      <c r="D643" s="4">
        <v>1</v>
      </c>
      <c r="E643" s="4">
        <v>0</v>
      </c>
      <c r="F643" s="13">
        <v>42948</v>
      </c>
      <c r="G643" s="4" t="s">
        <v>10</v>
      </c>
      <c r="H643" s="13">
        <v>42951</v>
      </c>
      <c r="I643" s="4" t="s">
        <v>29</v>
      </c>
    </row>
    <row r="644" spans="1:9" x14ac:dyDescent="0.2">
      <c r="A644" s="4" t="s">
        <v>401</v>
      </c>
      <c r="B644" s="5">
        <v>20.91</v>
      </c>
      <c r="C644" s="4">
        <v>0</v>
      </c>
      <c r="D644" s="4">
        <v>1</v>
      </c>
      <c r="E644" s="4">
        <v>0</v>
      </c>
      <c r="F644" s="13">
        <v>42948</v>
      </c>
      <c r="G644" s="4" t="s">
        <v>10</v>
      </c>
      <c r="H644" s="13">
        <v>42951</v>
      </c>
      <c r="I644" s="4" t="s">
        <v>29</v>
      </c>
    </row>
    <row r="645" spans="1:9" x14ac:dyDescent="0.2">
      <c r="A645" s="4" t="s">
        <v>238</v>
      </c>
      <c r="B645" s="5">
        <v>0</v>
      </c>
      <c r="C645" s="4">
        <v>0</v>
      </c>
      <c r="D645" s="4">
        <v>1</v>
      </c>
      <c r="E645" s="4">
        <v>0</v>
      </c>
      <c r="F645" s="13">
        <v>42948</v>
      </c>
      <c r="G645" s="4" t="s">
        <v>10</v>
      </c>
      <c r="H645" s="13">
        <v>42954</v>
      </c>
      <c r="I645" s="4" t="s">
        <v>236</v>
      </c>
    </row>
    <row r="646" spans="1:9" x14ac:dyDescent="0.2">
      <c r="A646" s="4" t="s">
        <v>91</v>
      </c>
      <c r="B646" s="5">
        <v>25.4</v>
      </c>
      <c r="C646" s="4">
        <v>0</v>
      </c>
      <c r="D646" s="4">
        <v>1</v>
      </c>
      <c r="E646" s="4">
        <v>0</v>
      </c>
      <c r="F646" s="13">
        <v>42948</v>
      </c>
      <c r="G646" s="4" t="s">
        <v>10</v>
      </c>
      <c r="H646" s="13">
        <v>42952</v>
      </c>
      <c r="I646" s="4" t="s">
        <v>29</v>
      </c>
    </row>
    <row r="647" spans="1:9" x14ac:dyDescent="0.2">
      <c r="A647" s="4" t="s">
        <v>391</v>
      </c>
      <c r="B647" s="5">
        <v>37</v>
      </c>
      <c r="C647" s="4">
        <v>0</v>
      </c>
      <c r="D647" s="4">
        <v>1</v>
      </c>
      <c r="E647" s="4">
        <v>0</v>
      </c>
      <c r="F647" s="13">
        <v>42948</v>
      </c>
      <c r="G647" s="4" t="s">
        <v>10</v>
      </c>
      <c r="H647" s="13">
        <v>42952</v>
      </c>
      <c r="I647" s="4" t="s">
        <v>23</v>
      </c>
    </row>
    <row r="648" spans="1:9" x14ac:dyDescent="0.2">
      <c r="A648" s="4" t="s">
        <v>402</v>
      </c>
      <c r="B648" s="5">
        <v>70</v>
      </c>
      <c r="C648" s="4">
        <v>0</v>
      </c>
      <c r="D648" s="4">
        <v>1</v>
      </c>
      <c r="E648" s="4">
        <v>0</v>
      </c>
      <c r="F648" s="13">
        <v>42948</v>
      </c>
      <c r="G648" s="4" t="s">
        <v>10</v>
      </c>
      <c r="H648" s="13">
        <v>42952</v>
      </c>
      <c r="I648" s="4" t="s">
        <v>27</v>
      </c>
    </row>
    <row r="649" spans="1:9" x14ac:dyDescent="0.2">
      <c r="A649" s="4" t="s">
        <v>41</v>
      </c>
      <c r="B649" s="5">
        <v>50</v>
      </c>
      <c r="C649" s="4">
        <v>0</v>
      </c>
      <c r="D649" s="4">
        <v>1</v>
      </c>
      <c r="E649" s="4">
        <v>0</v>
      </c>
      <c r="F649" s="13">
        <v>42948</v>
      </c>
      <c r="G649" s="4" t="s">
        <v>10</v>
      </c>
      <c r="H649" s="13">
        <v>42952</v>
      </c>
      <c r="I649" s="4" t="s">
        <v>41</v>
      </c>
    </row>
    <row r="650" spans="1:9" x14ac:dyDescent="0.2">
      <c r="A650" s="4" t="s">
        <v>403</v>
      </c>
      <c r="B650" s="5">
        <v>12</v>
      </c>
      <c r="C650" s="4">
        <v>0</v>
      </c>
      <c r="D650" s="4">
        <v>1</v>
      </c>
      <c r="E650" s="4">
        <v>0</v>
      </c>
      <c r="F650" s="13">
        <v>42948</v>
      </c>
      <c r="G650" s="4" t="s">
        <v>10</v>
      </c>
      <c r="H650" s="13">
        <v>42952</v>
      </c>
      <c r="I650" s="4" t="s">
        <v>23</v>
      </c>
    </row>
    <row r="651" spans="1:9" x14ac:dyDescent="0.2">
      <c r="A651" s="4" t="s">
        <v>44</v>
      </c>
      <c r="B651" s="5">
        <v>38</v>
      </c>
      <c r="C651" s="4">
        <v>0</v>
      </c>
      <c r="D651" s="4">
        <v>1</v>
      </c>
      <c r="E651" s="4">
        <v>0</v>
      </c>
      <c r="F651" s="13">
        <v>42948</v>
      </c>
      <c r="G651" s="4" t="s">
        <v>10</v>
      </c>
      <c r="H651" s="13">
        <v>42952</v>
      </c>
      <c r="I651" s="4" t="s">
        <v>44</v>
      </c>
    </row>
    <row r="652" spans="1:9" x14ac:dyDescent="0.2">
      <c r="A652" s="4" t="s">
        <v>404</v>
      </c>
      <c r="B652" s="5">
        <v>16</v>
      </c>
      <c r="C652" s="4">
        <v>0</v>
      </c>
      <c r="D652" s="4">
        <v>1</v>
      </c>
      <c r="E652" s="4">
        <v>0</v>
      </c>
      <c r="F652" s="13">
        <v>42948</v>
      </c>
      <c r="G652" s="4" t="s">
        <v>10</v>
      </c>
      <c r="H652" s="13">
        <v>42952</v>
      </c>
      <c r="I652" s="4" t="s">
        <v>29</v>
      </c>
    </row>
    <row r="653" spans="1:9" x14ac:dyDescent="0.2">
      <c r="A653" s="4" t="s">
        <v>246</v>
      </c>
      <c r="B653" s="5">
        <v>26</v>
      </c>
      <c r="C653" s="4">
        <v>0</v>
      </c>
      <c r="D653" s="4">
        <v>1</v>
      </c>
      <c r="E653" s="4">
        <v>0</v>
      </c>
      <c r="F653" s="13">
        <v>42948</v>
      </c>
      <c r="G653" s="4" t="s">
        <v>10</v>
      </c>
      <c r="H653" s="13">
        <v>42952</v>
      </c>
      <c r="I653" s="4" t="s">
        <v>29</v>
      </c>
    </row>
    <row r="654" spans="1:9" x14ac:dyDescent="0.2">
      <c r="A654" s="4" t="s">
        <v>405</v>
      </c>
      <c r="B654" s="5">
        <v>11</v>
      </c>
      <c r="C654" s="4">
        <v>0</v>
      </c>
      <c r="D654" s="4">
        <v>1</v>
      </c>
      <c r="E654" s="4">
        <v>0</v>
      </c>
      <c r="F654" s="13">
        <v>42948</v>
      </c>
      <c r="G654" s="4" t="s">
        <v>10</v>
      </c>
      <c r="H654" s="13">
        <v>42953</v>
      </c>
      <c r="I654" s="4" t="s">
        <v>29</v>
      </c>
    </row>
    <row r="655" spans="1:9" x14ac:dyDescent="0.2">
      <c r="A655" s="4" t="s">
        <v>406</v>
      </c>
      <c r="B655" s="5">
        <v>48.69</v>
      </c>
      <c r="C655" s="4">
        <v>0</v>
      </c>
      <c r="D655" s="4">
        <v>1</v>
      </c>
      <c r="E655" s="4">
        <v>0</v>
      </c>
      <c r="F655" s="13">
        <v>42948</v>
      </c>
      <c r="G655" s="4" t="s">
        <v>10</v>
      </c>
      <c r="H655" s="13">
        <v>42953</v>
      </c>
      <c r="I655" s="4" t="s">
        <v>23</v>
      </c>
    </row>
    <row r="656" spans="1:9" x14ac:dyDescent="0.2">
      <c r="A656" s="4" t="s">
        <v>407</v>
      </c>
      <c r="B656" s="5">
        <v>21.28</v>
      </c>
      <c r="C656" s="4">
        <v>1</v>
      </c>
      <c r="D656" s="4">
        <v>0</v>
      </c>
      <c r="E656" s="4">
        <v>0</v>
      </c>
      <c r="F656" s="13">
        <v>42948</v>
      </c>
      <c r="G656" s="4" t="s">
        <v>10</v>
      </c>
      <c r="H656" s="13">
        <v>42954</v>
      </c>
      <c r="I656" s="4" t="s">
        <v>236</v>
      </c>
    </row>
    <row r="657" spans="1:9" x14ac:dyDescent="0.2">
      <c r="A657" s="4" t="s">
        <v>408</v>
      </c>
      <c r="B657" s="5">
        <v>30.31</v>
      </c>
      <c r="C657" s="4">
        <v>1</v>
      </c>
      <c r="D657" s="4">
        <v>0</v>
      </c>
      <c r="E657" s="4">
        <v>0</v>
      </c>
      <c r="F657" s="13">
        <v>42948</v>
      </c>
      <c r="G657" s="4" t="s">
        <v>43</v>
      </c>
      <c r="H657" s="13">
        <v>42955</v>
      </c>
      <c r="I657" s="4" t="s">
        <v>36</v>
      </c>
    </row>
    <row r="658" spans="1:9" x14ac:dyDescent="0.2">
      <c r="A658" s="4" t="s">
        <v>408</v>
      </c>
      <c r="B658" s="5">
        <v>58.06</v>
      </c>
      <c r="C658" s="4">
        <v>1</v>
      </c>
      <c r="D658" s="4">
        <v>0</v>
      </c>
      <c r="E658" s="4">
        <v>0</v>
      </c>
      <c r="F658" s="13">
        <v>42948</v>
      </c>
      <c r="G658" s="4" t="s">
        <v>43</v>
      </c>
      <c r="H658" s="13">
        <v>42955</v>
      </c>
      <c r="I658" s="4" t="s">
        <v>36</v>
      </c>
    </row>
    <row r="659" spans="1:9" x14ac:dyDescent="0.2">
      <c r="A659" s="4" t="s">
        <v>406</v>
      </c>
      <c r="B659" s="5">
        <v>99.23</v>
      </c>
      <c r="C659" s="4">
        <v>0</v>
      </c>
      <c r="D659" s="4">
        <v>1</v>
      </c>
      <c r="E659" s="4">
        <v>0</v>
      </c>
      <c r="F659" s="13">
        <v>42948</v>
      </c>
      <c r="G659" s="4" t="s">
        <v>43</v>
      </c>
      <c r="H659" s="13">
        <v>42955</v>
      </c>
      <c r="I659" s="4" t="s">
        <v>23</v>
      </c>
    </row>
    <row r="660" spans="1:9" x14ac:dyDescent="0.2">
      <c r="A660" s="4" t="s">
        <v>391</v>
      </c>
      <c r="B660" s="5">
        <v>26.95</v>
      </c>
      <c r="C660" s="4">
        <v>0</v>
      </c>
      <c r="D660" s="4">
        <v>1</v>
      </c>
      <c r="E660" s="4">
        <v>0</v>
      </c>
      <c r="F660" s="13">
        <v>42948</v>
      </c>
      <c r="G660" s="4" t="s">
        <v>43</v>
      </c>
      <c r="H660" s="13">
        <v>42956</v>
      </c>
      <c r="I660" s="4" t="s">
        <v>23</v>
      </c>
    </row>
    <row r="661" spans="1:9" x14ac:dyDescent="0.2">
      <c r="A661" s="4" t="s">
        <v>409</v>
      </c>
      <c r="B661" s="5">
        <v>120</v>
      </c>
      <c r="C661" s="4">
        <v>0</v>
      </c>
      <c r="D661" s="4">
        <v>1</v>
      </c>
      <c r="E661" s="4">
        <v>0</v>
      </c>
      <c r="F661" s="13">
        <v>42948</v>
      </c>
      <c r="G661" s="4" t="s">
        <v>43</v>
      </c>
      <c r="H661" s="13">
        <v>42957</v>
      </c>
      <c r="I661" s="4" t="s">
        <v>53</v>
      </c>
    </row>
    <row r="662" spans="1:9" x14ac:dyDescent="0.2">
      <c r="A662" s="4" t="s">
        <v>41</v>
      </c>
      <c r="B662" s="5">
        <v>30</v>
      </c>
      <c r="C662" s="4">
        <v>0</v>
      </c>
      <c r="D662" s="4">
        <v>1</v>
      </c>
      <c r="E662" s="4">
        <v>0</v>
      </c>
      <c r="F662" s="13">
        <v>42948</v>
      </c>
      <c r="G662" s="4" t="s">
        <v>43</v>
      </c>
      <c r="H662" s="13">
        <v>42957</v>
      </c>
      <c r="I662" s="4" t="s">
        <v>41</v>
      </c>
    </row>
    <row r="663" spans="1:9" x14ac:dyDescent="0.2">
      <c r="A663" s="4" t="s">
        <v>410</v>
      </c>
      <c r="B663" s="5">
        <v>12</v>
      </c>
      <c r="C663" s="4">
        <v>0</v>
      </c>
      <c r="D663" s="4">
        <v>1</v>
      </c>
      <c r="E663" s="4">
        <v>0</v>
      </c>
      <c r="F663" s="13">
        <v>42948</v>
      </c>
      <c r="G663" s="4" t="s">
        <v>43</v>
      </c>
      <c r="H663" s="13">
        <v>42957</v>
      </c>
      <c r="I663" s="4" t="s">
        <v>29</v>
      </c>
    </row>
    <row r="664" spans="1:9" x14ac:dyDescent="0.2">
      <c r="A664" s="4" t="s">
        <v>340</v>
      </c>
      <c r="B664" s="5">
        <v>7.25</v>
      </c>
      <c r="C664" s="4">
        <v>0</v>
      </c>
      <c r="D664" s="4">
        <v>1</v>
      </c>
      <c r="E664" s="4">
        <v>0</v>
      </c>
      <c r="F664" s="13">
        <v>42948</v>
      </c>
      <c r="G664" s="4" t="s">
        <v>43</v>
      </c>
      <c r="H664" s="13">
        <v>42957</v>
      </c>
      <c r="I664" s="4" t="s">
        <v>29</v>
      </c>
    </row>
    <row r="665" spans="1:9" x14ac:dyDescent="0.2">
      <c r="A665" s="4" t="s">
        <v>49</v>
      </c>
      <c r="B665" s="5">
        <v>9.27</v>
      </c>
      <c r="C665" s="4">
        <v>0</v>
      </c>
      <c r="D665" s="4">
        <v>1</v>
      </c>
      <c r="E665" s="4">
        <v>0</v>
      </c>
      <c r="F665" s="13">
        <v>42948</v>
      </c>
      <c r="G665" s="4" t="s">
        <v>43</v>
      </c>
      <c r="H665" s="13">
        <v>42957</v>
      </c>
      <c r="I665" s="4" t="s">
        <v>29</v>
      </c>
    </row>
    <row r="666" spans="1:9" x14ac:dyDescent="0.2">
      <c r="A666" s="4" t="s">
        <v>251</v>
      </c>
      <c r="B666" s="5">
        <v>100.04</v>
      </c>
      <c r="C666" s="4">
        <v>0</v>
      </c>
      <c r="D666" s="4">
        <v>1</v>
      </c>
      <c r="E666" s="4">
        <v>0</v>
      </c>
      <c r="F666" s="13">
        <v>42948</v>
      </c>
      <c r="G666" s="4" t="s">
        <v>43</v>
      </c>
      <c r="H666" s="13">
        <v>42957</v>
      </c>
      <c r="I666" s="4" t="s">
        <v>27</v>
      </c>
    </row>
    <row r="667" spans="1:9" x14ac:dyDescent="0.2">
      <c r="A667" s="4" t="s">
        <v>411</v>
      </c>
      <c r="B667" s="5">
        <v>5</v>
      </c>
      <c r="C667" s="4">
        <v>0</v>
      </c>
      <c r="D667" s="4">
        <v>1</v>
      </c>
      <c r="E667" s="4">
        <v>0</v>
      </c>
      <c r="F667" s="13">
        <v>42948</v>
      </c>
      <c r="G667" s="4" t="s">
        <v>43</v>
      </c>
      <c r="H667" s="13">
        <v>42958</v>
      </c>
      <c r="I667" s="4" t="s">
        <v>29</v>
      </c>
    </row>
    <row r="668" spans="1:9" x14ac:dyDescent="0.2">
      <c r="A668" s="4" t="s">
        <v>49</v>
      </c>
      <c r="B668" s="5">
        <v>4.5</v>
      </c>
      <c r="C668" s="4">
        <v>0</v>
      </c>
      <c r="D668" s="4">
        <v>1</v>
      </c>
      <c r="E668" s="4">
        <v>0</v>
      </c>
      <c r="F668" s="13">
        <v>42948</v>
      </c>
      <c r="G668" s="4" t="s">
        <v>43</v>
      </c>
      <c r="H668" s="13">
        <v>42958</v>
      </c>
      <c r="I668" s="4" t="s">
        <v>29</v>
      </c>
    </row>
    <row r="669" spans="1:9" x14ac:dyDescent="0.2">
      <c r="A669" s="4" t="s">
        <v>49</v>
      </c>
      <c r="B669" s="5">
        <v>4</v>
      </c>
      <c r="C669" s="4">
        <v>0</v>
      </c>
      <c r="D669" s="4">
        <v>1</v>
      </c>
      <c r="E669" s="4">
        <v>0</v>
      </c>
      <c r="F669" s="13">
        <v>42948</v>
      </c>
      <c r="G669" s="4" t="s">
        <v>43</v>
      </c>
      <c r="H669" s="13">
        <v>42958</v>
      </c>
      <c r="I669" s="4" t="s">
        <v>29</v>
      </c>
    </row>
    <row r="670" spans="1:9" x14ac:dyDescent="0.2">
      <c r="A670" s="4" t="s">
        <v>391</v>
      </c>
      <c r="B670" s="5">
        <v>30.24</v>
      </c>
      <c r="C670" s="4">
        <v>0</v>
      </c>
      <c r="D670" s="4">
        <v>1</v>
      </c>
      <c r="E670" s="4">
        <v>0</v>
      </c>
      <c r="F670" s="13">
        <v>42948</v>
      </c>
      <c r="G670" s="4" t="s">
        <v>43</v>
      </c>
      <c r="H670" s="13">
        <v>42959</v>
      </c>
      <c r="I670" s="4" t="s">
        <v>23</v>
      </c>
    </row>
    <row r="671" spans="1:9" x14ac:dyDescent="0.2">
      <c r="A671" s="4" t="s">
        <v>23</v>
      </c>
      <c r="B671" s="5">
        <v>66.16</v>
      </c>
      <c r="C671" s="4">
        <v>0</v>
      </c>
      <c r="D671" s="4">
        <v>1</v>
      </c>
      <c r="E671" s="4">
        <v>0</v>
      </c>
      <c r="F671" s="13">
        <v>42948</v>
      </c>
      <c r="G671" s="4" t="s">
        <v>43</v>
      </c>
      <c r="H671" s="13">
        <v>42959</v>
      </c>
      <c r="I671" s="4" t="s">
        <v>23</v>
      </c>
    </row>
    <row r="672" spans="1:9" x14ac:dyDescent="0.2">
      <c r="A672" s="4" t="s">
        <v>412</v>
      </c>
      <c r="B672" s="5">
        <v>12</v>
      </c>
      <c r="C672" s="4">
        <v>0</v>
      </c>
      <c r="D672" s="4">
        <v>1</v>
      </c>
      <c r="E672" s="4">
        <v>0</v>
      </c>
      <c r="F672" s="13">
        <v>42948</v>
      </c>
      <c r="G672" s="4" t="s">
        <v>43</v>
      </c>
      <c r="H672" s="13">
        <v>42959</v>
      </c>
      <c r="I672" s="4" t="s">
        <v>29</v>
      </c>
    </row>
    <row r="673" spans="1:9" x14ac:dyDescent="0.2">
      <c r="A673" s="4" t="s">
        <v>55</v>
      </c>
      <c r="B673" s="5">
        <v>50</v>
      </c>
      <c r="C673" s="4">
        <v>0</v>
      </c>
      <c r="D673" s="4">
        <v>1</v>
      </c>
      <c r="E673" s="4">
        <v>0</v>
      </c>
      <c r="F673" s="13">
        <v>42948</v>
      </c>
      <c r="G673" s="4" t="s">
        <v>43</v>
      </c>
      <c r="H673" s="13">
        <v>42959</v>
      </c>
      <c r="I673" s="4" t="s">
        <v>53</v>
      </c>
    </row>
    <row r="674" spans="1:9" x14ac:dyDescent="0.2">
      <c r="A674" s="4" t="s">
        <v>64</v>
      </c>
      <c r="B674" s="5">
        <v>50</v>
      </c>
      <c r="C674" s="4">
        <v>0</v>
      </c>
      <c r="D674" s="4">
        <v>1</v>
      </c>
      <c r="E674" s="4">
        <v>0</v>
      </c>
      <c r="F674" s="13">
        <v>42948</v>
      </c>
      <c r="G674" s="4" t="s">
        <v>43</v>
      </c>
      <c r="H674" s="13">
        <v>42959</v>
      </c>
      <c r="I674" s="4" t="s">
        <v>64</v>
      </c>
    </row>
    <row r="675" spans="1:9" x14ac:dyDescent="0.2">
      <c r="A675" s="4" t="s">
        <v>413</v>
      </c>
      <c r="B675" s="5">
        <v>29.28</v>
      </c>
      <c r="C675" s="4">
        <v>0</v>
      </c>
      <c r="D675" s="4">
        <v>1</v>
      </c>
      <c r="E675" s="4">
        <v>0</v>
      </c>
      <c r="F675" s="13">
        <v>42948</v>
      </c>
      <c r="G675" s="4" t="s">
        <v>43</v>
      </c>
      <c r="H675" s="13">
        <v>42959</v>
      </c>
      <c r="I675" s="4" t="s">
        <v>23</v>
      </c>
    </row>
    <row r="676" spans="1:9" x14ac:dyDescent="0.2">
      <c r="A676" s="4" t="s">
        <v>414</v>
      </c>
      <c r="B676" s="5">
        <v>139.97</v>
      </c>
      <c r="C676" s="4">
        <v>0</v>
      </c>
      <c r="D676" s="4">
        <v>1</v>
      </c>
      <c r="E676" s="4">
        <v>0</v>
      </c>
      <c r="F676" s="13">
        <v>42948</v>
      </c>
      <c r="G676" s="4" t="s">
        <v>43</v>
      </c>
      <c r="H676" s="13">
        <v>42959</v>
      </c>
      <c r="I676" s="4" t="s">
        <v>53</v>
      </c>
    </row>
    <row r="677" spans="1:9" x14ac:dyDescent="0.2">
      <c r="A677" s="4" t="s">
        <v>23</v>
      </c>
      <c r="B677" s="5">
        <v>33.65</v>
      </c>
      <c r="C677" s="4">
        <v>0</v>
      </c>
      <c r="D677" s="4">
        <v>1</v>
      </c>
      <c r="E677" s="4">
        <v>0</v>
      </c>
      <c r="F677" s="13">
        <v>42948</v>
      </c>
      <c r="G677" s="4" t="s">
        <v>43</v>
      </c>
      <c r="H677" s="13">
        <v>42960</v>
      </c>
      <c r="I677" s="4" t="s">
        <v>23</v>
      </c>
    </row>
    <row r="678" spans="1:9" x14ac:dyDescent="0.2">
      <c r="A678" s="4" t="s">
        <v>415</v>
      </c>
      <c r="B678" s="5">
        <v>4</v>
      </c>
      <c r="C678" s="4">
        <v>0</v>
      </c>
      <c r="D678" s="4">
        <v>1</v>
      </c>
      <c r="E678" s="4">
        <v>0</v>
      </c>
      <c r="F678" s="13">
        <v>42948</v>
      </c>
      <c r="G678" s="4" t="s">
        <v>58</v>
      </c>
      <c r="H678" s="13">
        <v>42961</v>
      </c>
      <c r="I678" s="4" t="s">
        <v>29</v>
      </c>
    </row>
    <row r="679" spans="1:9" x14ac:dyDescent="0.2">
      <c r="A679" s="4" t="s">
        <v>23</v>
      </c>
      <c r="B679" s="5">
        <v>224.35</v>
      </c>
      <c r="C679" s="4">
        <v>0</v>
      </c>
      <c r="D679" s="4">
        <v>1</v>
      </c>
      <c r="E679" s="4">
        <v>0</v>
      </c>
      <c r="F679" s="13">
        <v>42948</v>
      </c>
      <c r="G679" s="4" t="s">
        <v>58</v>
      </c>
      <c r="H679" s="13">
        <v>42962</v>
      </c>
      <c r="I679" s="4" t="s">
        <v>23</v>
      </c>
    </row>
    <row r="680" spans="1:9" x14ac:dyDescent="0.2">
      <c r="A680" s="4" t="s">
        <v>223</v>
      </c>
      <c r="B680" s="5">
        <v>8.81</v>
      </c>
      <c r="C680" s="4">
        <v>0</v>
      </c>
      <c r="D680" s="4">
        <v>1</v>
      </c>
      <c r="E680" s="4">
        <v>0</v>
      </c>
      <c r="F680" s="13">
        <v>42948</v>
      </c>
      <c r="G680" s="4" t="s">
        <v>58</v>
      </c>
      <c r="H680" s="13">
        <v>42963</v>
      </c>
      <c r="I680" s="4" t="s">
        <v>98</v>
      </c>
    </row>
    <row r="681" spans="1:9" x14ac:dyDescent="0.2">
      <c r="A681" s="4" t="s">
        <v>416</v>
      </c>
      <c r="B681" s="5">
        <v>3.5</v>
      </c>
      <c r="C681" s="4">
        <v>0</v>
      </c>
      <c r="D681" s="4">
        <v>1</v>
      </c>
      <c r="E681" s="4">
        <v>0</v>
      </c>
      <c r="F681" s="13">
        <v>42948</v>
      </c>
      <c r="G681" s="4" t="s">
        <v>58</v>
      </c>
      <c r="H681" s="13">
        <v>42963</v>
      </c>
      <c r="I681" s="4" t="s">
        <v>53</v>
      </c>
    </row>
    <row r="682" spans="1:9" x14ac:dyDescent="0.2">
      <c r="A682" s="4" t="s">
        <v>385</v>
      </c>
      <c r="B682" s="5">
        <v>8</v>
      </c>
      <c r="C682" s="4">
        <v>0</v>
      </c>
      <c r="D682" s="4">
        <v>1</v>
      </c>
      <c r="E682" s="4">
        <v>0</v>
      </c>
      <c r="F682" s="13">
        <v>42948</v>
      </c>
      <c r="G682" s="4" t="s">
        <v>58</v>
      </c>
      <c r="H682" s="13">
        <v>42963</v>
      </c>
      <c r="I682" s="4" t="s">
        <v>29</v>
      </c>
    </row>
    <row r="683" spans="1:9" x14ac:dyDescent="0.2">
      <c r="A683" s="4" t="s">
        <v>417</v>
      </c>
      <c r="B683" s="5">
        <v>2</v>
      </c>
      <c r="C683" s="4">
        <v>0</v>
      </c>
      <c r="D683" s="4">
        <v>1</v>
      </c>
      <c r="E683" s="4">
        <v>0</v>
      </c>
      <c r="F683" s="13">
        <v>42948</v>
      </c>
      <c r="G683" s="4" t="s">
        <v>58</v>
      </c>
      <c r="H683" s="13">
        <v>42964</v>
      </c>
      <c r="I683" s="4" t="s">
        <v>29</v>
      </c>
    </row>
    <row r="684" spans="1:9" x14ac:dyDescent="0.2">
      <c r="A684" s="4" t="s">
        <v>50</v>
      </c>
      <c r="B684" s="5">
        <v>3</v>
      </c>
      <c r="C684" s="4">
        <v>0</v>
      </c>
      <c r="D684" s="4">
        <v>1</v>
      </c>
      <c r="E684" s="4">
        <v>0</v>
      </c>
      <c r="F684" s="13">
        <v>42948</v>
      </c>
      <c r="G684" s="4" t="s">
        <v>58</v>
      </c>
      <c r="H684" s="13">
        <v>42964</v>
      </c>
      <c r="I684" s="4" t="s">
        <v>29</v>
      </c>
    </row>
    <row r="685" spans="1:9" x14ac:dyDescent="0.2">
      <c r="A685" s="4" t="s">
        <v>49</v>
      </c>
      <c r="B685" s="5">
        <v>8.5</v>
      </c>
      <c r="C685" s="4">
        <v>0</v>
      </c>
      <c r="D685" s="4">
        <v>1</v>
      </c>
      <c r="E685" s="4">
        <v>0</v>
      </c>
      <c r="F685" s="13">
        <v>42948</v>
      </c>
      <c r="G685" s="4" t="s">
        <v>58</v>
      </c>
      <c r="H685" s="13">
        <v>42965</v>
      </c>
      <c r="I685" s="4" t="s">
        <v>29</v>
      </c>
    </row>
    <row r="686" spans="1:9" x14ac:dyDescent="0.2">
      <c r="A686" s="4" t="s">
        <v>77</v>
      </c>
      <c r="B686" s="5">
        <v>4</v>
      </c>
      <c r="C686" s="4">
        <v>0</v>
      </c>
      <c r="D686" s="4">
        <v>1</v>
      </c>
      <c r="E686" s="4">
        <v>0</v>
      </c>
      <c r="F686" s="13">
        <v>42948</v>
      </c>
      <c r="G686" s="4" t="s">
        <v>58</v>
      </c>
      <c r="H686" s="13">
        <v>42965</v>
      </c>
      <c r="I686" s="4" t="s">
        <v>29</v>
      </c>
    </row>
    <row r="687" spans="1:9" x14ac:dyDescent="0.2">
      <c r="A687" s="4" t="s">
        <v>418</v>
      </c>
      <c r="B687" s="5">
        <v>47.58</v>
      </c>
      <c r="C687" s="4">
        <v>0</v>
      </c>
      <c r="D687" s="4">
        <v>1</v>
      </c>
      <c r="E687" s="4">
        <v>0</v>
      </c>
      <c r="F687" s="13">
        <v>42948</v>
      </c>
      <c r="G687" s="4" t="s">
        <v>58</v>
      </c>
      <c r="H687" s="13">
        <v>42965</v>
      </c>
      <c r="I687" s="4" t="s">
        <v>23</v>
      </c>
    </row>
    <row r="688" spans="1:9" x14ac:dyDescent="0.2">
      <c r="A688" s="4" t="s">
        <v>419</v>
      </c>
      <c r="B688" s="5">
        <v>51.12</v>
      </c>
      <c r="C688" s="4">
        <v>0</v>
      </c>
      <c r="D688" s="4">
        <v>1</v>
      </c>
      <c r="E688" s="4">
        <v>0</v>
      </c>
      <c r="F688" s="13">
        <v>42948</v>
      </c>
      <c r="G688" s="4" t="s">
        <v>71</v>
      </c>
      <c r="H688" s="13">
        <v>42968</v>
      </c>
      <c r="I688" s="4" t="s">
        <v>66</v>
      </c>
    </row>
    <row r="689" spans="1:9" x14ac:dyDescent="0.2">
      <c r="A689" s="4" t="s">
        <v>251</v>
      </c>
      <c r="B689" s="5">
        <v>145.55000000000001</v>
      </c>
      <c r="C689" s="4">
        <v>0</v>
      </c>
      <c r="D689" s="4">
        <v>1</v>
      </c>
      <c r="E689" s="4">
        <v>0</v>
      </c>
      <c r="F689" s="13">
        <v>42948</v>
      </c>
      <c r="G689" s="4" t="s">
        <v>71</v>
      </c>
      <c r="H689" s="13">
        <v>42968</v>
      </c>
      <c r="I689" s="4" t="s">
        <v>27</v>
      </c>
    </row>
    <row r="690" spans="1:9" x14ac:dyDescent="0.2">
      <c r="A690" s="4" t="s">
        <v>50</v>
      </c>
      <c r="B690" s="5">
        <v>3</v>
      </c>
      <c r="C690" s="4">
        <v>0</v>
      </c>
      <c r="D690" s="4">
        <v>1</v>
      </c>
      <c r="E690" s="4">
        <v>0</v>
      </c>
      <c r="F690" s="13">
        <v>42948</v>
      </c>
      <c r="G690" s="4" t="s">
        <v>71</v>
      </c>
      <c r="H690" s="13">
        <v>42968</v>
      </c>
      <c r="I690" s="4" t="s">
        <v>29</v>
      </c>
    </row>
    <row r="691" spans="1:9" x14ac:dyDescent="0.2">
      <c r="A691" s="4" t="s">
        <v>23</v>
      </c>
      <c r="B691" s="5">
        <v>110.12</v>
      </c>
      <c r="C691" s="4">
        <v>0</v>
      </c>
      <c r="D691" s="4">
        <v>1</v>
      </c>
      <c r="E691" s="4">
        <v>0</v>
      </c>
      <c r="F691" s="13">
        <v>42948</v>
      </c>
      <c r="G691" s="4" t="s">
        <v>71</v>
      </c>
      <c r="H691" s="13">
        <v>42968</v>
      </c>
      <c r="I691" s="4" t="s">
        <v>23</v>
      </c>
    </row>
    <row r="692" spans="1:9" x14ac:dyDescent="0.2">
      <c r="A692" s="4" t="s">
        <v>391</v>
      </c>
      <c r="B692" s="5">
        <v>44.84</v>
      </c>
      <c r="C692" s="4">
        <v>0</v>
      </c>
      <c r="D692" s="4">
        <v>1</v>
      </c>
      <c r="E692" s="4">
        <v>0</v>
      </c>
      <c r="F692" s="13">
        <v>42948</v>
      </c>
      <c r="G692" s="4" t="s">
        <v>71</v>
      </c>
      <c r="H692" s="13">
        <v>42968</v>
      </c>
      <c r="I692" s="4" t="s">
        <v>23</v>
      </c>
    </row>
    <row r="693" spans="1:9" x14ac:dyDescent="0.2">
      <c r="A693" s="4" t="s">
        <v>420</v>
      </c>
      <c r="B693" s="5">
        <v>5</v>
      </c>
      <c r="C693" s="4">
        <v>0</v>
      </c>
      <c r="D693" s="4">
        <v>1</v>
      </c>
      <c r="E693" s="4">
        <v>0</v>
      </c>
      <c r="F693" s="13">
        <v>42948</v>
      </c>
      <c r="G693" s="4" t="s">
        <v>71</v>
      </c>
      <c r="H693" s="13">
        <v>42969</v>
      </c>
      <c r="I693" s="4" t="s">
        <v>27</v>
      </c>
    </row>
    <row r="694" spans="1:9" x14ac:dyDescent="0.2">
      <c r="A694" s="4" t="s">
        <v>421</v>
      </c>
      <c r="B694" s="5">
        <v>242.96</v>
      </c>
      <c r="C694" s="4">
        <v>0</v>
      </c>
      <c r="D694" s="4">
        <v>1</v>
      </c>
      <c r="E694" s="4">
        <v>0</v>
      </c>
      <c r="F694" s="13">
        <v>42948</v>
      </c>
      <c r="G694" s="4" t="s">
        <v>71</v>
      </c>
      <c r="H694" s="13">
        <v>42969</v>
      </c>
      <c r="I694" s="4" t="s">
        <v>23</v>
      </c>
    </row>
    <row r="695" spans="1:9" x14ac:dyDescent="0.2">
      <c r="A695" s="4" t="s">
        <v>422</v>
      </c>
      <c r="B695" s="5">
        <v>35</v>
      </c>
      <c r="C695" s="4">
        <v>0</v>
      </c>
      <c r="D695" s="4">
        <v>1</v>
      </c>
      <c r="E695" s="4">
        <v>0</v>
      </c>
      <c r="F695" s="13">
        <v>42948</v>
      </c>
      <c r="G695" s="4" t="s">
        <v>71</v>
      </c>
      <c r="H695" s="13">
        <v>42969</v>
      </c>
      <c r="I695" s="4" t="s">
        <v>53</v>
      </c>
    </row>
    <row r="696" spans="1:9" x14ac:dyDescent="0.2">
      <c r="A696" s="4" t="s">
        <v>385</v>
      </c>
      <c r="B696" s="5">
        <v>20</v>
      </c>
      <c r="C696" s="4">
        <v>0</v>
      </c>
      <c r="D696" s="4">
        <v>1</v>
      </c>
      <c r="E696" s="4">
        <v>0</v>
      </c>
      <c r="F696" s="13">
        <v>42948</v>
      </c>
      <c r="G696" s="4" t="s">
        <v>71</v>
      </c>
      <c r="H696" s="13">
        <v>42970</v>
      </c>
      <c r="I696" s="4" t="s">
        <v>29</v>
      </c>
    </row>
    <row r="697" spans="1:9" x14ac:dyDescent="0.2">
      <c r="A697" s="4" t="s">
        <v>50</v>
      </c>
      <c r="B697" s="5">
        <v>3</v>
      </c>
      <c r="C697" s="4">
        <v>0</v>
      </c>
      <c r="D697" s="4">
        <v>1</v>
      </c>
      <c r="E697" s="4">
        <v>0</v>
      </c>
      <c r="F697" s="13">
        <v>42948</v>
      </c>
      <c r="G697" s="4" t="s">
        <v>71</v>
      </c>
      <c r="H697" s="13">
        <v>42971</v>
      </c>
      <c r="I697" s="4" t="s">
        <v>29</v>
      </c>
    </row>
    <row r="698" spans="1:9" x14ac:dyDescent="0.2">
      <c r="A698" s="4" t="s">
        <v>423</v>
      </c>
      <c r="B698" s="5">
        <v>6</v>
      </c>
      <c r="C698" s="4">
        <v>0</v>
      </c>
      <c r="D698" s="4">
        <v>1</v>
      </c>
      <c r="E698" s="4">
        <v>0</v>
      </c>
      <c r="F698" s="13">
        <v>42948</v>
      </c>
      <c r="G698" s="4" t="s">
        <v>71</v>
      </c>
      <c r="H698" s="13">
        <v>42971</v>
      </c>
      <c r="I698" s="4" t="s">
        <v>29</v>
      </c>
    </row>
    <row r="699" spans="1:9" x14ac:dyDescent="0.2">
      <c r="A699" s="4" t="s">
        <v>424</v>
      </c>
      <c r="B699" s="5">
        <v>3.7</v>
      </c>
      <c r="C699" s="4">
        <v>0</v>
      </c>
      <c r="D699" s="4">
        <v>1</v>
      </c>
      <c r="E699" s="4">
        <v>0</v>
      </c>
      <c r="F699" s="13">
        <v>42948</v>
      </c>
      <c r="G699" s="4" t="s">
        <v>80</v>
      </c>
      <c r="H699" s="13">
        <v>42972</v>
      </c>
      <c r="I699" s="4" t="s">
        <v>29</v>
      </c>
    </row>
    <row r="700" spans="1:9" x14ac:dyDescent="0.2">
      <c r="A700" s="4" t="s">
        <v>23</v>
      </c>
      <c r="B700" s="5">
        <v>16</v>
      </c>
      <c r="C700" s="4">
        <v>0</v>
      </c>
      <c r="D700" s="4">
        <v>1</v>
      </c>
      <c r="E700" s="4">
        <v>0</v>
      </c>
      <c r="F700" s="13">
        <v>42948</v>
      </c>
      <c r="G700" s="4" t="s">
        <v>80</v>
      </c>
      <c r="H700" s="13">
        <v>42972</v>
      </c>
      <c r="I700" s="4" t="s">
        <v>23</v>
      </c>
    </row>
    <row r="701" spans="1:9" x14ac:dyDescent="0.2">
      <c r="A701" s="4" t="s">
        <v>425</v>
      </c>
      <c r="B701" s="5">
        <v>16.18</v>
      </c>
      <c r="C701" s="4">
        <v>0</v>
      </c>
      <c r="D701" s="4">
        <v>1</v>
      </c>
      <c r="E701" s="4">
        <v>0</v>
      </c>
      <c r="F701" s="13">
        <v>42948</v>
      </c>
      <c r="G701" s="4" t="s">
        <v>80</v>
      </c>
      <c r="H701" s="13">
        <v>42972</v>
      </c>
      <c r="I701" s="4" t="s">
        <v>23</v>
      </c>
    </row>
    <row r="702" spans="1:9" x14ac:dyDescent="0.2">
      <c r="A702" s="4" t="s">
        <v>69</v>
      </c>
      <c r="B702" s="5">
        <v>15.44</v>
      </c>
      <c r="C702" s="4">
        <v>0</v>
      </c>
      <c r="D702" s="4">
        <v>1</v>
      </c>
      <c r="E702" s="4">
        <v>0</v>
      </c>
      <c r="F702" s="13">
        <v>42948</v>
      </c>
      <c r="G702" s="4" t="s">
        <v>80</v>
      </c>
      <c r="H702" s="13">
        <v>42975</v>
      </c>
      <c r="I702" s="4" t="s">
        <v>138</v>
      </c>
    </row>
    <row r="703" spans="1:9" x14ac:dyDescent="0.2">
      <c r="A703" s="4" t="s">
        <v>77</v>
      </c>
      <c r="B703" s="5">
        <v>4</v>
      </c>
      <c r="C703" s="4">
        <v>0</v>
      </c>
      <c r="D703" s="4">
        <v>1</v>
      </c>
      <c r="E703" s="4">
        <v>0</v>
      </c>
      <c r="F703" s="13">
        <v>42948</v>
      </c>
      <c r="G703" s="4" t="s">
        <v>80</v>
      </c>
      <c r="H703" s="13">
        <v>42975</v>
      </c>
      <c r="I703" s="4" t="s">
        <v>29</v>
      </c>
    </row>
    <row r="704" spans="1:9" x14ac:dyDescent="0.2">
      <c r="A704" s="4" t="s">
        <v>95</v>
      </c>
      <c r="B704" s="5">
        <v>30.92</v>
      </c>
      <c r="C704" s="4">
        <v>0</v>
      </c>
      <c r="D704" s="4">
        <v>1</v>
      </c>
      <c r="E704" s="4">
        <v>0</v>
      </c>
      <c r="F704" s="13">
        <v>42948</v>
      </c>
      <c r="G704" s="4" t="s">
        <v>80</v>
      </c>
      <c r="H704" s="13">
        <v>42975</v>
      </c>
      <c r="I704" s="4" t="s">
        <v>23</v>
      </c>
    </row>
    <row r="705" spans="1:9" x14ac:dyDescent="0.2">
      <c r="A705" s="4" t="s">
        <v>23</v>
      </c>
      <c r="B705" s="5">
        <v>6.75</v>
      </c>
      <c r="C705" s="4">
        <v>0</v>
      </c>
      <c r="D705" s="4">
        <v>1</v>
      </c>
      <c r="E705" s="4">
        <v>0</v>
      </c>
      <c r="F705" s="13">
        <v>42948</v>
      </c>
      <c r="G705" s="4" t="s">
        <v>80</v>
      </c>
      <c r="H705" s="13">
        <v>42975</v>
      </c>
      <c r="I705" s="4" t="s">
        <v>23</v>
      </c>
    </row>
    <row r="706" spans="1:9" x14ac:dyDescent="0.2">
      <c r="A706" s="4" t="s">
        <v>23</v>
      </c>
      <c r="B706" s="5">
        <v>31.32</v>
      </c>
      <c r="C706" s="4">
        <v>0</v>
      </c>
      <c r="D706" s="4">
        <v>1</v>
      </c>
      <c r="E706" s="4">
        <v>0</v>
      </c>
      <c r="F706" s="13">
        <v>42948</v>
      </c>
      <c r="G706" s="4" t="s">
        <v>80</v>
      </c>
      <c r="H706" s="13">
        <v>42975</v>
      </c>
      <c r="I706" s="4" t="s">
        <v>23</v>
      </c>
    </row>
    <row r="707" spans="1:9" x14ac:dyDescent="0.2">
      <c r="A707" s="4" t="s">
        <v>23</v>
      </c>
      <c r="B707" s="5">
        <v>5.94</v>
      </c>
      <c r="C707" s="4">
        <v>0</v>
      </c>
      <c r="D707" s="4">
        <v>1</v>
      </c>
      <c r="E707" s="4">
        <v>0</v>
      </c>
      <c r="F707" s="13">
        <v>42948</v>
      </c>
      <c r="G707" s="4" t="s">
        <v>80</v>
      </c>
      <c r="H707" s="13">
        <v>42975</v>
      </c>
      <c r="I707" s="4" t="s">
        <v>23</v>
      </c>
    </row>
    <row r="708" spans="1:9" x14ac:dyDescent="0.2">
      <c r="A708" s="4" t="s">
        <v>391</v>
      </c>
      <c r="B708" s="5">
        <v>39.119999999999997</v>
      </c>
      <c r="C708" s="4">
        <v>0</v>
      </c>
      <c r="D708" s="4">
        <v>1</v>
      </c>
      <c r="E708" s="4">
        <v>0</v>
      </c>
      <c r="F708" s="13">
        <v>42948</v>
      </c>
      <c r="G708" s="4" t="s">
        <v>80</v>
      </c>
      <c r="H708" s="13">
        <v>42975</v>
      </c>
      <c r="I708" s="4" t="s">
        <v>23</v>
      </c>
    </row>
    <row r="709" spans="1:9" x14ac:dyDescent="0.2">
      <c r="A709" s="4" t="s">
        <v>391</v>
      </c>
      <c r="B709" s="5">
        <v>24.28</v>
      </c>
      <c r="C709" s="4">
        <v>0</v>
      </c>
      <c r="D709" s="4">
        <v>1</v>
      </c>
      <c r="E709" s="4">
        <v>0</v>
      </c>
      <c r="F709" s="13">
        <v>42948</v>
      </c>
      <c r="G709" s="4" t="s">
        <v>80</v>
      </c>
      <c r="H709" s="13">
        <v>42975</v>
      </c>
      <c r="I709" s="4" t="s">
        <v>23</v>
      </c>
    </row>
    <row r="710" spans="1:9" x14ac:dyDescent="0.2">
      <c r="A710" s="4" t="s">
        <v>391</v>
      </c>
      <c r="B710" s="5">
        <v>53.75</v>
      </c>
      <c r="C710" s="4">
        <v>0</v>
      </c>
      <c r="D710" s="4">
        <v>1</v>
      </c>
      <c r="E710" s="4">
        <v>0</v>
      </c>
      <c r="F710" s="13">
        <v>42948</v>
      </c>
      <c r="G710" s="4" t="s">
        <v>80</v>
      </c>
      <c r="H710" s="13">
        <v>42975</v>
      </c>
      <c r="I710" s="4" t="s">
        <v>23</v>
      </c>
    </row>
    <row r="711" spans="1:9" x14ac:dyDescent="0.2">
      <c r="A711" s="4" t="s">
        <v>317</v>
      </c>
      <c r="B711" s="5">
        <v>4.5</v>
      </c>
      <c r="C711" s="4">
        <v>0</v>
      </c>
      <c r="D711" s="4">
        <v>1</v>
      </c>
      <c r="E711" s="4">
        <v>0</v>
      </c>
      <c r="F711" s="13">
        <v>42948</v>
      </c>
      <c r="G711" s="4" t="s">
        <v>80</v>
      </c>
      <c r="H711" s="13">
        <v>42975</v>
      </c>
      <c r="I711" s="4" t="s">
        <v>29</v>
      </c>
    </row>
    <row r="712" spans="1:9" x14ac:dyDescent="0.2">
      <c r="A712" s="4" t="s">
        <v>426</v>
      </c>
      <c r="B712" s="5">
        <v>14.09</v>
      </c>
      <c r="C712" s="4">
        <v>0</v>
      </c>
      <c r="D712" s="4">
        <v>1</v>
      </c>
      <c r="E712" s="4">
        <v>0</v>
      </c>
      <c r="F712" s="13">
        <v>42948</v>
      </c>
      <c r="G712" s="4" t="s">
        <v>80</v>
      </c>
      <c r="H712" s="13">
        <v>42975</v>
      </c>
      <c r="I712" s="4" t="s">
        <v>29</v>
      </c>
    </row>
    <row r="713" spans="1:9" x14ac:dyDescent="0.2">
      <c r="A713" s="4" t="s">
        <v>50</v>
      </c>
      <c r="B713" s="5">
        <v>3</v>
      </c>
      <c r="C713" s="4">
        <v>0</v>
      </c>
      <c r="D713" s="4">
        <v>1</v>
      </c>
      <c r="E713" s="4">
        <v>0</v>
      </c>
      <c r="F713" s="13">
        <v>42948</v>
      </c>
      <c r="G713" s="4" t="s">
        <v>80</v>
      </c>
      <c r="H713" s="13">
        <v>42976</v>
      </c>
      <c r="I713" s="4" t="s">
        <v>29</v>
      </c>
    </row>
    <row r="714" spans="1:9" x14ac:dyDescent="0.2">
      <c r="A714" s="4" t="s">
        <v>77</v>
      </c>
      <c r="B714" s="5">
        <v>4</v>
      </c>
      <c r="C714" s="4">
        <v>0</v>
      </c>
      <c r="D714" s="4">
        <v>1</v>
      </c>
      <c r="E714" s="4">
        <v>0</v>
      </c>
      <c r="F714" s="13">
        <v>42948</v>
      </c>
      <c r="G714" s="4" t="s">
        <v>80</v>
      </c>
      <c r="H714" s="13">
        <v>42976</v>
      </c>
      <c r="I714" s="4" t="s">
        <v>29</v>
      </c>
    </row>
    <row r="715" spans="1:9" x14ac:dyDescent="0.2">
      <c r="A715" s="4" t="s">
        <v>391</v>
      </c>
      <c r="B715" s="5">
        <v>19.399999999999999</v>
      </c>
      <c r="C715" s="4">
        <v>0</v>
      </c>
      <c r="D715" s="4">
        <v>1</v>
      </c>
      <c r="E715" s="4">
        <v>0</v>
      </c>
      <c r="F715" s="13">
        <v>42948</v>
      </c>
      <c r="G715" s="4" t="s">
        <v>80</v>
      </c>
      <c r="H715" s="13">
        <v>42976</v>
      </c>
      <c r="I715" s="4" t="s">
        <v>23</v>
      </c>
    </row>
    <row r="716" spans="1:9" x14ac:dyDescent="0.2">
      <c r="A716" s="4" t="s">
        <v>117</v>
      </c>
      <c r="B716" s="5">
        <v>50</v>
      </c>
      <c r="C716" s="4">
        <v>0</v>
      </c>
      <c r="D716" s="4">
        <v>1</v>
      </c>
      <c r="E716" s="4">
        <v>0</v>
      </c>
      <c r="F716" s="13">
        <v>42948</v>
      </c>
      <c r="G716" s="4" t="s">
        <v>80</v>
      </c>
      <c r="H716" s="13">
        <v>42977</v>
      </c>
      <c r="I716" s="4" t="s">
        <v>53</v>
      </c>
    </row>
    <row r="717" spans="1:9" x14ac:dyDescent="0.2">
      <c r="A717" s="4" t="s">
        <v>49</v>
      </c>
      <c r="B717" s="5">
        <v>7</v>
      </c>
      <c r="C717" s="4">
        <v>0</v>
      </c>
      <c r="D717" s="4">
        <v>1</v>
      </c>
      <c r="E717" s="4">
        <v>0</v>
      </c>
      <c r="F717" s="13">
        <v>42948</v>
      </c>
      <c r="G717" s="4" t="s">
        <v>80</v>
      </c>
      <c r="H717" s="13">
        <v>42977</v>
      </c>
      <c r="I717" s="4" t="s">
        <v>29</v>
      </c>
    </row>
    <row r="718" spans="1:9" x14ac:dyDescent="0.2">
      <c r="A718" s="4" t="s">
        <v>251</v>
      </c>
      <c r="B718" s="5">
        <v>120</v>
      </c>
      <c r="C718" s="4">
        <v>0</v>
      </c>
      <c r="D718" s="4">
        <v>1</v>
      </c>
      <c r="E718" s="4">
        <v>0</v>
      </c>
      <c r="F718" s="13">
        <v>42948</v>
      </c>
      <c r="G718" s="4" t="s">
        <v>80</v>
      </c>
      <c r="H718" s="13">
        <v>42977</v>
      </c>
      <c r="I718" s="4" t="s">
        <v>27</v>
      </c>
    </row>
    <row r="719" spans="1:9" x14ac:dyDescent="0.2">
      <c r="A719" s="4" t="s">
        <v>50</v>
      </c>
      <c r="B719" s="5">
        <v>2.19</v>
      </c>
      <c r="C719" s="4">
        <v>0</v>
      </c>
      <c r="D719" s="4">
        <v>1</v>
      </c>
      <c r="E719" s="4">
        <v>0</v>
      </c>
      <c r="F719" s="13">
        <v>42948</v>
      </c>
      <c r="G719" s="4" t="s">
        <v>80</v>
      </c>
      <c r="H719" s="13">
        <v>42977</v>
      </c>
      <c r="I719" s="4" t="s">
        <v>29</v>
      </c>
    </row>
    <row r="720" spans="1:9" x14ac:dyDescent="0.2">
      <c r="A720" t="s">
        <v>227</v>
      </c>
      <c r="B720">
        <v>9.3800000000000008</v>
      </c>
      <c r="C720">
        <v>1</v>
      </c>
      <c r="D720">
        <v>0</v>
      </c>
      <c r="E720">
        <v>0</v>
      </c>
      <c r="F720" s="1">
        <v>42979</v>
      </c>
      <c r="G720" t="s">
        <v>10</v>
      </c>
      <c r="H720" s="14">
        <v>42979</v>
      </c>
      <c r="I720" t="s">
        <v>236</v>
      </c>
    </row>
    <row r="721" spans="1:9" x14ac:dyDescent="0.2">
      <c r="A721" t="s">
        <v>41</v>
      </c>
      <c r="B721">
        <v>70</v>
      </c>
      <c r="C721">
        <v>0</v>
      </c>
      <c r="D721">
        <v>1</v>
      </c>
      <c r="E721">
        <v>0</v>
      </c>
      <c r="F721" s="1">
        <v>42979</v>
      </c>
      <c r="G721" t="s">
        <v>10</v>
      </c>
      <c r="H721" s="14">
        <v>42982</v>
      </c>
      <c r="I721" t="s">
        <v>41</v>
      </c>
    </row>
    <row r="722" spans="1:9" x14ac:dyDescent="0.2">
      <c r="A722" t="s">
        <v>427</v>
      </c>
      <c r="B722">
        <v>30</v>
      </c>
      <c r="C722">
        <v>0</v>
      </c>
      <c r="D722">
        <v>1</v>
      </c>
      <c r="E722">
        <v>0</v>
      </c>
      <c r="F722" s="1">
        <v>42979</v>
      </c>
      <c r="G722" t="s">
        <v>10</v>
      </c>
      <c r="H722" s="14">
        <v>42982</v>
      </c>
      <c r="I722" t="s">
        <v>55</v>
      </c>
    </row>
    <row r="723" spans="1:9" x14ac:dyDescent="0.2">
      <c r="A723" t="s">
        <v>252</v>
      </c>
      <c r="B723">
        <v>100</v>
      </c>
      <c r="C723">
        <v>1</v>
      </c>
      <c r="D723">
        <v>0</v>
      </c>
      <c r="E723">
        <v>0</v>
      </c>
      <c r="F723" s="1">
        <v>42979</v>
      </c>
      <c r="G723" t="s">
        <v>10</v>
      </c>
      <c r="H723" s="14">
        <v>42983</v>
      </c>
      <c r="I723" t="s">
        <v>333</v>
      </c>
    </row>
    <row r="724" spans="1:9" x14ac:dyDescent="0.2">
      <c r="A724" t="s">
        <v>24</v>
      </c>
      <c r="B724">
        <v>68.95</v>
      </c>
      <c r="C724">
        <v>1</v>
      </c>
      <c r="D724">
        <v>0</v>
      </c>
      <c r="E724">
        <v>0</v>
      </c>
      <c r="F724" s="1">
        <v>42979</v>
      </c>
      <c r="G724" t="s">
        <v>10</v>
      </c>
      <c r="H724" s="14">
        <v>42982</v>
      </c>
      <c r="I724" t="s">
        <v>25</v>
      </c>
    </row>
    <row r="725" spans="1:9" x14ac:dyDescent="0.2">
      <c r="A725" t="s">
        <v>35</v>
      </c>
      <c r="B725">
        <v>300.35000000000002</v>
      </c>
      <c r="C725">
        <v>1</v>
      </c>
      <c r="D725">
        <v>0</v>
      </c>
      <c r="E725">
        <v>0</v>
      </c>
      <c r="F725" s="1">
        <v>42979</v>
      </c>
      <c r="G725" t="s">
        <v>10</v>
      </c>
      <c r="H725" s="14">
        <v>42986</v>
      </c>
      <c r="I725" t="s">
        <v>36</v>
      </c>
    </row>
    <row r="726" spans="1:9" x14ac:dyDescent="0.2">
      <c r="A726" s="6" t="s">
        <v>428</v>
      </c>
      <c r="B726">
        <v>900</v>
      </c>
      <c r="C726">
        <v>1</v>
      </c>
      <c r="D726">
        <v>0</v>
      </c>
      <c r="E726">
        <v>0</v>
      </c>
      <c r="F726" s="1">
        <v>42948</v>
      </c>
      <c r="G726" t="s">
        <v>10</v>
      </c>
      <c r="H726" s="14">
        <v>42984</v>
      </c>
      <c r="I726" t="s">
        <v>36</v>
      </c>
    </row>
    <row r="727" spans="1:9" x14ac:dyDescent="0.2">
      <c r="A727" s="6" t="s">
        <v>429</v>
      </c>
      <c r="B727">
        <v>22</v>
      </c>
      <c r="C727">
        <v>1</v>
      </c>
      <c r="D727">
        <v>0</v>
      </c>
      <c r="E727">
        <v>0</v>
      </c>
      <c r="F727" s="1">
        <v>42948</v>
      </c>
      <c r="G727" t="s">
        <v>10</v>
      </c>
      <c r="H727" s="14">
        <v>42984</v>
      </c>
      <c r="I727" t="s">
        <v>36</v>
      </c>
    </row>
    <row r="728" spans="1:9" x14ac:dyDescent="0.2">
      <c r="A728" s="6" t="s">
        <v>430</v>
      </c>
      <c r="B728">
        <v>461.12</v>
      </c>
      <c r="C728">
        <v>1</v>
      </c>
      <c r="D728">
        <v>0</v>
      </c>
      <c r="E728">
        <v>0</v>
      </c>
      <c r="F728" s="1">
        <v>42948</v>
      </c>
      <c r="G728" t="s">
        <v>10</v>
      </c>
      <c r="H728" s="14">
        <v>42984</v>
      </c>
      <c r="I728" t="s">
        <v>36</v>
      </c>
    </row>
    <row r="729" spans="1:9" x14ac:dyDescent="0.2">
      <c r="A729" t="s">
        <v>39</v>
      </c>
      <c r="B729">
        <v>107.23</v>
      </c>
      <c r="C729">
        <v>1</v>
      </c>
      <c r="D729">
        <v>0</v>
      </c>
      <c r="E729">
        <v>0</v>
      </c>
      <c r="F729" s="1">
        <v>42979</v>
      </c>
      <c r="G729" t="s">
        <v>58</v>
      </c>
      <c r="H729" s="14">
        <v>43000</v>
      </c>
      <c r="I729" t="s">
        <v>36</v>
      </c>
    </row>
    <row r="730" spans="1:9" x14ac:dyDescent="0.2">
      <c r="A730" t="s">
        <v>431</v>
      </c>
      <c r="B730">
        <v>42.09</v>
      </c>
      <c r="C730">
        <v>1</v>
      </c>
      <c r="D730">
        <v>0</v>
      </c>
      <c r="E730">
        <v>0</v>
      </c>
      <c r="F730" s="1">
        <v>42979</v>
      </c>
      <c r="G730" t="s">
        <v>10</v>
      </c>
      <c r="H730" s="14">
        <v>42986</v>
      </c>
      <c r="I730" t="s">
        <v>36</v>
      </c>
    </row>
    <row r="731" spans="1:9" x14ac:dyDescent="0.2">
      <c r="A731" t="s">
        <v>20</v>
      </c>
      <c r="B731">
        <f>SUMIFS([1]credito!$B$2:$B$130,[1]credito!$F$2:$F$130,F731,[1]credito!$G$2:$G$130,0)</f>
        <v>2150.94</v>
      </c>
      <c r="C731">
        <v>1</v>
      </c>
      <c r="D731">
        <v>0</v>
      </c>
      <c r="E731">
        <v>0</v>
      </c>
      <c r="F731" s="1">
        <v>42979</v>
      </c>
      <c r="G731" t="s">
        <v>43</v>
      </c>
      <c r="H731" s="14">
        <v>42993</v>
      </c>
      <c r="I731" t="s">
        <v>21</v>
      </c>
    </row>
    <row r="732" spans="1:9" x14ac:dyDescent="0.2">
      <c r="A732" t="s">
        <v>432</v>
      </c>
      <c r="B732">
        <f>SUMIFS([1]portoseguro!$B$2:$B$126,[1]portoseguro!$F$2:$F$126,F732,[1]portoseguro!$G$2:$G$126,0)</f>
        <v>9.39</v>
      </c>
      <c r="C732">
        <v>1</v>
      </c>
      <c r="D732">
        <v>0</v>
      </c>
      <c r="E732">
        <v>0</v>
      </c>
      <c r="F732" s="1">
        <v>42979</v>
      </c>
      <c r="G732" t="s">
        <v>43</v>
      </c>
      <c r="H732" s="14">
        <v>42993</v>
      </c>
      <c r="I732" t="s">
        <v>21</v>
      </c>
    </row>
    <row r="733" spans="1:9" x14ac:dyDescent="0.2">
      <c r="A733" t="s">
        <v>57</v>
      </c>
      <c r="B733">
        <v>658.67</v>
      </c>
      <c r="C733">
        <v>1</v>
      </c>
      <c r="D733">
        <v>0</v>
      </c>
      <c r="E733">
        <v>0</v>
      </c>
      <c r="F733" s="1">
        <v>42979</v>
      </c>
      <c r="G733" t="s">
        <v>43</v>
      </c>
      <c r="H733" s="14">
        <v>42993</v>
      </c>
      <c r="I733" t="s">
        <v>59</v>
      </c>
    </row>
    <row r="734" spans="1:9" x14ac:dyDescent="0.2">
      <c r="A734" t="s">
        <v>47</v>
      </c>
      <c r="B734">
        <v>158</v>
      </c>
      <c r="C734">
        <v>1</v>
      </c>
      <c r="D734">
        <v>0</v>
      </c>
      <c r="E734">
        <v>0</v>
      </c>
      <c r="F734" s="1">
        <v>42979</v>
      </c>
      <c r="G734" t="s">
        <v>43</v>
      </c>
      <c r="H734" s="14">
        <v>42992</v>
      </c>
      <c r="I734" t="s">
        <v>47</v>
      </c>
    </row>
    <row r="735" spans="1:9" x14ac:dyDescent="0.2">
      <c r="A735" t="s">
        <v>33</v>
      </c>
      <c r="B735">
        <v>300</v>
      </c>
      <c r="C735">
        <v>1</v>
      </c>
      <c r="D735">
        <v>0</v>
      </c>
      <c r="E735">
        <v>0</v>
      </c>
      <c r="F735" s="1">
        <v>42979</v>
      </c>
      <c r="G735" t="s">
        <v>10</v>
      </c>
      <c r="H735" s="14">
        <v>42982</v>
      </c>
      <c r="I735" t="s">
        <v>34</v>
      </c>
    </row>
    <row r="736" spans="1:9" x14ac:dyDescent="0.2">
      <c r="A736" t="s">
        <v>48</v>
      </c>
      <c r="B736">
        <v>6.03</v>
      </c>
      <c r="C736">
        <v>1</v>
      </c>
      <c r="D736">
        <v>0</v>
      </c>
      <c r="E736">
        <v>0</v>
      </c>
      <c r="F736" s="1">
        <v>42979</v>
      </c>
      <c r="G736" t="s">
        <v>43</v>
      </c>
      <c r="H736" s="14">
        <v>42992</v>
      </c>
      <c r="I736" t="s">
        <v>25</v>
      </c>
    </row>
    <row r="737" spans="1:9" x14ac:dyDescent="0.2">
      <c r="A737" t="s">
        <v>60</v>
      </c>
      <c r="B737">
        <v>50</v>
      </c>
      <c r="C737">
        <v>1</v>
      </c>
      <c r="D737">
        <v>0</v>
      </c>
      <c r="E737">
        <v>0</v>
      </c>
      <c r="F737" s="1">
        <v>42979</v>
      </c>
      <c r="G737" t="s">
        <v>43</v>
      </c>
      <c r="H737" s="14">
        <v>42993</v>
      </c>
      <c r="I737" t="s">
        <v>61</v>
      </c>
    </row>
    <row r="738" spans="1:9" x14ac:dyDescent="0.2">
      <c r="A738" t="s">
        <v>421</v>
      </c>
      <c r="B738">
        <v>162.66999999999999</v>
      </c>
      <c r="C738">
        <v>0</v>
      </c>
      <c r="D738">
        <v>1</v>
      </c>
      <c r="E738">
        <v>0</v>
      </c>
      <c r="F738" s="1">
        <v>42979</v>
      </c>
      <c r="G738" t="s">
        <v>10</v>
      </c>
      <c r="H738" s="14">
        <v>42983</v>
      </c>
      <c r="I738" t="s">
        <v>23</v>
      </c>
    </row>
    <row r="739" spans="1:9" x14ac:dyDescent="0.2">
      <c r="A739" t="s">
        <v>421</v>
      </c>
      <c r="B739">
        <v>8.9</v>
      </c>
      <c r="C739">
        <v>0</v>
      </c>
      <c r="D739">
        <v>1</v>
      </c>
      <c r="E739">
        <v>0</v>
      </c>
      <c r="F739" s="1">
        <v>42979</v>
      </c>
      <c r="G739" t="s">
        <v>10</v>
      </c>
      <c r="H739" s="14">
        <v>42983</v>
      </c>
      <c r="I739" t="s">
        <v>23</v>
      </c>
    </row>
    <row r="740" spans="1:9" x14ac:dyDescent="0.2">
      <c r="A740" t="s">
        <v>263</v>
      </c>
      <c r="B740">
        <v>14.8</v>
      </c>
      <c r="C740">
        <v>0</v>
      </c>
      <c r="D740">
        <v>1</v>
      </c>
      <c r="E740">
        <v>0</v>
      </c>
      <c r="F740" s="1">
        <v>42979</v>
      </c>
      <c r="G740" t="s">
        <v>10</v>
      </c>
      <c r="H740" s="14">
        <v>42982</v>
      </c>
      <c r="I740" t="s">
        <v>66</v>
      </c>
    </row>
    <row r="741" spans="1:9" x14ac:dyDescent="0.2">
      <c r="A741" t="s">
        <v>69</v>
      </c>
      <c r="B741">
        <v>37</v>
      </c>
      <c r="C741">
        <v>0</v>
      </c>
      <c r="D741">
        <v>1</v>
      </c>
      <c r="E741">
        <v>0</v>
      </c>
      <c r="F741" s="1">
        <v>42979</v>
      </c>
      <c r="G741" t="s">
        <v>10</v>
      </c>
      <c r="H741" s="14">
        <v>42981</v>
      </c>
      <c r="I741" t="s">
        <v>138</v>
      </c>
    </row>
    <row r="742" spans="1:9" x14ac:dyDescent="0.2">
      <c r="A742" t="s">
        <v>433</v>
      </c>
      <c r="B742">
        <v>43.6</v>
      </c>
      <c r="C742">
        <v>0</v>
      </c>
      <c r="D742">
        <v>1</v>
      </c>
      <c r="E742">
        <v>0</v>
      </c>
      <c r="F742" s="1">
        <v>42979</v>
      </c>
      <c r="G742" t="s">
        <v>10</v>
      </c>
      <c r="H742" s="14">
        <v>42982</v>
      </c>
      <c r="I742" t="s">
        <v>76</v>
      </c>
    </row>
    <row r="743" spans="1:9" x14ac:dyDescent="0.2">
      <c r="A743" t="s">
        <v>391</v>
      </c>
      <c r="B743">
        <v>20.63</v>
      </c>
      <c r="C743">
        <v>0</v>
      </c>
      <c r="D743">
        <v>1</v>
      </c>
      <c r="E743">
        <v>0</v>
      </c>
      <c r="F743" s="1">
        <v>42979</v>
      </c>
      <c r="G743" t="s">
        <v>10</v>
      </c>
      <c r="H743" s="14">
        <v>42981</v>
      </c>
      <c r="I743" t="s">
        <v>23</v>
      </c>
    </row>
    <row r="744" spans="1:9" x14ac:dyDescent="0.2">
      <c r="A744" t="s">
        <v>434</v>
      </c>
      <c r="B744">
        <v>48.21</v>
      </c>
      <c r="C744">
        <v>0</v>
      </c>
      <c r="D744">
        <v>1</v>
      </c>
      <c r="E744">
        <v>0</v>
      </c>
      <c r="F744" s="1">
        <v>42979</v>
      </c>
      <c r="G744" t="s">
        <v>10</v>
      </c>
      <c r="H744" s="14">
        <v>42983</v>
      </c>
      <c r="I744" t="s">
        <v>236</v>
      </c>
    </row>
    <row r="745" spans="1:9" x14ac:dyDescent="0.2">
      <c r="A745" t="s">
        <v>435</v>
      </c>
      <c r="B745">
        <v>43.82</v>
      </c>
      <c r="C745">
        <v>0</v>
      </c>
      <c r="D745">
        <v>1</v>
      </c>
      <c r="E745">
        <v>0</v>
      </c>
      <c r="F745" s="1">
        <v>42979</v>
      </c>
      <c r="G745" t="s">
        <v>10</v>
      </c>
      <c r="H745" s="14">
        <v>42983</v>
      </c>
      <c r="I745" t="s">
        <v>236</v>
      </c>
    </row>
    <row r="746" spans="1:9" x14ac:dyDescent="0.2">
      <c r="A746" t="s">
        <v>77</v>
      </c>
      <c r="B746">
        <v>8</v>
      </c>
      <c r="C746">
        <v>0</v>
      </c>
      <c r="D746">
        <v>1</v>
      </c>
      <c r="E746">
        <v>0</v>
      </c>
      <c r="F746" s="1">
        <v>42979</v>
      </c>
      <c r="G746" t="s">
        <v>10</v>
      </c>
      <c r="H746" s="14">
        <v>42984</v>
      </c>
      <c r="I746" t="s">
        <v>29</v>
      </c>
    </row>
    <row r="747" spans="1:9" x14ac:dyDescent="0.2">
      <c r="A747" t="s">
        <v>385</v>
      </c>
      <c r="B747">
        <v>22</v>
      </c>
      <c r="C747">
        <v>0</v>
      </c>
      <c r="D747">
        <v>1</v>
      </c>
      <c r="E747">
        <v>0</v>
      </c>
      <c r="F747" s="1">
        <v>42979</v>
      </c>
      <c r="G747" t="s">
        <v>10</v>
      </c>
      <c r="H747" s="14">
        <v>42984</v>
      </c>
      <c r="I747" t="s">
        <v>29</v>
      </c>
    </row>
    <row r="748" spans="1:9" x14ac:dyDescent="0.2">
      <c r="A748" t="s">
        <v>76</v>
      </c>
      <c r="B748">
        <v>21.15</v>
      </c>
      <c r="C748">
        <v>0</v>
      </c>
      <c r="D748">
        <v>1</v>
      </c>
      <c r="E748">
        <v>0</v>
      </c>
      <c r="F748" s="1">
        <v>42979</v>
      </c>
      <c r="G748" t="s">
        <v>10</v>
      </c>
      <c r="H748" s="14">
        <v>42984</v>
      </c>
      <c r="I748" t="s">
        <v>76</v>
      </c>
    </row>
    <row r="749" spans="1:9" x14ac:dyDescent="0.2">
      <c r="A749" t="s">
        <v>317</v>
      </c>
      <c r="B749">
        <v>5</v>
      </c>
      <c r="C749">
        <v>0</v>
      </c>
      <c r="D749">
        <v>1</v>
      </c>
      <c r="E749">
        <v>0</v>
      </c>
      <c r="F749" s="1">
        <v>42979</v>
      </c>
      <c r="G749" t="s">
        <v>10</v>
      </c>
      <c r="H749" s="14">
        <v>42984</v>
      </c>
      <c r="I749" t="s">
        <v>29</v>
      </c>
    </row>
    <row r="750" spans="1:9" x14ac:dyDescent="0.2">
      <c r="A750" t="s">
        <v>421</v>
      </c>
      <c r="B750">
        <v>149.22</v>
      </c>
      <c r="C750">
        <v>0</v>
      </c>
      <c r="D750">
        <v>1</v>
      </c>
      <c r="E750">
        <v>0</v>
      </c>
      <c r="F750" s="1">
        <v>42979</v>
      </c>
      <c r="G750" t="s">
        <v>10</v>
      </c>
      <c r="H750" s="14">
        <v>42985</v>
      </c>
      <c r="I750" t="s">
        <v>23</v>
      </c>
    </row>
    <row r="751" spans="1:9" x14ac:dyDescent="0.2">
      <c r="A751" t="s">
        <v>41</v>
      </c>
      <c r="B751">
        <v>65</v>
      </c>
      <c r="C751">
        <v>0</v>
      </c>
      <c r="D751">
        <v>1</v>
      </c>
      <c r="E751">
        <v>0</v>
      </c>
      <c r="F751" s="1">
        <v>42979</v>
      </c>
      <c r="G751" t="s">
        <v>10</v>
      </c>
      <c r="H751" s="14">
        <v>42985</v>
      </c>
      <c r="I751" t="s">
        <v>41</v>
      </c>
    </row>
    <row r="752" spans="1:9" x14ac:dyDescent="0.2">
      <c r="A752" t="s">
        <v>436</v>
      </c>
      <c r="B752">
        <v>25</v>
      </c>
      <c r="C752">
        <v>0</v>
      </c>
      <c r="D752">
        <v>1</v>
      </c>
      <c r="E752">
        <v>0</v>
      </c>
      <c r="F752" s="1">
        <v>42979</v>
      </c>
      <c r="G752" t="s">
        <v>10</v>
      </c>
      <c r="H752" s="14">
        <v>42985</v>
      </c>
      <c r="I752" t="s">
        <v>53</v>
      </c>
    </row>
    <row r="753" spans="1:9" x14ac:dyDescent="0.2">
      <c r="A753" t="s">
        <v>64</v>
      </c>
      <c r="B753">
        <v>10</v>
      </c>
      <c r="C753">
        <v>0</v>
      </c>
      <c r="D753">
        <v>1</v>
      </c>
      <c r="E753">
        <v>0</v>
      </c>
      <c r="F753" s="1">
        <v>42979</v>
      </c>
      <c r="G753" t="s">
        <v>10</v>
      </c>
      <c r="H753" s="14">
        <v>42985</v>
      </c>
      <c r="I753" t="s">
        <v>64</v>
      </c>
    </row>
    <row r="754" spans="1:9" x14ac:dyDescent="0.2">
      <c r="A754" t="s">
        <v>421</v>
      </c>
      <c r="B754">
        <v>41.98</v>
      </c>
      <c r="C754">
        <v>0</v>
      </c>
      <c r="D754">
        <v>1</v>
      </c>
      <c r="E754">
        <v>0</v>
      </c>
      <c r="F754" s="1">
        <v>42979</v>
      </c>
      <c r="G754" t="s">
        <v>10</v>
      </c>
      <c r="H754" s="14">
        <v>42986</v>
      </c>
      <c r="I754" t="s">
        <v>23</v>
      </c>
    </row>
    <row r="755" spans="1:9" x14ac:dyDescent="0.2">
      <c r="A755" t="s">
        <v>437</v>
      </c>
      <c r="B755">
        <v>15</v>
      </c>
      <c r="C755">
        <v>0</v>
      </c>
      <c r="D755">
        <v>1</v>
      </c>
      <c r="E755">
        <v>0</v>
      </c>
      <c r="F755" s="1">
        <v>42979</v>
      </c>
      <c r="G755" t="s">
        <v>10</v>
      </c>
      <c r="H755" s="14">
        <v>42987</v>
      </c>
      <c r="I755" t="s">
        <v>438</v>
      </c>
    </row>
    <row r="756" spans="1:9" x14ac:dyDescent="0.2">
      <c r="A756" t="s">
        <v>439</v>
      </c>
      <c r="B756">
        <v>50</v>
      </c>
      <c r="C756">
        <v>0</v>
      </c>
      <c r="D756">
        <v>1</v>
      </c>
      <c r="E756">
        <v>0</v>
      </c>
      <c r="F756" s="1">
        <v>42979</v>
      </c>
      <c r="G756" t="s">
        <v>10</v>
      </c>
      <c r="H756" s="14">
        <v>42987</v>
      </c>
      <c r="I756" t="s">
        <v>36</v>
      </c>
    </row>
    <row r="757" spans="1:9" x14ac:dyDescent="0.2">
      <c r="A757" t="s">
        <v>440</v>
      </c>
      <c r="B757">
        <v>20</v>
      </c>
      <c r="C757">
        <v>0</v>
      </c>
      <c r="D757">
        <v>1</v>
      </c>
      <c r="E757">
        <v>0</v>
      </c>
      <c r="F757" s="1">
        <v>42979</v>
      </c>
      <c r="G757" t="s">
        <v>10</v>
      </c>
      <c r="H757" s="14">
        <v>42988</v>
      </c>
      <c r="I757" t="s">
        <v>29</v>
      </c>
    </row>
    <row r="758" spans="1:9" x14ac:dyDescent="0.2">
      <c r="A758" t="s">
        <v>441</v>
      </c>
      <c r="B758">
        <v>14</v>
      </c>
      <c r="C758">
        <v>0</v>
      </c>
      <c r="D758">
        <v>1</v>
      </c>
      <c r="E758">
        <v>0</v>
      </c>
      <c r="F758" s="1">
        <v>42979</v>
      </c>
      <c r="G758" t="s">
        <v>10</v>
      </c>
      <c r="H758" s="14">
        <v>42988</v>
      </c>
      <c r="I758" t="s">
        <v>29</v>
      </c>
    </row>
    <row r="759" spans="1:9" x14ac:dyDescent="0.2">
      <c r="A759" t="s">
        <v>44</v>
      </c>
      <c r="B759">
        <v>20</v>
      </c>
      <c r="C759">
        <v>0</v>
      </c>
      <c r="D759">
        <v>1</v>
      </c>
      <c r="E759">
        <v>0</v>
      </c>
      <c r="F759" s="1">
        <v>42979</v>
      </c>
      <c r="G759" t="s">
        <v>10</v>
      </c>
      <c r="H759" s="14">
        <v>42988</v>
      </c>
      <c r="I759" t="s">
        <v>44</v>
      </c>
    </row>
    <row r="760" spans="1:9" x14ac:dyDescent="0.2">
      <c r="A760" t="s">
        <v>442</v>
      </c>
      <c r="B760">
        <v>42.91</v>
      </c>
      <c r="C760">
        <v>0</v>
      </c>
      <c r="D760">
        <v>1</v>
      </c>
      <c r="E760">
        <v>0</v>
      </c>
      <c r="F760" s="1">
        <v>42979</v>
      </c>
      <c r="G760" t="s">
        <v>43</v>
      </c>
      <c r="H760" s="14">
        <v>42989</v>
      </c>
      <c r="I760" t="s">
        <v>53</v>
      </c>
    </row>
    <row r="761" spans="1:9" x14ac:dyDescent="0.2">
      <c r="A761" t="s">
        <v>443</v>
      </c>
      <c r="B761">
        <v>35</v>
      </c>
      <c r="C761">
        <v>0</v>
      </c>
      <c r="D761">
        <v>1</v>
      </c>
      <c r="E761">
        <v>0</v>
      </c>
      <c r="F761" s="1">
        <v>42979</v>
      </c>
      <c r="G761" t="s">
        <v>43</v>
      </c>
      <c r="H761" s="14">
        <v>42989</v>
      </c>
      <c r="I761" t="s">
        <v>53</v>
      </c>
    </row>
    <row r="762" spans="1:9" x14ac:dyDescent="0.2">
      <c r="A762" t="s">
        <v>444</v>
      </c>
      <c r="B762">
        <v>10</v>
      </c>
      <c r="C762">
        <v>0</v>
      </c>
      <c r="D762">
        <v>1</v>
      </c>
      <c r="E762">
        <v>0</v>
      </c>
      <c r="F762" s="1">
        <v>42979</v>
      </c>
      <c r="G762" t="s">
        <v>43</v>
      </c>
      <c r="H762" s="14">
        <v>42989</v>
      </c>
      <c r="I762" t="s">
        <v>53</v>
      </c>
    </row>
    <row r="763" spans="1:9" x14ac:dyDescent="0.2">
      <c r="A763" t="s">
        <v>391</v>
      </c>
      <c r="B763">
        <v>3</v>
      </c>
      <c r="C763">
        <v>0</v>
      </c>
      <c r="D763">
        <v>1</v>
      </c>
      <c r="E763">
        <v>0</v>
      </c>
      <c r="F763" s="1">
        <v>42979</v>
      </c>
      <c r="G763" t="s">
        <v>43</v>
      </c>
      <c r="H763" s="14">
        <v>42989</v>
      </c>
      <c r="I763" t="s">
        <v>23</v>
      </c>
    </row>
    <row r="764" spans="1:9" x14ac:dyDescent="0.2">
      <c r="A764" t="s">
        <v>445</v>
      </c>
      <c r="B764">
        <v>6</v>
      </c>
      <c r="C764">
        <v>0</v>
      </c>
      <c r="D764">
        <v>1</v>
      </c>
      <c r="E764">
        <v>0</v>
      </c>
      <c r="F764" s="1">
        <v>42979</v>
      </c>
      <c r="G764" t="s">
        <v>43</v>
      </c>
      <c r="H764" s="14">
        <v>42990</v>
      </c>
      <c r="I764" t="s">
        <v>53</v>
      </c>
    </row>
    <row r="765" spans="1:9" x14ac:dyDescent="0.2">
      <c r="A765" t="s">
        <v>446</v>
      </c>
      <c r="B765">
        <v>25</v>
      </c>
      <c r="C765">
        <v>0</v>
      </c>
      <c r="D765">
        <v>1</v>
      </c>
      <c r="E765">
        <v>0</v>
      </c>
      <c r="F765" s="1">
        <v>42979</v>
      </c>
      <c r="G765" t="s">
        <v>43</v>
      </c>
      <c r="H765" s="14">
        <v>42990</v>
      </c>
      <c r="I765" t="s">
        <v>53</v>
      </c>
    </row>
    <row r="766" spans="1:9" x14ac:dyDescent="0.2">
      <c r="A766" t="s">
        <v>421</v>
      </c>
      <c r="B766">
        <v>148.30000000000001</v>
      </c>
      <c r="C766">
        <v>0</v>
      </c>
      <c r="D766">
        <v>1</v>
      </c>
      <c r="E766">
        <v>0</v>
      </c>
      <c r="F766" s="1">
        <v>42979</v>
      </c>
      <c r="G766" t="s">
        <v>43</v>
      </c>
      <c r="H766" s="14">
        <v>42991</v>
      </c>
      <c r="I766" t="s">
        <v>23</v>
      </c>
    </row>
    <row r="767" spans="1:9" x14ac:dyDescent="0.2">
      <c r="A767" t="s">
        <v>251</v>
      </c>
      <c r="B767">
        <v>160.97999999999999</v>
      </c>
      <c r="C767">
        <v>0</v>
      </c>
      <c r="D767">
        <v>1</v>
      </c>
      <c r="E767">
        <v>0</v>
      </c>
      <c r="F767" s="1">
        <v>42979</v>
      </c>
      <c r="G767" t="s">
        <v>43</v>
      </c>
      <c r="H767" s="14">
        <v>42992</v>
      </c>
      <c r="I767" t="s">
        <v>27</v>
      </c>
    </row>
    <row r="768" spans="1:9" x14ac:dyDescent="0.2">
      <c r="A768" t="s">
        <v>447</v>
      </c>
      <c r="B768">
        <v>39</v>
      </c>
      <c r="C768">
        <v>0</v>
      </c>
      <c r="D768">
        <v>1</v>
      </c>
      <c r="E768">
        <v>0</v>
      </c>
      <c r="F768" s="1">
        <v>42979</v>
      </c>
      <c r="G768" t="s">
        <v>43</v>
      </c>
      <c r="H768" s="14">
        <v>42992</v>
      </c>
      <c r="I768" t="s">
        <v>448</v>
      </c>
    </row>
    <row r="769" spans="1:9" x14ac:dyDescent="0.2">
      <c r="A769" t="s">
        <v>449</v>
      </c>
      <c r="B769">
        <v>112.5</v>
      </c>
      <c r="C769">
        <v>0</v>
      </c>
      <c r="D769">
        <v>1</v>
      </c>
      <c r="E769">
        <v>0</v>
      </c>
      <c r="F769" s="1">
        <v>42979</v>
      </c>
      <c r="G769" t="s">
        <v>43</v>
      </c>
      <c r="H769" s="14">
        <v>42992</v>
      </c>
      <c r="I769" t="s">
        <v>53</v>
      </c>
    </row>
    <row r="770" spans="1:9" x14ac:dyDescent="0.2">
      <c r="A770" t="s">
        <v>450</v>
      </c>
      <c r="B770">
        <v>29.9</v>
      </c>
      <c r="C770">
        <v>0</v>
      </c>
      <c r="D770">
        <v>1</v>
      </c>
      <c r="E770">
        <v>0</v>
      </c>
      <c r="F770" s="1">
        <v>42979</v>
      </c>
      <c r="G770" t="s">
        <v>43</v>
      </c>
      <c r="H770" s="14">
        <v>42992</v>
      </c>
      <c r="I770" t="s">
        <v>53</v>
      </c>
    </row>
    <row r="771" spans="1:9" x14ac:dyDescent="0.2">
      <c r="A771" t="s">
        <v>142</v>
      </c>
      <c r="B771">
        <v>35.380000000000003</v>
      </c>
      <c r="C771">
        <v>0</v>
      </c>
      <c r="D771">
        <v>1</v>
      </c>
      <c r="E771">
        <v>0</v>
      </c>
      <c r="F771" s="1">
        <v>42979</v>
      </c>
      <c r="G771" t="s">
        <v>43</v>
      </c>
      <c r="H771" s="14">
        <v>42992</v>
      </c>
      <c r="I771" t="s">
        <v>53</v>
      </c>
    </row>
    <row r="772" spans="1:9" x14ac:dyDescent="0.2">
      <c r="A772" t="s">
        <v>223</v>
      </c>
      <c r="B772">
        <v>86.43</v>
      </c>
      <c r="C772">
        <v>0</v>
      </c>
      <c r="D772">
        <v>1</v>
      </c>
      <c r="E772">
        <v>0</v>
      </c>
      <c r="F772" s="1">
        <v>42979</v>
      </c>
      <c r="G772" t="s">
        <v>43</v>
      </c>
      <c r="H772" s="14">
        <v>42992</v>
      </c>
      <c r="I772" t="s">
        <v>98</v>
      </c>
    </row>
    <row r="773" spans="1:9" x14ac:dyDescent="0.2">
      <c r="A773" t="s">
        <v>391</v>
      </c>
      <c r="B773">
        <v>7.84</v>
      </c>
      <c r="C773">
        <v>0</v>
      </c>
      <c r="D773">
        <v>1</v>
      </c>
      <c r="E773">
        <v>0</v>
      </c>
      <c r="F773" s="1">
        <v>42979</v>
      </c>
      <c r="G773" t="s">
        <v>43</v>
      </c>
      <c r="H773" s="14">
        <v>42992</v>
      </c>
      <c r="I773" t="s">
        <v>23</v>
      </c>
    </row>
    <row r="774" spans="1:9" x14ac:dyDescent="0.2">
      <c r="A774" t="s">
        <v>451</v>
      </c>
      <c r="B774">
        <v>30</v>
      </c>
      <c r="C774">
        <v>0</v>
      </c>
      <c r="D774">
        <v>1</v>
      </c>
      <c r="E774">
        <v>0</v>
      </c>
      <c r="F774" s="1">
        <v>42979</v>
      </c>
      <c r="G774" t="s">
        <v>43</v>
      </c>
      <c r="H774" s="14">
        <v>42992</v>
      </c>
      <c r="I774" t="s">
        <v>149</v>
      </c>
    </row>
    <row r="775" spans="1:9" x14ac:dyDescent="0.2">
      <c r="A775" t="s">
        <v>452</v>
      </c>
      <c r="B775">
        <v>110</v>
      </c>
      <c r="C775">
        <v>0</v>
      </c>
      <c r="D775">
        <v>1</v>
      </c>
      <c r="E775">
        <v>0</v>
      </c>
      <c r="F775" s="1">
        <v>42979</v>
      </c>
      <c r="G775" t="s">
        <v>43</v>
      </c>
      <c r="H775" s="14">
        <v>42992</v>
      </c>
      <c r="I775" t="s">
        <v>149</v>
      </c>
    </row>
    <row r="776" spans="1:9" x14ac:dyDescent="0.2">
      <c r="A776" t="s">
        <v>452</v>
      </c>
      <c r="B776">
        <v>65</v>
      </c>
      <c r="C776">
        <v>0</v>
      </c>
      <c r="D776">
        <v>1</v>
      </c>
      <c r="E776">
        <v>0</v>
      </c>
      <c r="F776" s="1">
        <v>42979</v>
      </c>
      <c r="G776" t="s">
        <v>43</v>
      </c>
      <c r="H776" s="14">
        <v>42992</v>
      </c>
      <c r="I776" t="s">
        <v>149</v>
      </c>
    </row>
    <row r="777" spans="1:9" x14ac:dyDescent="0.2">
      <c r="A777" t="s">
        <v>453</v>
      </c>
      <c r="B777">
        <v>10</v>
      </c>
      <c r="C777">
        <v>0</v>
      </c>
      <c r="D777">
        <v>1</v>
      </c>
      <c r="E777">
        <v>0</v>
      </c>
      <c r="F777" s="1">
        <v>42979</v>
      </c>
      <c r="G777" t="s">
        <v>43</v>
      </c>
      <c r="H777" s="14">
        <v>42992</v>
      </c>
      <c r="I777" t="s">
        <v>29</v>
      </c>
    </row>
    <row r="778" spans="1:9" x14ac:dyDescent="0.2">
      <c r="A778" t="s">
        <v>158</v>
      </c>
      <c r="B778">
        <v>20</v>
      </c>
      <c r="C778">
        <v>0</v>
      </c>
      <c r="D778">
        <v>1</v>
      </c>
      <c r="E778">
        <v>0</v>
      </c>
      <c r="F778" s="1">
        <v>42979</v>
      </c>
      <c r="G778" t="s">
        <v>43</v>
      </c>
      <c r="H778" s="14">
        <v>42992</v>
      </c>
      <c r="I778" t="s">
        <v>358</v>
      </c>
    </row>
    <row r="779" spans="1:9" x14ac:dyDescent="0.2">
      <c r="A779" t="s">
        <v>451</v>
      </c>
      <c r="B779">
        <v>16</v>
      </c>
      <c r="C779">
        <v>0</v>
      </c>
      <c r="D779">
        <v>1</v>
      </c>
      <c r="E779">
        <v>0</v>
      </c>
      <c r="F779" s="1">
        <v>42979</v>
      </c>
      <c r="G779" t="s">
        <v>43</v>
      </c>
      <c r="H779" s="14">
        <v>42992</v>
      </c>
      <c r="I779" t="s">
        <v>149</v>
      </c>
    </row>
    <row r="780" spans="1:9" x14ac:dyDescent="0.2">
      <c r="A780" t="s">
        <v>451</v>
      </c>
      <c r="B780">
        <v>40</v>
      </c>
      <c r="C780">
        <v>0</v>
      </c>
      <c r="D780">
        <v>1</v>
      </c>
      <c r="E780">
        <v>0</v>
      </c>
      <c r="F780" s="1">
        <v>42979</v>
      </c>
      <c r="G780" t="s">
        <v>43</v>
      </c>
      <c r="H780" s="14">
        <v>42992</v>
      </c>
      <c r="I780" t="s">
        <v>149</v>
      </c>
    </row>
    <row r="781" spans="1:9" x14ac:dyDescent="0.2">
      <c r="A781" t="s">
        <v>451</v>
      </c>
      <c r="B781">
        <v>139.93</v>
      </c>
      <c r="C781">
        <v>0</v>
      </c>
      <c r="D781">
        <v>1</v>
      </c>
      <c r="E781">
        <v>0</v>
      </c>
      <c r="F781" s="1">
        <v>42979</v>
      </c>
      <c r="G781" t="s">
        <v>43</v>
      </c>
      <c r="H781" s="14">
        <v>42992</v>
      </c>
      <c r="I781" t="s">
        <v>149</v>
      </c>
    </row>
    <row r="782" spans="1:9" x14ac:dyDescent="0.2">
      <c r="A782" t="s">
        <v>452</v>
      </c>
      <c r="B782">
        <v>178.62</v>
      </c>
      <c r="C782">
        <v>0</v>
      </c>
      <c r="D782">
        <v>1</v>
      </c>
      <c r="E782">
        <v>0</v>
      </c>
      <c r="F782" s="1">
        <v>42979</v>
      </c>
      <c r="G782" t="s">
        <v>43</v>
      </c>
      <c r="H782" s="14">
        <v>42992</v>
      </c>
      <c r="I782" t="s">
        <v>149</v>
      </c>
    </row>
    <row r="783" spans="1:9" x14ac:dyDescent="0.2">
      <c r="A783" t="s">
        <v>23</v>
      </c>
      <c r="B783">
        <v>42.66</v>
      </c>
      <c r="C783">
        <v>0</v>
      </c>
      <c r="D783">
        <v>1</v>
      </c>
      <c r="E783">
        <v>0</v>
      </c>
      <c r="F783" s="1">
        <v>42979</v>
      </c>
      <c r="G783" t="s">
        <v>43</v>
      </c>
      <c r="H783" s="14">
        <v>42992</v>
      </c>
      <c r="I783" t="s">
        <v>23</v>
      </c>
    </row>
    <row r="784" spans="1:9" x14ac:dyDescent="0.2">
      <c r="A784" t="s">
        <v>64</v>
      </c>
      <c r="B784">
        <v>50</v>
      </c>
      <c r="C784">
        <v>0</v>
      </c>
      <c r="D784">
        <v>1</v>
      </c>
      <c r="E784">
        <v>0</v>
      </c>
      <c r="F784" s="1">
        <v>42979</v>
      </c>
      <c r="G784" t="s">
        <v>43</v>
      </c>
      <c r="H784" s="14">
        <v>42992</v>
      </c>
      <c r="I784" t="s">
        <v>64</v>
      </c>
    </row>
    <row r="785" spans="1:9" x14ac:dyDescent="0.2">
      <c r="A785" t="s">
        <v>44</v>
      </c>
      <c r="B785">
        <v>33</v>
      </c>
      <c r="C785">
        <v>0</v>
      </c>
      <c r="D785">
        <v>1</v>
      </c>
      <c r="E785">
        <v>0</v>
      </c>
      <c r="F785" s="1">
        <v>42979</v>
      </c>
      <c r="G785" t="s">
        <v>43</v>
      </c>
      <c r="H785" s="14">
        <v>42992</v>
      </c>
      <c r="I785" t="s">
        <v>44</v>
      </c>
    </row>
    <row r="786" spans="1:9" x14ac:dyDescent="0.2">
      <c r="A786" t="s">
        <v>41</v>
      </c>
      <c r="B786">
        <v>100</v>
      </c>
      <c r="C786">
        <v>0</v>
      </c>
      <c r="D786">
        <v>1</v>
      </c>
      <c r="E786">
        <v>0</v>
      </c>
      <c r="F786" s="1">
        <v>42979</v>
      </c>
      <c r="G786" t="s">
        <v>43</v>
      </c>
      <c r="H786" s="14">
        <v>42992</v>
      </c>
      <c r="I786" t="s">
        <v>41</v>
      </c>
    </row>
    <row r="787" spans="1:9" x14ac:dyDescent="0.2">
      <c r="A787" t="s">
        <v>451</v>
      </c>
      <c r="B787">
        <v>130</v>
      </c>
      <c r="C787">
        <v>0</v>
      </c>
      <c r="D787">
        <v>1</v>
      </c>
      <c r="E787">
        <v>0</v>
      </c>
      <c r="F787" s="1">
        <v>42979</v>
      </c>
      <c r="G787" t="s">
        <v>43</v>
      </c>
      <c r="H787" s="14">
        <v>42992</v>
      </c>
      <c r="I787" t="s">
        <v>149</v>
      </c>
    </row>
    <row r="788" spans="1:9" x14ac:dyDescent="0.2">
      <c r="A788" t="s">
        <v>406</v>
      </c>
      <c r="B788">
        <v>93.23</v>
      </c>
      <c r="C788">
        <v>0</v>
      </c>
      <c r="D788">
        <v>1</v>
      </c>
      <c r="E788">
        <v>0</v>
      </c>
      <c r="F788" s="1">
        <v>42979</v>
      </c>
      <c r="G788" t="s">
        <v>58</v>
      </c>
      <c r="H788" s="14">
        <v>42997</v>
      </c>
      <c r="I788" t="s">
        <v>23</v>
      </c>
    </row>
    <row r="789" spans="1:9" x14ac:dyDescent="0.2">
      <c r="A789" t="s">
        <v>422</v>
      </c>
      <c r="B789">
        <v>35</v>
      </c>
      <c r="C789">
        <v>0</v>
      </c>
      <c r="D789">
        <v>1</v>
      </c>
      <c r="E789">
        <v>0</v>
      </c>
      <c r="F789" s="1">
        <v>42979</v>
      </c>
      <c r="G789" t="s">
        <v>58</v>
      </c>
      <c r="H789" s="14">
        <v>42997</v>
      </c>
      <c r="I789" t="s">
        <v>53</v>
      </c>
    </row>
    <row r="790" spans="1:9" x14ac:dyDescent="0.2">
      <c r="A790" t="s">
        <v>454</v>
      </c>
      <c r="B790">
        <v>12.5</v>
      </c>
      <c r="C790">
        <v>0</v>
      </c>
      <c r="D790">
        <v>1</v>
      </c>
      <c r="E790">
        <v>0</v>
      </c>
      <c r="F790" s="1">
        <v>42979</v>
      </c>
      <c r="G790" t="s">
        <v>58</v>
      </c>
      <c r="H790" s="14">
        <v>42998</v>
      </c>
      <c r="I790" t="s">
        <v>53</v>
      </c>
    </row>
    <row r="791" spans="1:9" x14ac:dyDescent="0.2">
      <c r="A791" t="s">
        <v>291</v>
      </c>
      <c r="B791">
        <v>41.6</v>
      </c>
      <c r="C791">
        <v>0</v>
      </c>
      <c r="D791">
        <v>1</v>
      </c>
      <c r="E791">
        <v>0</v>
      </c>
      <c r="F791" s="1">
        <v>42979</v>
      </c>
      <c r="G791" t="s">
        <v>58</v>
      </c>
      <c r="H791" s="14">
        <v>42998</v>
      </c>
      <c r="I791" t="s">
        <v>23</v>
      </c>
    </row>
    <row r="792" spans="1:9" x14ac:dyDescent="0.2">
      <c r="A792" t="s">
        <v>455</v>
      </c>
      <c r="B792">
        <v>10</v>
      </c>
      <c r="C792">
        <v>0</v>
      </c>
      <c r="D792">
        <v>1</v>
      </c>
      <c r="E792">
        <v>0</v>
      </c>
      <c r="F792" s="1">
        <v>42979</v>
      </c>
      <c r="G792" t="s">
        <v>58</v>
      </c>
      <c r="H792" s="14">
        <v>42998</v>
      </c>
      <c r="I792" t="s">
        <v>27</v>
      </c>
    </row>
    <row r="793" spans="1:9" x14ac:dyDescent="0.2">
      <c r="A793" t="s">
        <v>456</v>
      </c>
      <c r="B793">
        <v>19.88</v>
      </c>
      <c r="C793">
        <v>0</v>
      </c>
      <c r="D793">
        <v>1</v>
      </c>
      <c r="E793">
        <v>0</v>
      </c>
      <c r="F793" s="1">
        <v>42979</v>
      </c>
      <c r="G793" t="s">
        <v>58</v>
      </c>
      <c r="H793" s="14">
        <v>42998</v>
      </c>
      <c r="I793" t="s">
        <v>53</v>
      </c>
    </row>
    <row r="794" spans="1:9" x14ac:dyDescent="0.2">
      <c r="A794" t="s">
        <v>91</v>
      </c>
      <c r="B794">
        <v>75.7</v>
      </c>
      <c r="C794">
        <v>0</v>
      </c>
      <c r="D794">
        <v>1</v>
      </c>
      <c r="E794">
        <v>0</v>
      </c>
      <c r="F794" s="1">
        <v>42979</v>
      </c>
      <c r="G794" t="s">
        <v>58</v>
      </c>
      <c r="H794" s="14">
        <v>42998</v>
      </c>
      <c r="I794" t="s">
        <v>138</v>
      </c>
    </row>
    <row r="795" spans="1:9" x14ac:dyDescent="0.2">
      <c r="A795" t="s">
        <v>91</v>
      </c>
      <c r="B795">
        <v>17.5</v>
      </c>
      <c r="C795">
        <v>0</v>
      </c>
      <c r="D795">
        <v>1</v>
      </c>
      <c r="E795">
        <v>0</v>
      </c>
      <c r="F795" s="1">
        <v>42979</v>
      </c>
      <c r="G795" t="s">
        <v>58</v>
      </c>
      <c r="H795" s="14">
        <v>42998</v>
      </c>
      <c r="I795" t="s">
        <v>138</v>
      </c>
    </row>
    <row r="796" spans="1:9" x14ac:dyDescent="0.2">
      <c r="A796" t="s">
        <v>457</v>
      </c>
      <c r="B796">
        <v>22</v>
      </c>
      <c r="C796">
        <v>0</v>
      </c>
      <c r="D796">
        <v>1</v>
      </c>
      <c r="E796">
        <v>0</v>
      </c>
      <c r="F796" s="1">
        <v>42979</v>
      </c>
      <c r="G796" t="s">
        <v>58</v>
      </c>
      <c r="H796" s="14">
        <v>42998</v>
      </c>
      <c r="I796" t="s">
        <v>138</v>
      </c>
    </row>
    <row r="797" spans="1:9" x14ac:dyDescent="0.2">
      <c r="A797" t="s">
        <v>458</v>
      </c>
      <c r="B797">
        <v>20.91</v>
      </c>
      <c r="C797">
        <v>0</v>
      </c>
      <c r="D797">
        <v>1</v>
      </c>
      <c r="E797">
        <v>0</v>
      </c>
      <c r="F797" s="1">
        <v>42979</v>
      </c>
      <c r="G797" t="s">
        <v>58</v>
      </c>
      <c r="H797" s="14">
        <v>43000</v>
      </c>
      <c r="I797" t="s">
        <v>53</v>
      </c>
    </row>
    <row r="798" spans="1:9" x14ac:dyDescent="0.2">
      <c r="A798" t="s">
        <v>421</v>
      </c>
      <c r="B798">
        <v>81.44</v>
      </c>
      <c r="C798">
        <v>0</v>
      </c>
      <c r="D798">
        <v>1</v>
      </c>
      <c r="E798">
        <v>0</v>
      </c>
      <c r="F798" s="1">
        <v>42979</v>
      </c>
      <c r="G798" t="s">
        <v>58</v>
      </c>
      <c r="H798" s="14">
        <v>43000</v>
      </c>
      <c r="I798" t="s">
        <v>23</v>
      </c>
    </row>
    <row r="799" spans="1:9" x14ac:dyDescent="0.2">
      <c r="A799" t="s">
        <v>223</v>
      </c>
      <c r="B799">
        <v>20</v>
      </c>
      <c r="C799">
        <v>0</v>
      </c>
      <c r="D799">
        <v>1</v>
      </c>
      <c r="E799">
        <v>0</v>
      </c>
      <c r="F799" s="1">
        <v>42979</v>
      </c>
      <c r="G799" t="s">
        <v>58</v>
      </c>
      <c r="H799" s="14">
        <v>43001</v>
      </c>
      <c r="I799" t="s">
        <v>98</v>
      </c>
    </row>
    <row r="800" spans="1:9" x14ac:dyDescent="0.2">
      <c r="A800" t="s">
        <v>64</v>
      </c>
      <c r="B800">
        <v>140</v>
      </c>
      <c r="C800">
        <v>0</v>
      </c>
      <c r="D800">
        <v>1</v>
      </c>
      <c r="E800">
        <v>0</v>
      </c>
      <c r="F800" s="1">
        <v>42979</v>
      </c>
      <c r="G800" t="s">
        <v>58</v>
      </c>
      <c r="H800" s="14">
        <v>43001</v>
      </c>
      <c r="I800" t="s">
        <v>64</v>
      </c>
    </row>
    <row r="801" spans="1:9" x14ac:dyDescent="0.2">
      <c r="A801" t="s">
        <v>459</v>
      </c>
      <c r="B801">
        <v>6.66</v>
      </c>
      <c r="C801">
        <v>0</v>
      </c>
      <c r="D801">
        <v>1</v>
      </c>
      <c r="E801">
        <v>0</v>
      </c>
      <c r="F801" s="1">
        <v>42979</v>
      </c>
      <c r="G801" t="s">
        <v>58</v>
      </c>
      <c r="H801" s="14">
        <v>43001</v>
      </c>
      <c r="I801" t="s">
        <v>36</v>
      </c>
    </row>
    <row r="802" spans="1:9" x14ac:dyDescent="0.2">
      <c r="A802" t="s">
        <v>460</v>
      </c>
      <c r="B802">
        <v>33.97</v>
      </c>
      <c r="C802">
        <v>0</v>
      </c>
      <c r="D802">
        <v>1</v>
      </c>
      <c r="E802">
        <v>0</v>
      </c>
      <c r="F802" s="1">
        <v>42979</v>
      </c>
      <c r="G802" t="s">
        <v>58</v>
      </c>
      <c r="H802" s="14">
        <v>43001</v>
      </c>
      <c r="I802" t="s">
        <v>53</v>
      </c>
    </row>
    <row r="803" spans="1:9" x14ac:dyDescent="0.2">
      <c r="A803" t="s">
        <v>461</v>
      </c>
      <c r="B803">
        <v>32</v>
      </c>
      <c r="C803">
        <v>0</v>
      </c>
      <c r="D803">
        <v>1</v>
      </c>
      <c r="E803">
        <v>0</v>
      </c>
      <c r="F803" s="1">
        <v>42979</v>
      </c>
      <c r="G803" t="s">
        <v>58</v>
      </c>
      <c r="H803" s="14">
        <v>43001</v>
      </c>
      <c r="I803" t="s">
        <v>76</v>
      </c>
    </row>
    <row r="804" spans="1:9" x14ac:dyDescent="0.2">
      <c r="A804" t="s">
        <v>251</v>
      </c>
      <c r="B804">
        <v>126.18</v>
      </c>
      <c r="C804">
        <v>0</v>
      </c>
      <c r="D804">
        <v>1</v>
      </c>
      <c r="E804">
        <v>0</v>
      </c>
      <c r="F804" s="1">
        <v>42979</v>
      </c>
      <c r="G804" t="s">
        <v>58</v>
      </c>
      <c r="H804" s="14">
        <v>43001</v>
      </c>
      <c r="I804" t="s">
        <v>27</v>
      </c>
    </row>
    <row r="805" spans="1:9" x14ac:dyDescent="0.2">
      <c r="A805" t="s">
        <v>462</v>
      </c>
      <c r="B805">
        <v>78</v>
      </c>
      <c r="C805">
        <v>0</v>
      </c>
      <c r="D805">
        <v>1</v>
      </c>
      <c r="E805">
        <v>0</v>
      </c>
      <c r="F805" s="1">
        <v>42979</v>
      </c>
      <c r="G805" t="s">
        <v>58</v>
      </c>
      <c r="H805" s="14">
        <v>43001</v>
      </c>
      <c r="I805" t="s">
        <v>138</v>
      </c>
    </row>
    <row r="806" spans="1:9" x14ac:dyDescent="0.2">
      <c r="A806" t="s">
        <v>391</v>
      </c>
      <c r="B806">
        <v>5.47</v>
      </c>
      <c r="C806">
        <v>0</v>
      </c>
      <c r="D806">
        <v>1</v>
      </c>
      <c r="E806">
        <v>0</v>
      </c>
      <c r="F806" s="1">
        <v>42979</v>
      </c>
      <c r="G806" t="s">
        <v>58</v>
      </c>
      <c r="H806" s="14">
        <v>43001</v>
      </c>
      <c r="I806" t="s">
        <v>23</v>
      </c>
    </row>
    <row r="807" spans="1:9" x14ac:dyDescent="0.2">
      <c r="A807" t="s">
        <v>463</v>
      </c>
      <c r="B807">
        <v>12.59</v>
      </c>
      <c r="C807">
        <v>0</v>
      </c>
      <c r="D807">
        <v>1</v>
      </c>
      <c r="E807">
        <v>0</v>
      </c>
      <c r="F807" s="1">
        <v>42979</v>
      </c>
      <c r="G807" t="s">
        <v>58</v>
      </c>
      <c r="H807" s="14">
        <v>43001</v>
      </c>
      <c r="I807" t="s">
        <v>23</v>
      </c>
    </row>
    <row r="808" spans="1:9" x14ac:dyDescent="0.2">
      <c r="A808" t="s">
        <v>391</v>
      </c>
      <c r="B808">
        <v>55</v>
      </c>
      <c r="C808">
        <v>0</v>
      </c>
      <c r="D808">
        <v>1</v>
      </c>
      <c r="E808">
        <v>0</v>
      </c>
      <c r="F808" s="1">
        <v>42979</v>
      </c>
      <c r="G808" t="s">
        <v>58</v>
      </c>
      <c r="H808" s="14">
        <v>43001</v>
      </c>
      <c r="I808" t="s">
        <v>23</v>
      </c>
    </row>
    <row r="809" spans="1:9" x14ac:dyDescent="0.2">
      <c r="A809" t="s">
        <v>462</v>
      </c>
      <c r="B809">
        <v>99</v>
      </c>
      <c r="C809">
        <v>0</v>
      </c>
      <c r="D809">
        <v>1</v>
      </c>
      <c r="E809">
        <v>0</v>
      </c>
      <c r="F809" s="1">
        <v>42979</v>
      </c>
      <c r="G809" t="s">
        <v>58</v>
      </c>
      <c r="H809" s="14">
        <v>43001</v>
      </c>
      <c r="I809" t="s">
        <v>138</v>
      </c>
    </row>
    <row r="810" spans="1:9" x14ac:dyDescent="0.2">
      <c r="A810" t="s">
        <v>421</v>
      </c>
      <c r="B810">
        <v>168.86</v>
      </c>
      <c r="C810">
        <v>0</v>
      </c>
      <c r="D810">
        <v>1</v>
      </c>
      <c r="E810">
        <v>0</v>
      </c>
      <c r="F810" s="1">
        <v>42979</v>
      </c>
      <c r="G810" t="s">
        <v>71</v>
      </c>
      <c r="H810" s="14">
        <v>43004</v>
      </c>
      <c r="I810" t="s">
        <v>23</v>
      </c>
    </row>
    <row r="811" spans="1:9" x14ac:dyDescent="0.2">
      <c r="A811" t="s">
        <v>464</v>
      </c>
      <c r="B811">
        <v>17</v>
      </c>
      <c r="C811">
        <v>0</v>
      </c>
      <c r="D811">
        <v>1</v>
      </c>
      <c r="E811">
        <v>0</v>
      </c>
      <c r="F811" s="1">
        <v>42979</v>
      </c>
      <c r="G811" t="s">
        <v>71</v>
      </c>
      <c r="H811" s="14">
        <v>43004</v>
      </c>
      <c r="I811" t="s">
        <v>53</v>
      </c>
    </row>
    <row r="812" spans="1:9" x14ac:dyDescent="0.2">
      <c r="A812" t="s">
        <v>465</v>
      </c>
      <c r="B812">
        <v>8</v>
      </c>
      <c r="C812">
        <v>0</v>
      </c>
      <c r="D812">
        <v>1</v>
      </c>
      <c r="E812">
        <v>0</v>
      </c>
      <c r="F812" s="1">
        <v>42979</v>
      </c>
      <c r="G812" t="s">
        <v>71</v>
      </c>
      <c r="H812" s="14">
        <v>43005</v>
      </c>
      <c r="I812" t="s">
        <v>53</v>
      </c>
    </row>
    <row r="813" spans="1:9" x14ac:dyDescent="0.2">
      <c r="A813" t="s">
        <v>387</v>
      </c>
      <c r="B813">
        <v>3</v>
      </c>
      <c r="C813">
        <v>0</v>
      </c>
      <c r="D813">
        <v>1</v>
      </c>
      <c r="E813">
        <v>0</v>
      </c>
      <c r="F813" s="1">
        <v>42979</v>
      </c>
      <c r="G813" t="s">
        <v>71</v>
      </c>
      <c r="H813" s="14">
        <v>43005</v>
      </c>
      <c r="I813" t="s">
        <v>29</v>
      </c>
    </row>
    <row r="814" spans="1:9" x14ac:dyDescent="0.2">
      <c r="A814" t="s">
        <v>466</v>
      </c>
      <c r="B814">
        <v>20</v>
      </c>
      <c r="C814">
        <v>0</v>
      </c>
      <c r="D814">
        <v>1</v>
      </c>
      <c r="E814">
        <v>0</v>
      </c>
      <c r="F814" s="1">
        <v>42979</v>
      </c>
      <c r="G814" t="s">
        <v>71</v>
      </c>
      <c r="H814" s="14">
        <v>43005</v>
      </c>
      <c r="I814" t="s">
        <v>29</v>
      </c>
    </row>
    <row r="815" spans="1:9" x14ac:dyDescent="0.2">
      <c r="A815" t="s">
        <v>41</v>
      </c>
      <c r="B815">
        <v>50</v>
      </c>
      <c r="C815">
        <v>0</v>
      </c>
      <c r="D815">
        <v>1</v>
      </c>
      <c r="E815">
        <v>0</v>
      </c>
      <c r="F815" s="1">
        <v>42979</v>
      </c>
      <c r="G815" t="s">
        <v>71</v>
      </c>
      <c r="H815" s="14">
        <v>43006</v>
      </c>
      <c r="I815" t="s">
        <v>41</v>
      </c>
    </row>
    <row r="816" spans="1:9" x14ac:dyDescent="0.2">
      <c r="A816" t="s">
        <v>44</v>
      </c>
      <c r="B816">
        <v>500</v>
      </c>
      <c r="C816">
        <v>0</v>
      </c>
      <c r="D816">
        <v>1</v>
      </c>
      <c r="E816">
        <v>0</v>
      </c>
      <c r="F816" s="1">
        <v>42979</v>
      </c>
      <c r="G816" t="s">
        <v>71</v>
      </c>
      <c r="H816" s="14">
        <v>43005</v>
      </c>
      <c r="I816" t="s">
        <v>44</v>
      </c>
    </row>
    <row r="817" spans="1:9" x14ac:dyDescent="0.2">
      <c r="A817" s="15" t="s">
        <v>24</v>
      </c>
      <c r="B817" s="15">
        <v>68.95</v>
      </c>
      <c r="C817" s="15">
        <v>1</v>
      </c>
      <c r="D817" s="15">
        <v>0</v>
      </c>
      <c r="E817" s="15">
        <v>0</v>
      </c>
      <c r="F817" s="32">
        <v>43009</v>
      </c>
      <c r="G817" s="15" t="s">
        <v>10</v>
      </c>
      <c r="H817" s="32">
        <v>43011</v>
      </c>
      <c r="I817" s="15" t="s">
        <v>25</v>
      </c>
    </row>
    <row r="818" spans="1:9" x14ac:dyDescent="0.2">
      <c r="A818" s="15" t="s">
        <v>35</v>
      </c>
      <c r="B818" s="15">
        <v>203.12</v>
      </c>
      <c r="C818" s="15">
        <v>1</v>
      </c>
      <c r="D818" s="15">
        <v>0</v>
      </c>
      <c r="E818" s="15">
        <v>0</v>
      </c>
      <c r="F818" s="32">
        <v>43009</v>
      </c>
      <c r="G818" s="15" t="s">
        <v>10</v>
      </c>
      <c r="H818" s="32">
        <v>43014</v>
      </c>
      <c r="I818" s="15" t="s">
        <v>36</v>
      </c>
    </row>
    <row r="819" spans="1:9" x14ac:dyDescent="0.2">
      <c r="A819" s="33" t="s">
        <v>428</v>
      </c>
      <c r="B819" s="16">
        <v>900</v>
      </c>
      <c r="C819" s="16">
        <v>1</v>
      </c>
      <c r="D819" s="16">
        <v>0</v>
      </c>
      <c r="E819" s="15">
        <v>0</v>
      </c>
      <c r="F819" s="32">
        <v>43009</v>
      </c>
      <c r="G819" s="15" t="s">
        <v>10</v>
      </c>
      <c r="H819" s="34">
        <v>43014</v>
      </c>
      <c r="I819" s="16" t="s">
        <v>36</v>
      </c>
    </row>
    <row r="820" spans="1:9" x14ac:dyDescent="0.2">
      <c r="A820" s="33" t="s">
        <v>429</v>
      </c>
      <c r="B820" s="16">
        <v>22</v>
      </c>
      <c r="C820" s="16">
        <v>1</v>
      </c>
      <c r="D820" s="16">
        <v>0</v>
      </c>
      <c r="E820" s="15">
        <v>0</v>
      </c>
      <c r="F820" s="32">
        <v>43009</v>
      </c>
      <c r="G820" s="15" t="s">
        <v>10</v>
      </c>
      <c r="H820" s="34">
        <v>43014</v>
      </c>
      <c r="I820" s="16" t="s">
        <v>36</v>
      </c>
    </row>
    <row r="821" spans="1:9" x14ac:dyDescent="0.2">
      <c r="A821" s="33" t="s">
        <v>430</v>
      </c>
      <c r="B821" s="16">
        <v>461.12</v>
      </c>
      <c r="C821" s="16">
        <v>1</v>
      </c>
      <c r="D821" s="16">
        <v>0</v>
      </c>
      <c r="E821" s="15">
        <v>0</v>
      </c>
      <c r="F821" s="32">
        <v>43009</v>
      </c>
      <c r="G821" s="15" t="s">
        <v>10</v>
      </c>
      <c r="H821" s="34">
        <v>43014</v>
      </c>
      <c r="I821" s="16" t="s">
        <v>36</v>
      </c>
    </row>
    <row r="822" spans="1:9" x14ac:dyDescent="0.2">
      <c r="A822" s="16" t="s">
        <v>39</v>
      </c>
      <c r="B822" s="16">
        <v>88.24</v>
      </c>
      <c r="C822" s="16">
        <v>1</v>
      </c>
      <c r="D822" s="16">
        <v>0</v>
      </c>
      <c r="E822" s="15">
        <v>0</v>
      </c>
      <c r="F822" s="32">
        <v>43009</v>
      </c>
      <c r="G822" s="16" t="s">
        <v>71</v>
      </c>
      <c r="H822" s="34">
        <v>43035</v>
      </c>
      <c r="I822" s="16" t="s">
        <v>36</v>
      </c>
    </row>
    <row r="823" spans="1:9" x14ac:dyDescent="0.2">
      <c r="A823" s="15" t="s">
        <v>20</v>
      </c>
      <c r="B823" s="15">
        <f>SUMIFS([1]credito!$B$2:$B$228,[1]credito!$F$2:$F$228,F823,[1]credito!$G$2:$G$228,0)</f>
        <v>2417.0100000000007</v>
      </c>
      <c r="C823" s="15">
        <v>1</v>
      </c>
      <c r="D823" s="15">
        <v>0</v>
      </c>
      <c r="E823" s="15">
        <v>0</v>
      </c>
      <c r="F823" s="32">
        <v>43009</v>
      </c>
      <c r="G823" s="15" t="s">
        <v>58</v>
      </c>
      <c r="H823" s="32">
        <v>43024</v>
      </c>
      <c r="I823" s="15" t="s">
        <v>21</v>
      </c>
    </row>
    <row r="824" spans="1:9" x14ac:dyDescent="0.2">
      <c r="A824" s="16" t="s">
        <v>432</v>
      </c>
      <c r="B824" s="16">
        <f>SUMIFS([1]portoseguro!$B$2:$B$126,[1]portoseguro!$F$2:$F$126,F824,[1]portoseguro!$G$2:$G$126,0)</f>
        <v>127</v>
      </c>
      <c r="C824" s="16">
        <v>1</v>
      </c>
      <c r="D824" s="16">
        <v>0</v>
      </c>
      <c r="E824" s="16">
        <v>0</v>
      </c>
      <c r="F824" s="32">
        <v>43009</v>
      </c>
      <c r="G824" s="16" t="s">
        <v>71</v>
      </c>
      <c r="H824" s="34">
        <v>43035</v>
      </c>
      <c r="I824" s="16" t="s">
        <v>21</v>
      </c>
    </row>
    <row r="825" spans="1:9" x14ac:dyDescent="0.2">
      <c r="A825" s="5" t="s">
        <v>57</v>
      </c>
      <c r="B825" s="5">
        <v>661.74</v>
      </c>
      <c r="C825" s="5">
        <v>1</v>
      </c>
      <c r="D825" s="5">
        <v>0</v>
      </c>
      <c r="E825" s="15">
        <v>0</v>
      </c>
      <c r="F825" s="32">
        <v>43009</v>
      </c>
      <c r="G825" s="15" t="s">
        <v>58</v>
      </c>
      <c r="H825" s="32">
        <v>43024</v>
      </c>
      <c r="I825" s="5" t="s">
        <v>59</v>
      </c>
    </row>
    <row r="826" spans="1:9" x14ac:dyDescent="0.2">
      <c r="A826" s="5" t="s">
        <v>47</v>
      </c>
      <c r="B826" s="5">
        <v>158</v>
      </c>
      <c r="C826" s="5">
        <v>1</v>
      </c>
      <c r="D826" s="5">
        <v>0</v>
      </c>
      <c r="E826" s="15">
        <v>0</v>
      </c>
      <c r="F826" s="32">
        <v>43009</v>
      </c>
      <c r="G826" s="15" t="s">
        <v>58</v>
      </c>
      <c r="H826" s="32">
        <v>43024</v>
      </c>
      <c r="I826" s="5" t="s">
        <v>47</v>
      </c>
    </row>
    <row r="827" spans="1:9" x14ac:dyDescent="0.2">
      <c r="A827" s="5" t="s">
        <v>33</v>
      </c>
      <c r="B827" s="5">
        <v>300</v>
      </c>
      <c r="C827" s="5">
        <v>1</v>
      </c>
      <c r="D827" s="5">
        <v>0</v>
      </c>
      <c r="E827" s="5">
        <v>0</v>
      </c>
      <c r="F827" s="13">
        <v>43009</v>
      </c>
      <c r="G827" s="5" t="s">
        <v>10</v>
      </c>
      <c r="H827" s="13">
        <v>43012</v>
      </c>
      <c r="I827" s="5" t="s">
        <v>34</v>
      </c>
    </row>
    <row r="828" spans="1:9" x14ac:dyDescent="0.2">
      <c r="A828" s="5" t="s">
        <v>48</v>
      </c>
      <c r="B828" s="5">
        <v>6.03</v>
      </c>
      <c r="C828" s="5">
        <v>1</v>
      </c>
      <c r="D828" s="5">
        <v>0</v>
      </c>
      <c r="E828" s="5">
        <v>0</v>
      </c>
      <c r="F828" s="13">
        <v>43009</v>
      </c>
      <c r="G828" s="5" t="s">
        <v>10</v>
      </c>
      <c r="H828" s="13">
        <v>43018</v>
      </c>
      <c r="I828" s="5" t="s">
        <v>25</v>
      </c>
    </row>
    <row r="829" spans="1:9" x14ac:dyDescent="0.2">
      <c r="A829" s="5" t="s">
        <v>60</v>
      </c>
      <c r="B829" s="5">
        <v>50</v>
      </c>
      <c r="C829" s="5">
        <v>1</v>
      </c>
      <c r="D829" s="5">
        <v>0</v>
      </c>
      <c r="E829" s="15">
        <v>0</v>
      </c>
      <c r="F829" s="32">
        <v>43009</v>
      </c>
      <c r="G829" s="15" t="s">
        <v>58</v>
      </c>
      <c r="H829" s="32">
        <v>43024</v>
      </c>
      <c r="I829" s="5" t="s">
        <v>61</v>
      </c>
    </row>
    <row r="830" spans="1:9" x14ac:dyDescent="0.2">
      <c r="A830" s="16" t="s">
        <v>117</v>
      </c>
      <c r="B830" s="16">
        <v>15</v>
      </c>
      <c r="C830" s="5">
        <v>0</v>
      </c>
      <c r="D830" s="5">
        <v>1</v>
      </c>
      <c r="E830" s="5">
        <v>0</v>
      </c>
      <c r="F830" s="13">
        <v>43009</v>
      </c>
      <c r="G830" s="5" t="s">
        <v>10</v>
      </c>
      <c r="H830" s="13">
        <v>43010</v>
      </c>
      <c r="I830" s="5" t="s">
        <v>117</v>
      </c>
    </row>
    <row r="831" spans="1:9" x14ac:dyDescent="0.2">
      <c r="A831" s="16" t="s">
        <v>291</v>
      </c>
      <c r="B831" s="16">
        <v>48.39</v>
      </c>
      <c r="C831" s="5">
        <v>0</v>
      </c>
      <c r="D831" s="5">
        <v>1</v>
      </c>
      <c r="E831" s="5">
        <v>0</v>
      </c>
      <c r="F831" s="13">
        <v>43009</v>
      </c>
      <c r="G831" s="5" t="s">
        <v>10</v>
      </c>
      <c r="H831" s="13">
        <v>43010</v>
      </c>
      <c r="I831" s="5" t="s">
        <v>23</v>
      </c>
    </row>
    <row r="832" spans="1:9" x14ac:dyDescent="0.2">
      <c r="A832" s="16" t="s">
        <v>467</v>
      </c>
      <c r="B832" s="16">
        <v>68</v>
      </c>
      <c r="C832" s="5">
        <v>0</v>
      </c>
      <c r="D832" s="5">
        <v>1</v>
      </c>
      <c r="E832" s="5">
        <v>0</v>
      </c>
      <c r="F832" s="13">
        <v>43009</v>
      </c>
      <c r="G832" s="5" t="s">
        <v>10</v>
      </c>
      <c r="H832" s="13">
        <v>43010</v>
      </c>
      <c r="I832" s="5" t="s">
        <v>53</v>
      </c>
    </row>
    <row r="833" spans="1:9" x14ac:dyDescent="0.2">
      <c r="A833" s="16" t="s">
        <v>391</v>
      </c>
      <c r="B833" s="16">
        <v>28.74</v>
      </c>
      <c r="C833" s="5">
        <v>0</v>
      </c>
      <c r="D833" s="5">
        <v>1</v>
      </c>
      <c r="E833" s="5">
        <v>0</v>
      </c>
      <c r="F833" s="13">
        <v>43009</v>
      </c>
      <c r="G833" s="5" t="s">
        <v>10</v>
      </c>
      <c r="H833" s="13">
        <v>43010</v>
      </c>
      <c r="I833" s="5" t="s">
        <v>23</v>
      </c>
    </row>
    <row r="834" spans="1:9" x14ac:dyDescent="0.2">
      <c r="A834" s="16" t="s">
        <v>227</v>
      </c>
      <c r="B834" s="16">
        <v>1.37</v>
      </c>
      <c r="C834" s="5">
        <v>0</v>
      </c>
      <c r="D834" s="5">
        <v>1</v>
      </c>
      <c r="E834" s="5">
        <v>0</v>
      </c>
      <c r="F834" s="13">
        <v>43009</v>
      </c>
      <c r="G834" s="5" t="s">
        <v>10</v>
      </c>
      <c r="H834" s="13">
        <v>43011</v>
      </c>
      <c r="I834" s="5" t="s">
        <v>236</v>
      </c>
    </row>
    <row r="835" spans="1:9" x14ac:dyDescent="0.2">
      <c r="A835" s="16" t="s">
        <v>426</v>
      </c>
      <c r="B835" s="16">
        <v>4.49</v>
      </c>
      <c r="C835" s="5">
        <v>0</v>
      </c>
      <c r="D835" s="5">
        <v>1</v>
      </c>
      <c r="E835" s="5">
        <v>0</v>
      </c>
      <c r="F835" s="13">
        <v>43009</v>
      </c>
      <c r="G835" s="5" t="s">
        <v>10</v>
      </c>
      <c r="H835" s="13">
        <v>43011</v>
      </c>
      <c r="I835" s="5" t="s">
        <v>23</v>
      </c>
    </row>
    <row r="836" spans="1:9" x14ac:dyDescent="0.2">
      <c r="A836" s="16" t="s">
        <v>468</v>
      </c>
      <c r="B836" s="16">
        <v>10</v>
      </c>
      <c r="C836" s="5">
        <v>0</v>
      </c>
      <c r="D836" s="5">
        <v>1</v>
      </c>
      <c r="E836" s="5">
        <v>0</v>
      </c>
      <c r="F836" s="13">
        <v>43009</v>
      </c>
      <c r="G836" s="5" t="s">
        <v>10</v>
      </c>
      <c r="H836" s="13">
        <v>43012</v>
      </c>
      <c r="I836" s="5" t="s">
        <v>34</v>
      </c>
    </row>
    <row r="837" spans="1:9" x14ac:dyDescent="0.2">
      <c r="A837" s="16" t="s">
        <v>469</v>
      </c>
      <c r="B837" s="16">
        <v>11.5</v>
      </c>
      <c r="C837" s="5">
        <v>0</v>
      </c>
      <c r="D837" s="5">
        <v>1</v>
      </c>
      <c r="E837" s="5">
        <v>0</v>
      </c>
      <c r="F837" s="13">
        <v>43009</v>
      </c>
      <c r="G837" s="5" t="s">
        <v>10</v>
      </c>
      <c r="H837" s="13">
        <v>43012</v>
      </c>
      <c r="I837" s="5" t="s">
        <v>53</v>
      </c>
    </row>
    <row r="838" spans="1:9" x14ac:dyDescent="0.2">
      <c r="A838" s="16" t="s">
        <v>91</v>
      </c>
      <c r="B838" s="16">
        <v>8</v>
      </c>
      <c r="C838" s="5">
        <v>0</v>
      </c>
      <c r="D838" s="5">
        <v>1</v>
      </c>
      <c r="E838" s="5">
        <v>0</v>
      </c>
      <c r="F838" s="13">
        <v>43009</v>
      </c>
      <c r="G838" s="5" t="s">
        <v>10</v>
      </c>
      <c r="H838" s="13">
        <v>43012</v>
      </c>
      <c r="I838" s="5" t="s">
        <v>29</v>
      </c>
    </row>
    <row r="839" spans="1:9" x14ac:dyDescent="0.2">
      <c r="A839" s="16" t="s">
        <v>468</v>
      </c>
      <c r="B839" s="16">
        <v>10</v>
      </c>
      <c r="C839" s="5">
        <v>0</v>
      </c>
      <c r="D839" s="5">
        <v>1</v>
      </c>
      <c r="E839" s="5">
        <v>0</v>
      </c>
      <c r="F839" s="13">
        <v>43009</v>
      </c>
      <c r="G839" s="5" t="s">
        <v>10</v>
      </c>
      <c r="H839" s="13">
        <v>43012</v>
      </c>
      <c r="I839" s="5" t="s">
        <v>34</v>
      </c>
    </row>
    <row r="840" spans="1:9" x14ac:dyDescent="0.2">
      <c r="A840" s="16" t="s">
        <v>470</v>
      </c>
      <c r="B840" s="16">
        <v>4</v>
      </c>
      <c r="C840" s="5">
        <v>0</v>
      </c>
      <c r="D840" s="5">
        <v>1</v>
      </c>
      <c r="E840" s="5">
        <v>0</v>
      </c>
      <c r="F840" s="13">
        <v>43009</v>
      </c>
      <c r="G840" s="5" t="s">
        <v>10</v>
      </c>
      <c r="H840" s="13">
        <v>43012</v>
      </c>
      <c r="I840" s="5" t="s">
        <v>29</v>
      </c>
    </row>
    <row r="841" spans="1:9" x14ac:dyDescent="0.2">
      <c r="A841" s="16" t="s">
        <v>69</v>
      </c>
      <c r="B841" s="16">
        <v>4</v>
      </c>
      <c r="C841" s="5">
        <v>0</v>
      </c>
      <c r="D841" s="5">
        <v>1</v>
      </c>
      <c r="E841" s="5">
        <v>0</v>
      </c>
      <c r="F841" s="13">
        <v>43009</v>
      </c>
      <c r="G841" s="5" t="s">
        <v>10</v>
      </c>
      <c r="H841" s="13">
        <v>43012</v>
      </c>
      <c r="I841" s="5" t="s">
        <v>29</v>
      </c>
    </row>
    <row r="842" spans="1:9" x14ac:dyDescent="0.2">
      <c r="A842" s="16" t="s">
        <v>41</v>
      </c>
      <c r="B842" s="16">
        <v>50</v>
      </c>
      <c r="C842" s="5">
        <v>0</v>
      </c>
      <c r="D842" s="5">
        <v>1</v>
      </c>
      <c r="E842" s="5">
        <v>0</v>
      </c>
      <c r="F842" s="13">
        <v>43009</v>
      </c>
      <c r="G842" s="5" t="s">
        <v>10</v>
      </c>
      <c r="H842" s="13">
        <v>43012</v>
      </c>
      <c r="I842" s="5" t="s">
        <v>41</v>
      </c>
    </row>
    <row r="843" spans="1:9" x14ac:dyDescent="0.2">
      <c r="A843" s="16" t="s">
        <v>336</v>
      </c>
      <c r="B843" s="16">
        <v>25.9</v>
      </c>
      <c r="C843" s="5">
        <v>0</v>
      </c>
      <c r="D843" s="5">
        <v>1</v>
      </c>
      <c r="E843" s="5">
        <v>0</v>
      </c>
      <c r="F843" s="13">
        <v>43009</v>
      </c>
      <c r="G843" s="5" t="s">
        <v>10</v>
      </c>
      <c r="H843" s="13">
        <v>43012</v>
      </c>
      <c r="I843" s="5" t="s">
        <v>29</v>
      </c>
    </row>
    <row r="844" spans="1:9" x14ac:dyDescent="0.2">
      <c r="A844" s="16" t="s">
        <v>50</v>
      </c>
      <c r="B844" s="16">
        <v>2.99</v>
      </c>
      <c r="C844" s="5">
        <v>0</v>
      </c>
      <c r="D844" s="5">
        <v>1</v>
      </c>
      <c r="E844" s="5">
        <v>0</v>
      </c>
      <c r="F844" s="13">
        <v>43009</v>
      </c>
      <c r="G844" s="5" t="s">
        <v>10</v>
      </c>
      <c r="H844" s="13">
        <v>43012</v>
      </c>
      <c r="I844" s="5" t="s">
        <v>29</v>
      </c>
    </row>
    <row r="845" spans="1:9" x14ac:dyDescent="0.2">
      <c r="A845" s="16" t="s">
        <v>471</v>
      </c>
      <c r="B845" s="16">
        <v>42.32</v>
      </c>
      <c r="C845" s="5">
        <v>0</v>
      </c>
      <c r="D845" s="5">
        <v>1</v>
      </c>
      <c r="E845" s="5">
        <v>0</v>
      </c>
      <c r="F845" s="13">
        <v>43009</v>
      </c>
      <c r="G845" s="15" t="s">
        <v>43</v>
      </c>
      <c r="H845" s="13">
        <v>43014</v>
      </c>
      <c r="I845" s="5" t="s">
        <v>23</v>
      </c>
    </row>
    <row r="846" spans="1:9" x14ac:dyDescent="0.2">
      <c r="A846" s="16" t="s">
        <v>50</v>
      </c>
      <c r="B846" s="16">
        <v>4.2</v>
      </c>
      <c r="C846" s="5">
        <v>0</v>
      </c>
      <c r="D846" s="5">
        <v>1</v>
      </c>
      <c r="E846" s="5">
        <v>0</v>
      </c>
      <c r="F846" s="13">
        <v>43009</v>
      </c>
      <c r="G846" s="15" t="s">
        <v>43</v>
      </c>
      <c r="H846" s="13">
        <v>43014</v>
      </c>
      <c r="I846" s="5" t="s">
        <v>29</v>
      </c>
    </row>
    <row r="847" spans="1:9" x14ac:dyDescent="0.2">
      <c r="A847" s="16" t="s">
        <v>305</v>
      </c>
      <c r="B847" s="16">
        <v>21.45</v>
      </c>
      <c r="C847" s="5">
        <v>0</v>
      </c>
      <c r="D847" s="5">
        <v>1</v>
      </c>
      <c r="E847" s="5">
        <v>0</v>
      </c>
      <c r="F847" s="13">
        <v>43009</v>
      </c>
      <c r="G847" s="15" t="s">
        <v>43</v>
      </c>
      <c r="H847" s="13">
        <v>43014</v>
      </c>
      <c r="I847" s="5" t="s">
        <v>76</v>
      </c>
    </row>
    <row r="848" spans="1:9" x14ac:dyDescent="0.2">
      <c r="A848" s="16" t="s">
        <v>251</v>
      </c>
      <c r="B848" s="16">
        <v>128.27000000000001</v>
      </c>
      <c r="C848" s="5">
        <v>0</v>
      </c>
      <c r="D848" s="5">
        <v>1</v>
      </c>
      <c r="E848" s="5">
        <v>0</v>
      </c>
      <c r="F848" s="13">
        <v>43009</v>
      </c>
      <c r="G848" s="15" t="s">
        <v>43</v>
      </c>
      <c r="H848" s="13">
        <v>43017</v>
      </c>
      <c r="I848" s="5" t="s">
        <v>27</v>
      </c>
    </row>
    <row r="849" spans="1:9" x14ac:dyDescent="0.2">
      <c r="A849" s="16" t="s">
        <v>472</v>
      </c>
      <c r="B849" s="16">
        <v>9</v>
      </c>
      <c r="C849" s="5">
        <v>0</v>
      </c>
      <c r="D849" s="5">
        <v>1</v>
      </c>
      <c r="E849" s="5">
        <v>0</v>
      </c>
      <c r="F849" s="13">
        <v>43009</v>
      </c>
      <c r="G849" s="15" t="s">
        <v>43</v>
      </c>
      <c r="H849" s="13">
        <v>43017</v>
      </c>
      <c r="I849" s="5" t="s">
        <v>53</v>
      </c>
    </row>
    <row r="850" spans="1:9" x14ac:dyDescent="0.2">
      <c r="A850" s="16" t="s">
        <v>76</v>
      </c>
      <c r="B850" s="16">
        <v>48</v>
      </c>
      <c r="C850" s="5">
        <v>0</v>
      </c>
      <c r="D850" s="5">
        <v>1</v>
      </c>
      <c r="E850" s="5">
        <v>0</v>
      </c>
      <c r="F850" s="13">
        <v>43009</v>
      </c>
      <c r="G850" s="15" t="s">
        <v>43</v>
      </c>
      <c r="H850" s="13">
        <v>43017</v>
      </c>
      <c r="I850" s="5" t="s">
        <v>76</v>
      </c>
    </row>
    <row r="851" spans="1:9" x14ac:dyDescent="0.2">
      <c r="A851" s="16" t="s">
        <v>23</v>
      </c>
      <c r="B851" s="16">
        <v>6.98</v>
      </c>
      <c r="C851" s="5">
        <v>0</v>
      </c>
      <c r="D851" s="5">
        <v>1</v>
      </c>
      <c r="E851" s="5">
        <v>0</v>
      </c>
      <c r="F851" s="13">
        <v>43009</v>
      </c>
      <c r="G851" s="15" t="s">
        <v>43</v>
      </c>
      <c r="H851" s="13">
        <v>43017</v>
      </c>
      <c r="I851" s="5" t="s">
        <v>23</v>
      </c>
    </row>
    <row r="852" spans="1:9" x14ac:dyDescent="0.2">
      <c r="A852" s="16" t="s">
        <v>391</v>
      </c>
      <c r="B852" s="16">
        <v>32.67</v>
      </c>
      <c r="C852" s="5">
        <v>0</v>
      </c>
      <c r="D852" s="5">
        <v>1</v>
      </c>
      <c r="E852" s="5">
        <v>0</v>
      </c>
      <c r="F852" s="13">
        <v>43009</v>
      </c>
      <c r="G852" s="15" t="s">
        <v>43</v>
      </c>
      <c r="H852" s="13">
        <v>43017</v>
      </c>
      <c r="I852" s="5" t="s">
        <v>23</v>
      </c>
    </row>
    <row r="853" spans="1:9" x14ac:dyDescent="0.2">
      <c r="A853" s="16" t="s">
        <v>391</v>
      </c>
      <c r="B853" s="16">
        <v>6.3</v>
      </c>
      <c r="C853" s="5">
        <v>0</v>
      </c>
      <c r="D853" s="5">
        <v>1</v>
      </c>
      <c r="E853" s="5">
        <v>0</v>
      </c>
      <c r="F853" s="13">
        <v>43009</v>
      </c>
      <c r="G853" s="15" t="s">
        <v>43</v>
      </c>
      <c r="H853" s="13">
        <v>43017</v>
      </c>
      <c r="I853" s="5" t="s">
        <v>23</v>
      </c>
    </row>
    <row r="854" spans="1:9" x14ac:dyDescent="0.2">
      <c r="A854" s="16" t="s">
        <v>391</v>
      </c>
      <c r="B854" s="16">
        <v>10.85</v>
      </c>
      <c r="C854" s="5">
        <v>0</v>
      </c>
      <c r="D854" s="5">
        <v>1</v>
      </c>
      <c r="E854" s="5">
        <v>0</v>
      </c>
      <c r="F854" s="13">
        <v>43009</v>
      </c>
      <c r="G854" s="15" t="s">
        <v>43</v>
      </c>
      <c r="H854" s="13">
        <v>43017</v>
      </c>
      <c r="I854" s="5" t="s">
        <v>23</v>
      </c>
    </row>
    <row r="855" spans="1:9" x14ac:dyDescent="0.2">
      <c r="A855" s="16" t="s">
        <v>391</v>
      </c>
      <c r="B855" s="16">
        <v>51.8</v>
      </c>
      <c r="C855" s="5">
        <v>0</v>
      </c>
      <c r="D855" s="5">
        <v>1</v>
      </c>
      <c r="E855" s="5">
        <v>0</v>
      </c>
      <c r="F855" s="13">
        <v>43009</v>
      </c>
      <c r="G855" s="15" t="s">
        <v>43</v>
      </c>
      <c r="H855" s="13">
        <v>43017</v>
      </c>
      <c r="I855" s="5" t="s">
        <v>23</v>
      </c>
    </row>
    <row r="856" spans="1:9" x14ac:dyDescent="0.2">
      <c r="A856" s="16" t="s">
        <v>473</v>
      </c>
      <c r="B856" s="16">
        <v>60</v>
      </c>
      <c r="C856" s="5">
        <v>0</v>
      </c>
      <c r="D856" s="5">
        <v>1</v>
      </c>
      <c r="E856" s="5">
        <v>0</v>
      </c>
      <c r="F856" s="13">
        <v>43009</v>
      </c>
      <c r="G856" s="15" t="s">
        <v>43</v>
      </c>
      <c r="H856" s="13">
        <v>43018</v>
      </c>
      <c r="I856" s="5" t="s">
        <v>64</v>
      </c>
    </row>
    <row r="857" spans="1:9" x14ac:dyDescent="0.2">
      <c r="A857" s="16" t="s">
        <v>50</v>
      </c>
      <c r="B857" s="16">
        <v>2.65</v>
      </c>
      <c r="C857" s="5">
        <v>0</v>
      </c>
      <c r="D857" s="5">
        <v>1</v>
      </c>
      <c r="E857" s="5">
        <v>0</v>
      </c>
      <c r="F857" s="13">
        <v>43009</v>
      </c>
      <c r="G857" s="15" t="s">
        <v>43</v>
      </c>
      <c r="H857" s="13">
        <v>43018</v>
      </c>
      <c r="I857" s="5" t="s">
        <v>29</v>
      </c>
    </row>
    <row r="858" spans="1:9" x14ac:dyDescent="0.2">
      <c r="A858" s="16" t="s">
        <v>69</v>
      </c>
      <c r="B858" s="16">
        <v>16</v>
      </c>
      <c r="C858" s="5">
        <v>0</v>
      </c>
      <c r="D858" s="5">
        <v>1</v>
      </c>
      <c r="E858" s="5">
        <v>0</v>
      </c>
      <c r="F858" s="13">
        <v>43009</v>
      </c>
      <c r="G858" s="15" t="s">
        <v>43</v>
      </c>
      <c r="H858" s="13">
        <v>43018</v>
      </c>
      <c r="I858" s="5" t="s">
        <v>29</v>
      </c>
    </row>
    <row r="859" spans="1:9" x14ac:dyDescent="0.2">
      <c r="A859" s="16" t="s">
        <v>385</v>
      </c>
      <c r="B859" s="16">
        <v>21</v>
      </c>
      <c r="C859" s="5">
        <v>0</v>
      </c>
      <c r="D859" s="5">
        <v>1</v>
      </c>
      <c r="E859" s="5">
        <v>0</v>
      </c>
      <c r="F859" s="13">
        <v>43009</v>
      </c>
      <c r="G859" s="15" t="s">
        <v>43</v>
      </c>
      <c r="H859" s="13">
        <v>43018</v>
      </c>
      <c r="I859" s="5" t="s">
        <v>29</v>
      </c>
    </row>
    <row r="860" spans="1:9" x14ac:dyDescent="0.2">
      <c r="A860" s="16" t="s">
        <v>85</v>
      </c>
      <c r="B860" s="16">
        <v>21</v>
      </c>
      <c r="C860" s="5">
        <v>0</v>
      </c>
      <c r="D860" s="5">
        <v>1</v>
      </c>
      <c r="E860" s="5">
        <v>0</v>
      </c>
      <c r="F860" s="13">
        <v>43009</v>
      </c>
      <c r="G860" s="15" t="s">
        <v>43</v>
      </c>
      <c r="H860" s="13">
        <v>43018</v>
      </c>
      <c r="I860" s="5" t="s">
        <v>85</v>
      </c>
    </row>
    <row r="861" spans="1:9" x14ac:dyDescent="0.2">
      <c r="A861" s="16" t="s">
        <v>474</v>
      </c>
      <c r="B861" s="16">
        <v>15</v>
      </c>
      <c r="C861" s="5">
        <v>0</v>
      </c>
      <c r="D861" s="5">
        <v>1</v>
      </c>
      <c r="E861" s="5">
        <v>0</v>
      </c>
      <c r="F861" s="13">
        <v>43009</v>
      </c>
      <c r="G861" s="15" t="s">
        <v>43</v>
      </c>
      <c r="H861" s="13">
        <v>43018</v>
      </c>
      <c r="I861" s="5" t="s">
        <v>158</v>
      </c>
    </row>
    <row r="862" spans="1:9" x14ac:dyDescent="0.2">
      <c r="A862" s="16" t="s">
        <v>77</v>
      </c>
      <c r="B862" s="16">
        <v>4</v>
      </c>
      <c r="C862" s="5">
        <v>0</v>
      </c>
      <c r="D862" s="5">
        <v>1</v>
      </c>
      <c r="E862" s="5">
        <v>0</v>
      </c>
      <c r="F862" s="13">
        <v>43009</v>
      </c>
      <c r="G862" s="15" t="s">
        <v>43</v>
      </c>
      <c r="H862" s="13">
        <v>43018</v>
      </c>
      <c r="I862" s="5" t="s">
        <v>29</v>
      </c>
    </row>
    <row r="863" spans="1:9" x14ac:dyDescent="0.2">
      <c r="A863" s="16" t="s">
        <v>406</v>
      </c>
      <c r="B863" s="16">
        <v>57.93</v>
      </c>
      <c r="C863" s="5">
        <v>0</v>
      </c>
      <c r="D863" s="5">
        <v>1</v>
      </c>
      <c r="E863" s="5">
        <v>0</v>
      </c>
      <c r="F863" s="13">
        <v>43009</v>
      </c>
      <c r="G863" s="15" t="s">
        <v>43</v>
      </c>
      <c r="H863" s="13">
        <v>43021</v>
      </c>
      <c r="I863" s="5" t="s">
        <v>23</v>
      </c>
    </row>
    <row r="864" spans="1:9" x14ac:dyDescent="0.2">
      <c r="A864" s="16" t="s">
        <v>382</v>
      </c>
      <c r="B864" s="16">
        <v>9.99</v>
      </c>
      <c r="C864" s="5">
        <v>0</v>
      </c>
      <c r="D864" s="5">
        <v>1</v>
      </c>
      <c r="E864" s="5">
        <v>0</v>
      </c>
      <c r="F864" s="13">
        <v>43009</v>
      </c>
      <c r="G864" s="15" t="s">
        <v>43</v>
      </c>
      <c r="H864" s="13">
        <v>43021</v>
      </c>
      <c r="I864" s="5" t="s">
        <v>98</v>
      </c>
    </row>
    <row r="865" spans="1:9" x14ac:dyDescent="0.2">
      <c r="A865" s="16" t="s">
        <v>475</v>
      </c>
      <c r="B865" s="16">
        <v>16</v>
      </c>
      <c r="C865" s="5">
        <v>0</v>
      </c>
      <c r="D865" s="5">
        <v>1</v>
      </c>
      <c r="E865" s="5">
        <v>0</v>
      </c>
      <c r="F865" s="13">
        <v>43009</v>
      </c>
      <c r="G865" s="15" t="s">
        <v>43</v>
      </c>
      <c r="H865" s="13">
        <v>43021</v>
      </c>
      <c r="I865" s="5" t="s">
        <v>29</v>
      </c>
    </row>
    <row r="866" spans="1:9" x14ac:dyDescent="0.2">
      <c r="A866" s="16" t="s">
        <v>391</v>
      </c>
      <c r="B866" s="16">
        <v>25.79</v>
      </c>
      <c r="C866" s="5">
        <v>0</v>
      </c>
      <c r="D866" s="5">
        <v>1</v>
      </c>
      <c r="E866" s="5">
        <v>0</v>
      </c>
      <c r="F866" s="13">
        <v>43009</v>
      </c>
      <c r="G866" s="15" t="s">
        <v>43</v>
      </c>
      <c r="H866" s="13">
        <v>43021</v>
      </c>
      <c r="I866" s="5" t="s">
        <v>23</v>
      </c>
    </row>
    <row r="867" spans="1:9" x14ac:dyDescent="0.2">
      <c r="A867" s="16" t="s">
        <v>391</v>
      </c>
      <c r="B867" s="16">
        <v>20.329999999999998</v>
      </c>
      <c r="C867" s="5">
        <v>0</v>
      </c>
      <c r="D867" s="5">
        <v>1</v>
      </c>
      <c r="E867" s="5">
        <v>0</v>
      </c>
      <c r="F867" s="13">
        <v>43009</v>
      </c>
      <c r="G867" s="15" t="s">
        <v>43</v>
      </c>
      <c r="H867" s="13">
        <v>43021</v>
      </c>
      <c r="I867" s="5" t="s">
        <v>23</v>
      </c>
    </row>
    <row r="868" spans="1:9" x14ac:dyDescent="0.2">
      <c r="A868" s="16" t="s">
        <v>263</v>
      </c>
      <c r="B868" s="16">
        <v>3.33</v>
      </c>
      <c r="C868" s="5">
        <v>0</v>
      </c>
      <c r="D868" s="5">
        <v>1</v>
      </c>
      <c r="E868" s="5">
        <v>0</v>
      </c>
      <c r="F868" s="13">
        <v>43009</v>
      </c>
      <c r="G868" s="15" t="s">
        <v>58</v>
      </c>
      <c r="H868" s="13">
        <v>43024</v>
      </c>
      <c r="I868" s="5" t="s">
        <v>66</v>
      </c>
    </row>
    <row r="869" spans="1:9" x14ac:dyDescent="0.2">
      <c r="A869" s="16" t="s">
        <v>201</v>
      </c>
      <c r="B869" s="16">
        <v>47.2</v>
      </c>
      <c r="C869" s="5">
        <v>0</v>
      </c>
      <c r="D869" s="5">
        <v>1</v>
      </c>
      <c r="E869" s="5">
        <v>0</v>
      </c>
      <c r="F869" s="13">
        <v>43009</v>
      </c>
      <c r="G869" s="15" t="s">
        <v>58</v>
      </c>
      <c r="H869" s="13">
        <v>43024</v>
      </c>
      <c r="I869" s="5" t="s">
        <v>53</v>
      </c>
    </row>
    <row r="870" spans="1:9" x14ac:dyDescent="0.2">
      <c r="A870" s="16" t="s">
        <v>391</v>
      </c>
      <c r="B870" s="16">
        <v>9.9499999999999993</v>
      </c>
      <c r="C870" s="5">
        <v>0</v>
      </c>
      <c r="D870" s="5">
        <v>1</v>
      </c>
      <c r="E870" s="5">
        <v>0</v>
      </c>
      <c r="F870" s="13">
        <v>43009</v>
      </c>
      <c r="G870" s="15" t="s">
        <v>58</v>
      </c>
      <c r="H870" s="13">
        <v>43024</v>
      </c>
      <c r="I870" s="5" t="s">
        <v>23</v>
      </c>
    </row>
    <row r="871" spans="1:9" x14ac:dyDescent="0.2">
      <c r="A871" s="16" t="s">
        <v>391</v>
      </c>
      <c r="B871" s="16">
        <v>34.21</v>
      </c>
      <c r="C871" s="5">
        <v>0</v>
      </c>
      <c r="D871" s="5">
        <v>1</v>
      </c>
      <c r="E871" s="5">
        <v>0</v>
      </c>
      <c r="F871" s="13">
        <v>43009</v>
      </c>
      <c r="G871" s="15" t="s">
        <v>58</v>
      </c>
      <c r="H871" s="13">
        <v>43024</v>
      </c>
      <c r="I871" s="5" t="s">
        <v>23</v>
      </c>
    </row>
    <row r="872" spans="1:9" x14ac:dyDescent="0.2">
      <c r="A872" s="16" t="s">
        <v>406</v>
      </c>
      <c r="B872" s="16">
        <v>277.23</v>
      </c>
      <c r="C872" s="5">
        <v>0</v>
      </c>
      <c r="D872" s="5">
        <v>1</v>
      </c>
      <c r="E872" s="5">
        <v>0</v>
      </c>
      <c r="F872" s="13">
        <v>43009</v>
      </c>
      <c r="G872" s="15" t="s">
        <v>58</v>
      </c>
      <c r="H872" s="13">
        <v>43025</v>
      </c>
      <c r="I872" s="5" t="s">
        <v>23</v>
      </c>
    </row>
    <row r="873" spans="1:9" x14ac:dyDescent="0.2">
      <c r="A873" s="16" t="s">
        <v>476</v>
      </c>
      <c r="B873" s="16">
        <v>51.99</v>
      </c>
      <c r="C873" s="5">
        <v>0</v>
      </c>
      <c r="D873" s="5">
        <v>1</v>
      </c>
      <c r="E873" s="5">
        <v>0</v>
      </c>
      <c r="F873" s="13">
        <v>43009</v>
      </c>
      <c r="G873" s="15" t="s">
        <v>58</v>
      </c>
      <c r="H873" s="13">
        <v>43025</v>
      </c>
      <c r="I873" s="5" t="s">
        <v>53</v>
      </c>
    </row>
    <row r="874" spans="1:9" x14ac:dyDescent="0.2">
      <c r="A874" s="16" t="s">
        <v>477</v>
      </c>
      <c r="B874" s="16">
        <v>33.4</v>
      </c>
      <c r="C874" s="5">
        <v>0</v>
      </c>
      <c r="D874" s="5">
        <v>1</v>
      </c>
      <c r="E874" s="5">
        <v>0</v>
      </c>
      <c r="F874" s="13">
        <v>43009</v>
      </c>
      <c r="G874" s="15" t="s">
        <v>58</v>
      </c>
      <c r="H874" s="13">
        <v>43025</v>
      </c>
      <c r="I874" s="5" t="s">
        <v>53</v>
      </c>
    </row>
    <row r="875" spans="1:9" x14ac:dyDescent="0.2">
      <c r="A875" s="16" t="s">
        <v>76</v>
      </c>
      <c r="B875" s="16">
        <v>21.47</v>
      </c>
      <c r="C875" s="5">
        <v>0</v>
      </c>
      <c r="D875" s="5">
        <v>1</v>
      </c>
      <c r="E875" s="5">
        <v>0</v>
      </c>
      <c r="F875" s="13">
        <v>43009</v>
      </c>
      <c r="G875" s="15" t="s">
        <v>58</v>
      </c>
      <c r="H875" s="13">
        <v>43025</v>
      </c>
      <c r="I875" s="5" t="s">
        <v>76</v>
      </c>
    </row>
    <row r="876" spans="1:9" x14ac:dyDescent="0.2">
      <c r="A876" s="16" t="s">
        <v>64</v>
      </c>
      <c r="B876" s="16">
        <v>268</v>
      </c>
      <c r="C876" s="5">
        <v>0</v>
      </c>
      <c r="D876" s="5">
        <v>1</v>
      </c>
      <c r="E876" s="5">
        <v>0</v>
      </c>
      <c r="F876" s="13">
        <v>43009</v>
      </c>
      <c r="G876" s="15" t="s">
        <v>58</v>
      </c>
      <c r="H876" s="13">
        <v>43025</v>
      </c>
      <c r="I876" s="5" t="s">
        <v>64</v>
      </c>
    </row>
    <row r="877" spans="1:9" x14ac:dyDescent="0.2">
      <c r="A877" s="16" t="s">
        <v>478</v>
      </c>
      <c r="B877" s="16">
        <v>57</v>
      </c>
      <c r="C877" s="5">
        <v>0</v>
      </c>
      <c r="D877" s="5">
        <v>1</v>
      </c>
      <c r="E877" s="5">
        <v>0</v>
      </c>
      <c r="F877" s="13">
        <v>43009</v>
      </c>
      <c r="G877" s="15" t="s">
        <v>58</v>
      </c>
      <c r="H877" s="13">
        <v>43026</v>
      </c>
      <c r="I877" s="5" t="s">
        <v>29</v>
      </c>
    </row>
    <row r="878" spans="1:9" x14ac:dyDescent="0.2">
      <c r="A878" s="16" t="s">
        <v>479</v>
      </c>
      <c r="B878" s="16">
        <v>4.5</v>
      </c>
      <c r="C878" s="5">
        <v>0</v>
      </c>
      <c r="D878" s="5">
        <v>1</v>
      </c>
      <c r="E878" s="5">
        <v>0</v>
      </c>
      <c r="F878" s="13">
        <v>43009</v>
      </c>
      <c r="G878" s="15" t="s">
        <v>58</v>
      </c>
      <c r="H878" s="13">
        <v>43026</v>
      </c>
      <c r="I878" s="5" t="s">
        <v>53</v>
      </c>
    </row>
    <row r="879" spans="1:9" x14ac:dyDescent="0.2">
      <c r="A879" s="16" t="s">
        <v>38</v>
      </c>
      <c r="B879" s="16">
        <v>9.5</v>
      </c>
      <c r="C879" s="5">
        <v>0</v>
      </c>
      <c r="D879" s="5">
        <v>1</v>
      </c>
      <c r="E879" s="5">
        <v>0</v>
      </c>
      <c r="F879" s="13">
        <v>43009</v>
      </c>
      <c r="G879" s="15" t="s">
        <v>58</v>
      </c>
      <c r="H879" s="13">
        <v>43026</v>
      </c>
      <c r="I879" s="5" t="s">
        <v>53</v>
      </c>
    </row>
    <row r="880" spans="1:9" x14ac:dyDescent="0.2">
      <c r="A880" s="16" t="s">
        <v>117</v>
      </c>
      <c r="B880" s="16">
        <v>15</v>
      </c>
      <c r="C880" s="5">
        <v>0</v>
      </c>
      <c r="D880" s="5">
        <v>1</v>
      </c>
      <c r="E880" s="5">
        <v>0</v>
      </c>
      <c r="F880" s="13">
        <v>43009</v>
      </c>
      <c r="G880" s="15" t="s">
        <v>58</v>
      </c>
      <c r="H880" s="13">
        <v>43027</v>
      </c>
      <c r="I880" s="5" t="s">
        <v>53</v>
      </c>
    </row>
    <row r="881" spans="1:9" x14ac:dyDescent="0.2">
      <c r="A881" s="16" t="s">
        <v>480</v>
      </c>
      <c r="B881" s="16">
        <v>12</v>
      </c>
      <c r="C881" s="5">
        <v>0</v>
      </c>
      <c r="D881" s="5">
        <v>1</v>
      </c>
      <c r="E881" s="5">
        <v>0</v>
      </c>
      <c r="F881" s="13">
        <v>43009</v>
      </c>
      <c r="G881" s="15" t="s">
        <v>58</v>
      </c>
      <c r="H881" s="13">
        <v>43027</v>
      </c>
      <c r="I881" s="5" t="s">
        <v>29</v>
      </c>
    </row>
    <row r="882" spans="1:9" x14ac:dyDescent="0.2">
      <c r="A882" s="16" t="s">
        <v>481</v>
      </c>
      <c r="B882" s="16">
        <v>2.8</v>
      </c>
      <c r="C882" s="5">
        <v>0</v>
      </c>
      <c r="D882" s="5">
        <v>1</v>
      </c>
      <c r="E882" s="5">
        <v>0</v>
      </c>
      <c r="F882" s="13">
        <v>43009</v>
      </c>
      <c r="G882" s="15" t="s">
        <v>58</v>
      </c>
      <c r="H882" s="13">
        <v>43028</v>
      </c>
      <c r="I882" s="5" t="s">
        <v>29</v>
      </c>
    </row>
    <row r="883" spans="1:9" x14ac:dyDescent="0.2">
      <c r="A883" s="16" t="s">
        <v>76</v>
      </c>
      <c r="B883" s="16">
        <v>23.35</v>
      </c>
      <c r="C883" s="5">
        <v>0</v>
      </c>
      <c r="D883" s="5">
        <v>1</v>
      </c>
      <c r="E883" s="5">
        <v>0</v>
      </c>
      <c r="F883" s="13">
        <v>43009</v>
      </c>
      <c r="G883" s="15" t="s">
        <v>58</v>
      </c>
      <c r="H883" s="13">
        <v>43029</v>
      </c>
      <c r="I883" s="5" t="s">
        <v>76</v>
      </c>
    </row>
    <row r="884" spans="1:9" x14ac:dyDescent="0.2">
      <c r="A884" s="16" t="s">
        <v>482</v>
      </c>
      <c r="B884" s="16">
        <v>12</v>
      </c>
      <c r="C884" s="5">
        <v>0</v>
      </c>
      <c r="D884" s="5">
        <v>1</v>
      </c>
      <c r="E884" s="5">
        <v>0</v>
      </c>
      <c r="F884" s="13">
        <v>43009</v>
      </c>
      <c r="G884" s="15" t="s">
        <v>58</v>
      </c>
      <c r="H884" s="13">
        <v>43029</v>
      </c>
      <c r="I884" s="5" t="s">
        <v>29</v>
      </c>
    </row>
    <row r="885" spans="1:9" x14ac:dyDescent="0.2">
      <c r="A885" s="16" t="s">
        <v>76</v>
      </c>
      <c r="B885" s="16">
        <v>38.840000000000003</v>
      </c>
      <c r="C885" s="5">
        <v>0</v>
      </c>
      <c r="D885" s="5">
        <v>1</v>
      </c>
      <c r="E885" s="5">
        <v>0</v>
      </c>
      <c r="F885" s="13">
        <v>43009</v>
      </c>
      <c r="G885" s="15" t="s">
        <v>58</v>
      </c>
      <c r="H885" s="13">
        <v>43029</v>
      </c>
      <c r="I885" s="5" t="s">
        <v>76</v>
      </c>
    </row>
    <row r="886" spans="1:9" x14ac:dyDescent="0.2">
      <c r="A886" s="16" t="s">
        <v>391</v>
      </c>
      <c r="B886" s="16">
        <v>28.72</v>
      </c>
      <c r="C886" s="5">
        <v>0</v>
      </c>
      <c r="D886" s="5">
        <v>1</v>
      </c>
      <c r="E886" s="5">
        <v>0</v>
      </c>
      <c r="F886" s="13">
        <v>43009</v>
      </c>
      <c r="G886" s="15" t="s">
        <v>58</v>
      </c>
      <c r="H886" s="13">
        <v>43030</v>
      </c>
      <c r="I886" s="5" t="s">
        <v>23</v>
      </c>
    </row>
    <row r="887" spans="1:9" x14ac:dyDescent="0.2">
      <c r="A887" s="16" t="s">
        <v>41</v>
      </c>
      <c r="B887" s="16">
        <v>100</v>
      </c>
      <c r="C887" s="5">
        <v>0</v>
      </c>
      <c r="D887" s="5">
        <v>1</v>
      </c>
      <c r="E887" s="5">
        <v>0</v>
      </c>
      <c r="F887" s="13">
        <v>43009</v>
      </c>
      <c r="G887" s="15" t="s">
        <v>58</v>
      </c>
      <c r="H887" s="13">
        <v>43030</v>
      </c>
      <c r="I887" s="5" t="s">
        <v>41</v>
      </c>
    </row>
    <row r="888" spans="1:9" x14ac:dyDescent="0.2">
      <c r="A888" s="16" t="s">
        <v>251</v>
      </c>
      <c r="B888" s="16">
        <v>180</v>
      </c>
      <c r="C888" s="5">
        <v>0</v>
      </c>
      <c r="D888" s="5">
        <v>1</v>
      </c>
      <c r="E888" s="5">
        <v>0</v>
      </c>
      <c r="F888" s="13">
        <v>43009</v>
      </c>
      <c r="G888" s="15" t="s">
        <v>58</v>
      </c>
      <c r="H888" s="13">
        <v>43030</v>
      </c>
      <c r="I888" s="5" t="s">
        <v>27</v>
      </c>
    </row>
    <row r="889" spans="1:9" x14ac:dyDescent="0.2">
      <c r="A889" s="16" t="s">
        <v>483</v>
      </c>
      <c r="B889" s="16">
        <v>15</v>
      </c>
      <c r="C889" s="5">
        <v>0</v>
      </c>
      <c r="D889" s="5">
        <v>1</v>
      </c>
      <c r="E889" s="5">
        <v>0</v>
      </c>
      <c r="F889" s="13">
        <v>43009</v>
      </c>
      <c r="G889" s="15" t="s">
        <v>71</v>
      </c>
      <c r="H889" s="13">
        <v>43031</v>
      </c>
      <c r="I889" s="5" t="s">
        <v>27</v>
      </c>
    </row>
    <row r="890" spans="1:9" x14ac:dyDescent="0.2">
      <c r="A890" s="16" t="s">
        <v>337</v>
      </c>
      <c r="B890" s="16">
        <v>96.07</v>
      </c>
      <c r="C890" s="5">
        <v>0</v>
      </c>
      <c r="D890" s="5">
        <v>1</v>
      </c>
      <c r="E890" s="5">
        <v>0</v>
      </c>
      <c r="F890" s="13">
        <v>43009</v>
      </c>
      <c r="G890" s="15" t="s">
        <v>71</v>
      </c>
      <c r="H890" s="13">
        <v>43031</v>
      </c>
      <c r="I890" s="5" t="s">
        <v>98</v>
      </c>
    </row>
    <row r="891" spans="1:9" x14ac:dyDescent="0.2">
      <c r="A891" s="16" t="s">
        <v>484</v>
      </c>
      <c r="B891" s="16">
        <v>7</v>
      </c>
      <c r="C891" s="5">
        <v>0</v>
      </c>
      <c r="D891" s="5">
        <v>1</v>
      </c>
      <c r="E891" s="5">
        <v>0</v>
      </c>
      <c r="F891" s="13">
        <v>43009</v>
      </c>
      <c r="G891" s="15" t="s">
        <v>71</v>
      </c>
      <c r="H891" s="13">
        <v>43031</v>
      </c>
      <c r="I891" s="5" t="s">
        <v>23</v>
      </c>
    </row>
    <row r="892" spans="1:9" x14ac:dyDescent="0.2">
      <c r="A892" s="16" t="s">
        <v>50</v>
      </c>
      <c r="B892" s="16">
        <v>3</v>
      </c>
      <c r="C892" s="5">
        <v>0</v>
      </c>
      <c r="D892" s="5">
        <v>1</v>
      </c>
      <c r="E892" s="5">
        <v>0</v>
      </c>
      <c r="F892" s="13">
        <v>43009</v>
      </c>
      <c r="G892" s="15" t="s">
        <v>71</v>
      </c>
      <c r="H892" s="13">
        <v>43032</v>
      </c>
      <c r="I892" s="5" t="s">
        <v>29</v>
      </c>
    </row>
    <row r="893" spans="1:9" x14ac:dyDescent="0.2">
      <c r="A893" s="16" t="s">
        <v>77</v>
      </c>
      <c r="B893" s="16">
        <v>4</v>
      </c>
      <c r="C893" s="5">
        <v>0</v>
      </c>
      <c r="D893" s="5">
        <v>1</v>
      </c>
      <c r="E893" s="5">
        <v>0</v>
      </c>
      <c r="F893" s="13">
        <v>43009</v>
      </c>
      <c r="G893" s="15" t="s">
        <v>71</v>
      </c>
      <c r="H893" s="13">
        <v>43032</v>
      </c>
      <c r="I893" s="5" t="s">
        <v>29</v>
      </c>
    </row>
    <row r="894" spans="1:9" x14ac:dyDescent="0.2">
      <c r="A894" s="16" t="s">
        <v>338</v>
      </c>
      <c r="B894" s="16">
        <v>21</v>
      </c>
      <c r="C894" s="5">
        <v>0</v>
      </c>
      <c r="D894" s="5">
        <v>1</v>
      </c>
      <c r="E894" s="5">
        <v>0</v>
      </c>
      <c r="F894" s="13">
        <v>43009</v>
      </c>
      <c r="G894" s="15" t="s">
        <v>71</v>
      </c>
      <c r="H894" s="13">
        <v>43032</v>
      </c>
      <c r="I894" s="5" t="s">
        <v>29</v>
      </c>
    </row>
    <row r="895" spans="1:9" x14ac:dyDescent="0.2">
      <c r="A895" s="16" t="s">
        <v>485</v>
      </c>
      <c r="B895" s="16">
        <v>18</v>
      </c>
      <c r="C895" s="5">
        <v>0</v>
      </c>
      <c r="D895" s="5">
        <v>1</v>
      </c>
      <c r="E895" s="5">
        <v>0</v>
      </c>
      <c r="F895" s="13">
        <v>43009</v>
      </c>
      <c r="G895" s="15" t="s">
        <v>71</v>
      </c>
      <c r="H895" s="13">
        <v>43033</v>
      </c>
      <c r="I895" s="5" t="s">
        <v>29</v>
      </c>
    </row>
    <row r="896" spans="1:9" x14ac:dyDescent="0.2">
      <c r="A896" s="16" t="s">
        <v>486</v>
      </c>
      <c r="B896" s="5">
        <v>4</v>
      </c>
      <c r="C896" s="5">
        <v>0</v>
      </c>
      <c r="D896" s="5">
        <v>1</v>
      </c>
      <c r="E896" s="5">
        <v>0</v>
      </c>
      <c r="F896" s="13">
        <v>43009</v>
      </c>
      <c r="G896" s="15" t="s">
        <v>71</v>
      </c>
      <c r="H896" s="13">
        <v>43033</v>
      </c>
      <c r="I896" s="5" t="s">
        <v>29</v>
      </c>
    </row>
    <row r="897" spans="1:9" x14ac:dyDescent="0.2">
      <c r="A897" s="16" t="s">
        <v>486</v>
      </c>
      <c r="B897" s="5">
        <v>3.5</v>
      </c>
      <c r="C897" s="5">
        <v>0</v>
      </c>
      <c r="D897" s="5">
        <v>1</v>
      </c>
      <c r="E897" s="5">
        <v>0</v>
      </c>
      <c r="F897" s="13">
        <v>43009</v>
      </c>
      <c r="G897" s="15" t="s">
        <v>71</v>
      </c>
      <c r="H897" s="13">
        <v>43034</v>
      </c>
      <c r="I897" s="5" t="s">
        <v>29</v>
      </c>
    </row>
    <row r="898" spans="1:9" x14ac:dyDescent="0.2">
      <c r="A898" s="16" t="s">
        <v>487</v>
      </c>
      <c r="B898" s="16">
        <v>22.9</v>
      </c>
      <c r="C898" s="5">
        <v>0</v>
      </c>
      <c r="D898" s="5">
        <v>1</v>
      </c>
      <c r="E898" s="5">
        <v>0</v>
      </c>
      <c r="F898" s="13">
        <v>43009</v>
      </c>
      <c r="G898" s="15" t="s">
        <v>71</v>
      </c>
      <c r="H898" s="13">
        <v>43034</v>
      </c>
      <c r="I898" s="5" t="s">
        <v>76</v>
      </c>
    </row>
    <row r="899" spans="1:9" x14ac:dyDescent="0.2">
      <c r="A899" s="16" t="s">
        <v>391</v>
      </c>
      <c r="B899" s="16">
        <v>12.49</v>
      </c>
      <c r="C899" s="5">
        <v>0</v>
      </c>
      <c r="D899" s="5">
        <v>1</v>
      </c>
      <c r="E899" s="5">
        <v>0</v>
      </c>
      <c r="F899" s="13">
        <v>43009</v>
      </c>
      <c r="G899" s="15" t="s">
        <v>71</v>
      </c>
      <c r="H899" s="13">
        <v>43035</v>
      </c>
      <c r="I899" s="5" t="s">
        <v>23</v>
      </c>
    </row>
    <row r="900" spans="1:9" x14ac:dyDescent="0.2">
      <c r="A900" s="16" t="s">
        <v>41</v>
      </c>
      <c r="B900" s="16">
        <v>100</v>
      </c>
      <c r="C900" s="5">
        <v>0</v>
      </c>
      <c r="D900" s="5">
        <v>1</v>
      </c>
      <c r="E900" s="5">
        <v>0</v>
      </c>
      <c r="F900" s="13">
        <v>43009</v>
      </c>
      <c r="G900" s="15" t="s">
        <v>71</v>
      </c>
      <c r="H900" s="13">
        <v>43038</v>
      </c>
      <c r="I900" s="5" t="s">
        <v>41</v>
      </c>
    </row>
    <row r="901" spans="1:9" x14ac:dyDescent="0.2">
      <c r="A901" s="16" t="s">
        <v>23</v>
      </c>
      <c r="B901" s="16">
        <v>144.03</v>
      </c>
      <c r="C901" s="5">
        <v>0</v>
      </c>
      <c r="D901" s="5">
        <v>1</v>
      </c>
      <c r="E901" s="5">
        <v>0</v>
      </c>
      <c r="F901" s="13">
        <v>43009</v>
      </c>
      <c r="G901" s="15" t="s">
        <v>71</v>
      </c>
      <c r="H901" s="13">
        <v>43038</v>
      </c>
      <c r="I901" s="5" t="s">
        <v>23</v>
      </c>
    </row>
    <row r="902" spans="1:9" x14ac:dyDescent="0.2">
      <c r="A902" s="16" t="s">
        <v>44</v>
      </c>
      <c r="B902" s="16">
        <v>100</v>
      </c>
      <c r="C902" s="5">
        <v>0</v>
      </c>
      <c r="D902" s="5">
        <v>1</v>
      </c>
      <c r="E902" s="5">
        <v>0</v>
      </c>
      <c r="F902" s="13">
        <v>43009</v>
      </c>
      <c r="G902" s="15" t="s">
        <v>71</v>
      </c>
      <c r="H902" s="13">
        <v>43039</v>
      </c>
      <c r="I902" s="5" t="s">
        <v>44</v>
      </c>
    </row>
    <row r="903" spans="1:9" x14ac:dyDescent="0.2">
      <c r="A903" s="16" t="s">
        <v>334</v>
      </c>
      <c r="B903" s="16">
        <v>20</v>
      </c>
      <c r="C903" s="5">
        <v>0</v>
      </c>
      <c r="D903" s="5">
        <v>1</v>
      </c>
      <c r="E903" s="5">
        <v>0</v>
      </c>
      <c r="F903" s="13">
        <v>43009</v>
      </c>
      <c r="G903" s="15" t="s">
        <v>71</v>
      </c>
      <c r="H903" s="13">
        <v>43038</v>
      </c>
      <c r="I903" s="5" t="s">
        <v>29</v>
      </c>
    </row>
    <row r="904" spans="1:9" x14ac:dyDescent="0.2">
      <c r="A904" s="16" t="s">
        <v>334</v>
      </c>
      <c r="B904" s="16">
        <v>7</v>
      </c>
      <c r="C904" s="5">
        <v>0</v>
      </c>
      <c r="D904" s="5">
        <v>1</v>
      </c>
      <c r="E904" s="5">
        <v>0</v>
      </c>
      <c r="F904" s="13">
        <v>43009</v>
      </c>
      <c r="G904" s="15" t="s">
        <v>71</v>
      </c>
      <c r="H904" s="13">
        <v>43038</v>
      </c>
      <c r="I904" s="5" t="s">
        <v>29</v>
      </c>
    </row>
    <row r="905" spans="1:9" x14ac:dyDescent="0.2">
      <c r="A905" t="s">
        <v>24</v>
      </c>
      <c r="B905">
        <v>69.95</v>
      </c>
      <c r="C905">
        <v>1</v>
      </c>
      <c r="D905">
        <v>0</v>
      </c>
      <c r="E905">
        <v>0</v>
      </c>
      <c r="F905" s="1">
        <v>43040</v>
      </c>
      <c r="G905" t="s">
        <v>10</v>
      </c>
      <c r="H905" s="1">
        <v>43042</v>
      </c>
      <c r="I905" t="s">
        <v>25</v>
      </c>
    </row>
    <row r="906" spans="1:9" x14ac:dyDescent="0.2">
      <c r="A906" t="s">
        <v>35</v>
      </c>
      <c r="B906">
        <v>199.8</v>
      </c>
      <c r="C906">
        <v>1</v>
      </c>
      <c r="D906">
        <v>0</v>
      </c>
      <c r="E906">
        <v>0</v>
      </c>
      <c r="F906" s="1">
        <v>43040</v>
      </c>
      <c r="G906" t="s">
        <v>43</v>
      </c>
      <c r="H906" s="1">
        <v>43048</v>
      </c>
      <c r="I906" t="s">
        <v>36</v>
      </c>
    </row>
    <row r="907" spans="1:9" x14ac:dyDescent="0.2">
      <c r="A907" s="35" t="s">
        <v>428</v>
      </c>
      <c r="B907">
        <v>900</v>
      </c>
      <c r="C907">
        <v>1</v>
      </c>
      <c r="D907">
        <v>0</v>
      </c>
      <c r="E907">
        <v>0</v>
      </c>
      <c r="F907" s="1">
        <v>43040</v>
      </c>
      <c r="G907" s="15" t="s">
        <v>58</v>
      </c>
      <c r="H907" s="1">
        <v>43053</v>
      </c>
      <c r="I907" t="s">
        <v>36</v>
      </c>
    </row>
    <row r="908" spans="1:9" x14ac:dyDescent="0.2">
      <c r="A908" s="35" t="s">
        <v>429</v>
      </c>
      <c r="B908">
        <v>0</v>
      </c>
      <c r="C908">
        <v>1</v>
      </c>
      <c r="D908">
        <v>0</v>
      </c>
      <c r="E908">
        <v>0</v>
      </c>
      <c r="F908" s="1">
        <v>43040</v>
      </c>
      <c r="G908" s="15" t="s">
        <v>58</v>
      </c>
      <c r="H908" s="1">
        <v>43053</v>
      </c>
      <c r="I908" t="s">
        <v>36</v>
      </c>
    </row>
    <row r="909" spans="1:9" x14ac:dyDescent="0.2">
      <c r="A909" s="35" t="s">
        <v>430</v>
      </c>
      <c r="B909">
        <v>461.12</v>
      </c>
      <c r="C909">
        <v>1</v>
      </c>
      <c r="D909">
        <v>0</v>
      </c>
      <c r="E909">
        <v>0</v>
      </c>
      <c r="F909" s="1">
        <v>43040</v>
      </c>
      <c r="G909" s="15" t="s">
        <v>58</v>
      </c>
      <c r="H909" s="1">
        <v>43053</v>
      </c>
      <c r="I909" t="s">
        <v>36</v>
      </c>
    </row>
    <row r="910" spans="1:9" x14ac:dyDescent="0.2">
      <c r="A910" t="s">
        <v>39</v>
      </c>
      <c r="B910">
        <v>101.66</v>
      </c>
      <c r="C910">
        <v>1</v>
      </c>
      <c r="D910">
        <v>0</v>
      </c>
      <c r="E910">
        <v>0</v>
      </c>
      <c r="F910" s="1">
        <v>43040</v>
      </c>
      <c r="G910" s="15" t="s">
        <v>71</v>
      </c>
      <c r="H910" s="1">
        <v>43062</v>
      </c>
      <c r="I910" t="s">
        <v>36</v>
      </c>
    </row>
    <row r="911" spans="1:9" x14ac:dyDescent="0.2">
      <c r="A911" t="s">
        <v>20</v>
      </c>
      <c r="B911">
        <f>SUMIFS([1]credito!$B$2:$B$228,[1]credito!$F$2:$F$228,F911,[1]credito!$G$2:$G$228,0)</f>
        <v>3167.5299999999988</v>
      </c>
      <c r="C911">
        <v>1</v>
      </c>
      <c r="D911">
        <v>0</v>
      </c>
      <c r="E911">
        <v>0</v>
      </c>
      <c r="F911" s="1">
        <v>43040</v>
      </c>
      <c r="G911" s="15" t="s">
        <v>58</v>
      </c>
      <c r="H911" s="1">
        <v>43053</v>
      </c>
      <c r="I911" t="s">
        <v>21</v>
      </c>
    </row>
    <row r="912" spans="1:9" x14ac:dyDescent="0.2">
      <c r="A912" t="s">
        <v>432</v>
      </c>
      <c r="B912">
        <v>40.61</v>
      </c>
      <c r="C912">
        <v>1</v>
      </c>
      <c r="D912">
        <v>0</v>
      </c>
      <c r="E912">
        <v>0</v>
      </c>
      <c r="F912" s="1">
        <v>43040</v>
      </c>
      <c r="G912" s="15" t="s">
        <v>58</v>
      </c>
      <c r="H912" s="1">
        <v>43055</v>
      </c>
      <c r="I912" t="s">
        <v>21</v>
      </c>
    </row>
    <row r="913" spans="1:9" x14ac:dyDescent="0.2">
      <c r="A913" t="s">
        <v>57</v>
      </c>
      <c r="B913">
        <v>658.67</v>
      </c>
      <c r="C913">
        <v>1</v>
      </c>
      <c r="D913">
        <v>0</v>
      </c>
      <c r="E913">
        <v>0</v>
      </c>
      <c r="F913" s="1">
        <v>43040</v>
      </c>
      <c r="G913" s="15" t="s">
        <v>58</v>
      </c>
      <c r="H913" s="1">
        <v>43054</v>
      </c>
      <c r="I913" t="s">
        <v>59</v>
      </c>
    </row>
    <row r="914" spans="1:9" x14ac:dyDescent="0.2">
      <c r="A914" t="s">
        <v>47</v>
      </c>
      <c r="B914">
        <v>158</v>
      </c>
      <c r="C914">
        <v>1</v>
      </c>
      <c r="D914">
        <v>0</v>
      </c>
      <c r="E914">
        <v>0</v>
      </c>
      <c r="F914" s="1">
        <v>43040</v>
      </c>
      <c r="G914" s="15" t="s">
        <v>58</v>
      </c>
      <c r="H914" s="1">
        <v>43055</v>
      </c>
      <c r="I914" t="s">
        <v>47</v>
      </c>
    </row>
    <row r="915" spans="1:9" x14ac:dyDescent="0.2">
      <c r="A915" t="s">
        <v>33</v>
      </c>
      <c r="B915">
        <v>310</v>
      </c>
      <c r="C915">
        <v>1</v>
      </c>
      <c r="D915">
        <v>0</v>
      </c>
      <c r="E915">
        <v>0</v>
      </c>
      <c r="F915" s="1">
        <v>43040</v>
      </c>
      <c r="G915" t="s">
        <v>43</v>
      </c>
      <c r="H915" s="1">
        <v>43045</v>
      </c>
      <c r="I915" t="s">
        <v>34</v>
      </c>
    </row>
    <row r="916" spans="1:9" x14ac:dyDescent="0.2">
      <c r="A916" t="s">
        <v>48</v>
      </c>
      <c r="B916">
        <v>6.03</v>
      </c>
      <c r="C916">
        <v>1</v>
      </c>
      <c r="D916">
        <v>0</v>
      </c>
      <c r="E916">
        <v>0</v>
      </c>
      <c r="F916" s="1">
        <v>43040</v>
      </c>
      <c r="G916" t="s">
        <v>43</v>
      </c>
      <c r="H916" s="1">
        <v>43049</v>
      </c>
      <c r="I916" t="s">
        <v>25</v>
      </c>
    </row>
    <row r="917" spans="1:9" x14ac:dyDescent="0.2">
      <c r="A917" t="s">
        <v>60</v>
      </c>
      <c r="B917">
        <v>50</v>
      </c>
      <c r="C917">
        <v>1</v>
      </c>
      <c r="D917">
        <v>0</v>
      </c>
      <c r="E917">
        <v>0</v>
      </c>
      <c r="F917" s="1">
        <v>43040</v>
      </c>
      <c r="G917" s="15" t="s">
        <v>58</v>
      </c>
      <c r="H917" s="1">
        <v>43055</v>
      </c>
      <c r="I917" t="s">
        <v>61</v>
      </c>
    </row>
    <row r="918" spans="1:9" x14ac:dyDescent="0.2">
      <c r="A918" t="s">
        <v>38</v>
      </c>
      <c r="B918">
        <v>7</v>
      </c>
      <c r="C918">
        <v>0</v>
      </c>
      <c r="D918">
        <v>1</v>
      </c>
      <c r="E918">
        <v>0</v>
      </c>
      <c r="F918" s="1">
        <v>43040</v>
      </c>
      <c r="G918" t="s">
        <v>10</v>
      </c>
      <c r="H918" s="1">
        <v>43040</v>
      </c>
      <c r="I918" t="s">
        <v>29</v>
      </c>
    </row>
    <row r="919" spans="1:9" x14ac:dyDescent="0.2">
      <c r="A919" t="s">
        <v>227</v>
      </c>
      <c r="B919">
        <v>1.84</v>
      </c>
      <c r="C919">
        <v>0</v>
      </c>
      <c r="D919">
        <v>1</v>
      </c>
      <c r="E919">
        <v>0</v>
      </c>
      <c r="F919" s="1">
        <v>43040</v>
      </c>
      <c r="G919" t="s">
        <v>10</v>
      </c>
      <c r="H919" s="1">
        <v>43040</v>
      </c>
      <c r="I919" t="s">
        <v>236</v>
      </c>
    </row>
    <row r="920" spans="1:9" x14ac:dyDescent="0.2">
      <c r="A920" t="s">
        <v>77</v>
      </c>
      <c r="B920">
        <v>4</v>
      </c>
      <c r="C920">
        <v>0</v>
      </c>
      <c r="D920">
        <v>1</v>
      </c>
      <c r="E920">
        <v>0</v>
      </c>
      <c r="F920" s="1">
        <v>43040</v>
      </c>
      <c r="G920" t="s">
        <v>10</v>
      </c>
      <c r="H920" s="1">
        <v>43042</v>
      </c>
      <c r="I920" t="s">
        <v>29</v>
      </c>
    </row>
    <row r="921" spans="1:9" x14ac:dyDescent="0.2">
      <c r="A921" t="s">
        <v>488</v>
      </c>
      <c r="B921">
        <v>15</v>
      </c>
      <c r="C921">
        <v>0</v>
      </c>
      <c r="D921">
        <v>1</v>
      </c>
      <c r="E921">
        <v>0</v>
      </c>
      <c r="F921" s="1">
        <v>43040</v>
      </c>
      <c r="G921" t="s">
        <v>10</v>
      </c>
      <c r="H921" s="1">
        <v>43042</v>
      </c>
      <c r="I921" t="s">
        <v>29</v>
      </c>
    </row>
    <row r="922" spans="1:9" x14ac:dyDescent="0.2">
      <c r="A922" t="s">
        <v>251</v>
      </c>
      <c r="B922">
        <v>161.12</v>
      </c>
      <c r="C922">
        <v>0</v>
      </c>
      <c r="D922">
        <v>1</v>
      </c>
      <c r="E922">
        <v>0</v>
      </c>
      <c r="F922" s="1">
        <v>43040</v>
      </c>
      <c r="G922" t="s">
        <v>10</v>
      </c>
      <c r="H922" s="1">
        <v>43042</v>
      </c>
      <c r="I922" t="s">
        <v>27</v>
      </c>
    </row>
    <row r="923" spans="1:9" x14ac:dyDescent="0.2">
      <c r="A923" t="s">
        <v>391</v>
      </c>
      <c r="B923">
        <v>6.48</v>
      </c>
      <c r="C923">
        <v>0</v>
      </c>
      <c r="D923">
        <v>1</v>
      </c>
      <c r="E923">
        <v>0</v>
      </c>
      <c r="F923" s="1">
        <v>43040</v>
      </c>
      <c r="G923" t="s">
        <v>10</v>
      </c>
      <c r="H923" s="1">
        <v>43042</v>
      </c>
      <c r="I923" t="s">
        <v>23</v>
      </c>
    </row>
    <row r="924" spans="1:9" x14ac:dyDescent="0.2">
      <c r="A924" t="s">
        <v>334</v>
      </c>
      <c r="B924">
        <v>12</v>
      </c>
      <c r="C924">
        <v>0</v>
      </c>
      <c r="D924">
        <v>1</v>
      </c>
      <c r="E924">
        <v>0</v>
      </c>
      <c r="F924" s="1">
        <v>43040</v>
      </c>
      <c r="G924" t="s">
        <v>10</v>
      </c>
      <c r="H924" s="1">
        <v>43042</v>
      </c>
      <c r="I924" t="s">
        <v>29</v>
      </c>
    </row>
    <row r="925" spans="1:9" x14ac:dyDescent="0.2">
      <c r="A925" t="s">
        <v>41</v>
      </c>
      <c r="B925">
        <v>100</v>
      </c>
      <c r="C925">
        <v>0</v>
      </c>
      <c r="D925">
        <v>1</v>
      </c>
      <c r="E925">
        <v>0</v>
      </c>
      <c r="F925" s="1">
        <v>43040</v>
      </c>
      <c r="G925" t="s">
        <v>10</v>
      </c>
      <c r="H925" s="1">
        <v>43042</v>
      </c>
      <c r="I925" t="s">
        <v>41</v>
      </c>
    </row>
    <row r="926" spans="1:9" x14ac:dyDescent="0.2">
      <c r="A926" t="s">
        <v>391</v>
      </c>
      <c r="B926">
        <v>40.85</v>
      </c>
      <c r="C926">
        <v>0</v>
      </c>
      <c r="D926">
        <v>1</v>
      </c>
      <c r="E926">
        <v>0</v>
      </c>
      <c r="F926" s="1">
        <v>43040</v>
      </c>
      <c r="G926" t="s">
        <v>10</v>
      </c>
      <c r="H926" s="1">
        <v>43043</v>
      </c>
      <c r="I926" t="s">
        <v>23</v>
      </c>
    </row>
    <row r="927" spans="1:9" x14ac:dyDescent="0.2">
      <c r="A927" t="s">
        <v>405</v>
      </c>
      <c r="B927">
        <v>10</v>
      </c>
      <c r="C927">
        <v>0</v>
      </c>
      <c r="D927">
        <v>1</v>
      </c>
      <c r="E927">
        <v>0</v>
      </c>
      <c r="F927" s="1">
        <v>43040</v>
      </c>
      <c r="G927" t="s">
        <v>10</v>
      </c>
      <c r="H927" s="1">
        <v>43043</v>
      </c>
      <c r="I927" t="s">
        <v>29</v>
      </c>
    </row>
    <row r="928" spans="1:9" x14ac:dyDescent="0.2">
      <c r="A928" t="s">
        <v>334</v>
      </c>
      <c r="B928">
        <v>25</v>
      </c>
      <c r="C928">
        <v>0</v>
      </c>
      <c r="D928">
        <v>1</v>
      </c>
      <c r="E928">
        <v>0</v>
      </c>
      <c r="F928" s="1">
        <v>43040</v>
      </c>
      <c r="G928" t="s">
        <v>10</v>
      </c>
      <c r="H928" s="1">
        <v>43043</v>
      </c>
      <c r="I928" t="s">
        <v>29</v>
      </c>
    </row>
    <row r="929" spans="1:9" x14ac:dyDescent="0.2">
      <c r="A929" t="s">
        <v>489</v>
      </c>
      <c r="B929">
        <v>71.63</v>
      </c>
      <c r="C929">
        <v>0</v>
      </c>
      <c r="D929">
        <v>1</v>
      </c>
      <c r="E929">
        <v>0</v>
      </c>
      <c r="F929" s="1">
        <v>43040</v>
      </c>
      <c r="G929" t="s">
        <v>10</v>
      </c>
      <c r="H929" s="1">
        <v>43044</v>
      </c>
      <c r="I929" t="s">
        <v>23</v>
      </c>
    </row>
    <row r="930" spans="1:9" x14ac:dyDescent="0.2">
      <c r="A930" t="s">
        <v>334</v>
      </c>
      <c r="B930">
        <v>9.9</v>
      </c>
      <c r="C930">
        <v>0</v>
      </c>
      <c r="D930">
        <v>1</v>
      </c>
      <c r="E930">
        <v>0</v>
      </c>
      <c r="F930" s="1">
        <v>43040</v>
      </c>
      <c r="G930" t="s">
        <v>10</v>
      </c>
      <c r="H930" s="1">
        <v>43044</v>
      </c>
      <c r="I930" t="s">
        <v>29</v>
      </c>
    </row>
    <row r="931" spans="1:9" x14ac:dyDescent="0.2">
      <c r="A931" t="s">
        <v>334</v>
      </c>
      <c r="B931">
        <v>6.5</v>
      </c>
      <c r="C931">
        <v>0</v>
      </c>
      <c r="D931">
        <v>1</v>
      </c>
      <c r="E931">
        <v>0</v>
      </c>
      <c r="F931" s="1">
        <v>43040</v>
      </c>
      <c r="G931" t="s">
        <v>43</v>
      </c>
      <c r="H931" s="1">
        <v>43045</v>
      </c>
      <c r="I931" t="s">
        <v>29</v>
      </c>
    </row>
    <row r="932" spans="1:9" x14ac:dyDescent="0.2">
      <c r="A932" t="s">
        <v>334</v>
      </c>
      <c r="B932">
        <v>5</v>
      </c>
      <c r="C932">
        <v>0</v>
      </c>
      <c r="D932">
        <v>1</v>
      </c>
      <c r="E932">
        <v>0</v>
      </c>
      <c r="F932" s="1">
        <v>43040</v>
      </c>
      <c r="G932" t="s">
        <v>43</v>
      </c>
      <c r="H932" s="1">
        <v>43045</v>
      </c>
      <c r="I932" t="s">
        <v>29</v>
      </c>
    </row>
    <row r="933" spans="1:9" x14ac:dyDescent="0.2">
      <c r="A933" t="s">
        <v>334</v>
      </c>
      <c r="B933">
        <v>25</v>
      </c>
      <c r="C933">
        <v>0</v>
      </c>
      <c r="D933">
        <v>1</v>
      </c>
      <c r="E933">
        <v>0</v>
      </c>
      <c r="F933" s="1">
        <v>43040</v>
      </c>
      <c r="G933" t="s">
        <v>43</v>
      </c>
      <c r="H933" s="1">
        <v>43045</v>
      </c>
      <c r="I933" t="s">
        <v>29</v>
      </c>
    </row>
    <row r="934" spans="1:9" x14ac:dyDescent="0.2">
      <c r="A934" t="s">
        <v>79</v>
      </c>
      <c r="B934">
        <v>10</v>
      </c>
      <c r="C934">
        <v>0</v>
      </c>
      <c r="D934">
        <v>1</v>
      </c>
      <c r="E934">
        <v>0</v>
      </c>
      <c r="F934" s="1">
        <v>43040</v>
      </c>
      <c r="G934" t="s">
        <v>43</v>
      </c>
      <c r="H934" s="1">
        <v>43046</v>
      </c>
      <c r="I934" t="s">
        <v>29</v>
      </c>
    </row>
    <row r="935" spans="1:9" x14ac:dyDescent="0.2">
      <c r="A935" t="s">
        <v>490</v>
      </c>
      <c r="B935">
        <v>18.5</v>
      </c>
      <c r="C935">
        <v>0</v>
      </c>
      <c r="D935">
        <v>1</v>
      </c>
      <c r="E935">
        <v>0</v>
      </c>
      <c r="F935" s="1">
        <v>43040</v>
      </c>
      <c r="G935" t="s">
        <v>43</v>
      </c>
      <c r="H935" s="1">
        <v>43046</v>
      </c>
      <c r="I935" t="s">
        <v>29</v>
      </c>
    </row>
    <row r="936" spans="1:9" x14ac:dyDescent="0.2">
      <c r="A936" t="s">
        <v>334</v>
      </c>
      <c r="B936">
        <v>6</v>
      </c>
      <c r="C936">
        <v>0</v>
      </c>
      <c r="D936">
        <v>1</v>
      </c>
      <c r="E936">
        <v>0</v>
      </c>
      <c r="F936" s="1">
        <v>43040</v>
      </c>
      <c r="G936" t="s">
        <v>43</v>
      </c>
      <c r="H936" s="1">
        <v>43046</v>
      </c>
      <c r="I936" t="s">
        <v>29</v>
      </c>
    </row>
    <row r="937" spans="1:9" x14ac:dyDescent="0.2">
      <c r="A937" t="s">
        <v>23</v>
      </c>
      <c r="B937">
        <v>8.7799999999999994</v>
      </c>
      <c r="C937">
        <v>0</v>
      </c>
      <c r="D937">
        <v>1</v>
      </c>
      <c r="E937">
        <v>0</v>
      </c>
      <c r="F937" s="1">
        <v>43040</v>
      </c>
      <c r="G937" t="s">
        <v>43</v>
      </c>
      <c r="H937" s="1">
        <v>43047</v>
      </c>
      <c r="I937" t="s">
        <v>23</v>
      </c>
    </row>
    <row r="938" spans="1:9" x14ac:dyDescent="0.2">
      <c r="A938" t="s">
        <v>77</v>
      </c>
      <c r="B938">
        <v>4</v>
      </c>
      <c r="C938">
        <v>0</v>
      </c>
      <c r="D938">
        <v>1</v>
      </c>
      <c r="E938">
        <v>0</v>
      </c>
      <c r="F938" s="1">
        <v>43040</v>
      </c>
      <c r="G938" t="s">
        <v>43</v>
      </c>
      <c r="H938" s="1">
        <v>43047</v>
      </c>
      <c r="I938" t="s">
        <v>29</v>
      </c>
    </row>
    <row r="939" spans="1:9" x14ac:dyDescent="0.2">
      <c r="A939" t="s">
        <v>241</v>
      </c>
      <c r="B939">
        <v>7.8</v>
      </c>
      <c r="C939">
        <v>0</v>
      </c>
      <c r="D939">
        <v>1</v>
      </c>
      <c r="E939">
        <v>0</v>
      </c>
      <c r="F939" s="1">
        <v>43040</v>
      </c>
      <c r="G939" t="s">
        <v>43</v>
      </c>
      <c r="H939" s="1">
        <v>43047</v>
      </c>
      <c r="I939" t="s">
        <v>29</v>
      </c>
    </row>
    <row r="940" spans="1:9" x14ac:dyDescent="0.2">
      <c r="A940" t="s">
        <v>491</v>
      </c>
      <c r="B940">
        <v>7.5</v>
      </c>
      <c r="C940">
        <v>0</v>
      </c>
      <c r="D940">
        <v>1</v>
      </c>
      <c r="E940">
        <v>0</v>
      </c>
      <c r="F940" s="1">
        <v>43040</v>
      </c>
      <c r="G940" t="s">
        <v>43</v>
      </c>
      <c r="H940" s="1">
        <v>43048</v>
      </c>
      <c r="I940" t="s">
        <v>29</v>
      </c>
    </row>
    <row r="941" spans="1:9" x14ac:dyDescent="0.2">
      <c r="A941" t="s">
        <v>77</v>
      </c>
      <c r="B941">
        <v>4</v>
      </c>
      <c r="C941">
        <v>0</v>
      </c>
      <c r="D941">
        <v>1</v>
      </c>
      <c r="E941">
        <v>0</v>
      </c>
      <c r="F941" s="1">
        <v>43040</v>
      </c>
      <c r="G941" t="s">
        <v>43</v>
      </c>
      <c r="H941" s="1">
        <v>43049</v>
      </c>
      <c r="I941" t="s">
        <v>29</v>
      </c>
    </row>
    <row r="942" spans="1:9" x14ac:dyDescent="0.2">
      <c r="A942" t="s">
        <v>85</v>
      </c>
      <c r="B942">
        <v>40</v>
      </c>
      <c r="C942">
        <v>0</v>
      </c>
      <c r="D942">
        <v>1</v>
      </c>
      <c r="E942">
        <v>0</v>
      </c>
      <c r="F942" s="1">
        <v>43040</v>
      </c>
      <c r="G942" t="s">
        <v>43</v>
      </c>
      <c r="H942" s="1">
        <v>43049</v>
      </c>
      <c r="I942" t="s">
        <v>85</v>
      </c>
    </row>
    <row r="943" spans="1:9" x14ac:dyDescent="0.2">
      <c r="A943" t="s">
        <v>77</v>
      </c>
      <c r="B943">
        <v>4</v>
      </c>
      <c r="C943">
        <v>0</v>
      </c>
      <c r="D943">
        <v>1</v>
      </c>
      <c r="E943">
        <v>0</v>
      </c>
      <c r="F943" s="1">
        <v>43040</v>
      </c>
      <c r="G943" t="s">
        <v>43</v>
      </c>
      <c r="H943" s="1">
        <v>43049</v>
      </c>
      <c r="I943" t="s">
        <v>29</v>
      </c>
    </row>
    <row r="944" spans="1:9" x14ac:dyDescent="0.2">
      <c r="A944" t="s">
        <v>251</v>
      </c>
      <c r="B944">
        <v>20</v>
      </c>
      <c r="C944">
        <v>0</v>
      </c>
      <c r="D944">
        <v>1</v>
      </c>
      <c r="E944">
        <v>0</v>
      </c>
      <c r="F944" s="1">
        <v>43040</v>
      </c>
      <c r="G944" t="s">
        <v>43</v>
      </c>
      <c r="H944" s="1">
        <v>43050</v>
      </c>
      <c r="I944" t="s">
        <v>27</v>
      </c>
    </row>
    <row r="945" spans="1:9" x14ac:dyDescent="0.2">
      <c r="A945" t="s">
        <v>41</v>
      </c>
      <c r="B945">
        <v>80</v>
      </c>
      <c r="C945">
        <v>0</v>
      </c>
      <c r="D945">
        <v>1</v>
      </c>
      <c r="E945">
        <v>0</v>
      </c>
      <c r="F945" s="1">
        <v>43040</v>
      </c>
      <c r="G945" t="s">
        <v>43</v>
      </c>
      <c r="H945" s="1">
        <v>43051</v>
      </c>
      <c r="I945" t="s">
        <v>41</v>
      </c>
    </row>
    <row r="946" spans="1:9" x14ac:dyDescent="0.2">
      <c r="A946" t="s">
        <v>64</v>
      </c>
      <c r="B946">
        <v>20</v>
      </c>
      <c r="C946">
        <v>0</v>
      </c>
      <c r="D946">
        <v>1</v>
      </c>
      <c r="E946">
        <v>0</v>
      </c>
      <c r="F946" s="1">
        <v>43040</v>
      </c>
      <c r="G946" t="s">
        <v>43</v>
      </c>
      <c r="H946" s="1">
        <v>43051</v>
      </c>
      <c r="I946" t="s">
        <v>64</v>
      </c>
    </row>
    <row r="947" spans="1:9" x14ac:dyDescent="0.2">
      <c r="A947" t="s">
        <v>50</v>
      </c>
      <c r="B947">
        <v>3</v>
      </c>
      <c r="C947">
        <v>0</v>
      </c>
      <c r="D947">
        <v>1</v>
      </c>
      <c r="E947">
        <v>0</v>
      </c>
      <c r="F947" s="1">
        <v>43040</v>
      </c>
      <c r="G947" t="s">
        <v>58</v>
      </c>
      <c r="H947" s="1">
        <v>43052</v>
      </c>
      <c r="I947" t="s">
        <v>29</v>
      </c>
    </row>
    <row r="948" spans="1:9" x14ac:dyDescent="0.2">
      <c r="A948" t="s">
        <v>492</v>
      </c>
      <c r="B948">
        <v>30</v>
      </c>
      <c r="C948">
        <v>0</v>
      </c>
      <c r="D948">
        <v>1</v>
      </c>
      <c r="E948">
        <v>0</v>
      </c>
      <c r="F948" s="1">
        <v>43040</v>
      </c>
      <c r="G948" t="s">
        <v>58</v>
      </c>
      <c r="H948" s="1">
        <v>43052</v>
      </c>
      <c r="I948" t="s">
        <v>138</v>
      </c>
    </row>
    <row r="949" spans="1:9" x14ac:dyDescent="0.2">
      <c r="A949" t="s">
        <v>493</v>
      </c>
      <c r="B949">
        <v>50</v>
      </c>
      <c r="C949">
        <v>0</v>
      </c>
      <c r="D949">
        <v>1</v>
      </c>
      <c r="E949">
        <v>0</v>
      </c>
      <c r="F949" s="1">
        <v>43040</v>
      </c>
      <c r="G949" t="s">
        <v>58</v>
      </c>
      <c r="H949" s="1">
        <v>43052</v>
      </c>
      <c r="I949" t="s">
        <v>53</v>
      </c>
    </row>
    <row r="950" spans="1:9" x14ac:dyDescent="0.2">
      <c r="A950" t="s">
        <v>44</v>
      </c>
      <c r="B950">
        <v>10</v>
      </c>
      <c r="C950">
        <v>0</v>
      </c>
      <c r="D950">
        <v>1</v>
      </c>
      <c r="E950">
        <v>0</v>
      </c>
      <c r="F950" s="1">
        <v>43040</v>
      </c>
      <c r="G950" t="s">
        <v>58</v>
      </c>
      <c r="H950" s="1">
        <v>43052</v>
      </c>
      <c r="I950" t="s">
        <v>44</v>
      </c>
    </row>
    <row r="951" spans="1:9" x14ac:dyDescent="0.2">
      <c r="A951" t="s">
        <v>69</v>
      </c>
      <c r="B951">
        <v>4</v>
      </c>
      <c r="C951">
        <v>0</v>
      </c>
      <c r="D951">
        <v>1</v>
      </c>
      <c r="E951">
        <v>0</v>
      </c>
      <c r="F951" s="1">
        <v>43040</v>
      </c>
      <c r="G951" t="s">
        <v>58</v>
      </c>
      <c r="H951" s="1">
        <v>43053</v>
      </c>
      <c r="I951" t="s">
        <v>29</v>
      </c>
    </row>
    <row r="952" spans="1:9" x14ac:dyDescent="0.2">
      <c r="A952" t="s">
        <v>69</v>
      </c>
      <c r="B952">
        <v>4</v>
      </c>
      <c r="C952">
        <v>0</v>
      </c>
      <c r="D952">
        <v>1</v>
      </c>
      <c r="E952">
        <v>0</v>
      </c>
      <c r="F952" s="1">
        <v>43040</v>
      </c>
      <c r="G952" t="s">
        <v>58</v>
      </c>
      <c r="H952" s="1">
        <v>43053</v>
      </c>
      <c r="I952" t="s">
        <v>29</v>
      </c>
    </row>
    <row r="953" spans="1:9" x14ac:dyDescent="0.2">
      <c r="A953" t="s">
        <v>494</v>
      </c>
      <c r="B953">
        <v>29.4</v>
      </c>
      <c r="C953">
        <v>0</v>
      </c>
      <c r="D953">
        <v>1</v>
      </c>
      <c r="E953">
        <v>0</v>
      </c>
      <c r="F953" s="1">
        <v>43040</v>
      </c>
      <c r="G953" t="s">
        <v>58</v>
      </c>
      <c r="H953" s="1">
        <v>43053</v>
      </c>
      <c r="I953" t="s">
        <v>76</v>
      </c>
    </row>
    <row r="954" spans="1:9" x14ac:dyDescent="0.2">
      <c r="A954" t="s">
        <v>248</v>
      </c>
      <c r="B954">
        <v>11</v>
      </c>
      <c r="C954">
        <v>0</v>
      </c>
      <c r="D954">
        <v>1</v>
      </c>
      <c r="E954">
        <v>0</v>
      </c>
      <c r="F954" s="1">
        <v>43040</v>
      </c>
      <c r="G954" t="s">
        <v>58</v>
      </c>
      <c r="H954" s="1">
        <v>43054</v>
      </c>
      <c r="I954" t="s">
        <v>29</v>
      </c>
    </row>
    <row r="955" spans="1:9" x14ac:dyDescent="0.2">
      <c r="A955" t="s">
        <v>44</v>
      </c>
      <c r="B955">
        <v>50</v>
      </c>
      <c r="C955">
        <v>0</v>
      </c>
      <c r="D955">
        <v>1</v>
      </c>
      <c r="E955">
        <v>0</v>
      </c>
      <c r="F955" s="1">
        <v>43040</v>
      </c>
      <c r="G955" t="s">
        <v>58</v>
      </c>
      <c r="H955" s="1">
        <v>43054</v>
      </c>
      <c r="I955" t="s">
        <v>53</v>
      </c>
    </row>
    <row r="956" spans="1:9" x14ac:dyDescent="0.2">
      <c r="A956" t="s">
        <v>495</v>
      </c>
      <c r="B956">
        <v>35</v>
      </c>
      <c r="C956">
        <v>0</v>
      </c>
      <c r="D956">
        <v>1</v>
      </c>
      <c r="E956">
        <v>0</v>
      </c>
      <c r="F956" s="1">
        <v>43040</v>
      </c>
      <c r="G956" t="s">
        <v>58</v>
      </c>
      <c r="H956" s="1">
        <v>43054</v>
      </c>
      <c r="I956" t="s">
        <v>27</v>
      </c>
    </row>
    <row r="957" spans="1:9" x14ac:dyDescent="0.2">
      <c r="A957" t="s">
        <v>496</v>
      </c>
      <c r="B957">
        <v>42</v>
      </c>
      <c r="C957">
        <v>0</v>
      </c>
      <c r="D957">
        <v>1</v>
      </c>
      <c r="E957">
        <v>0</v>
      </c>
      <c r="F957" s="1">
        <v>43040</v>
      </c>
      <c r="G957" t="s">
        <v>58</v>
      </c>
      <c r="H957" s="1">
        <v>43054</v>
      </c>
      <c r="I957" t="s">
        <v>29</v>
      </c>
    </row>
    <row r="958" spans="1:9" x14ac:dyDescent="0.2">
      <c r="A958" t="s">
        <v>98</v>
      </c>
      <c r="B958">
        <v>15</v>
      </c>
      <c r="C958">
        <v>0</v>
      </c>
      <c r="D958">
        <v>1</v>
      </c>
      <c r="E958">
        <v>0</v>
      </c>
      <c r="F958" s="1">
        <v>43040</v>
      </c>
      <c r="G958" t="s">
        <v>58</v>
      </c>
      <c r="H958" s="1">
        <v>43055</v>
      </c>
      <c r="I958" t="s">
        <v>98</v>
      </c>
    </row>
    <row r="959" spans="1:9" x14ac:dyDescent="0.2">
      <c r="A959" t="s">
        <v>317</v>
      </c>
      <c r="B959">
        <v>7</v>
      </c>
      <c r="C959">
        <v>0</v>
      </c>
      <c r="D959">
        <v>1</v>
      </c>
      <c r="E959">
        <v>0</v>
      </c>
      <c r="F959" s="1">
        <v>43040</v>
      </c>
      <c r="G959" t="s">
        <v>58</v>
      </c>
      <c r="H959" s="1">
        <v>43055</v>
      </c>
      <c r="I959" t="s">
        <v>29</v>
      </c>
    </row>
    <row r="960" spans="1:9" x14ac:dyDescent="0.2">
      <c r="A960" t="s">
        <v>76</v>
      </c>
      <c r="B960">
        <v>26.4</v>
      </c>
      <c r="C960">
        <v>0</v>
      </c>
      <c r="D960">
        <v>1</v>
      </c>
      <c r="E960">
        <v>0</v>
      </c>
      <c r="F960" s="1">
        <v>43040</v>
      </c>
      <c r="G960" t="s">
        <v>58</v>
      </c>
      <c r="H960" s="1">
        <v>43055</v>
      </c>
      <c r="I960" t="s">
        <v>76</v>
      </c>
    </row>
    <row r="961" spans="1:9" x14ac:dyDescent="0.2">
      <c r="A961" t="s">
        <v>497</v>
      </c>
      <c r="B961">
        <v>16.399999999999999</v>
      </c>
      <c r="C961">
        <v>0</v>
      </c>
      <c r="D961">
        <v>1</v>
      </c>
      <c r="E961">
        <v>0</v>
      </c>
      <c r="F961" s="1">
        <v>43040</v>
      </c>
      <c r="G961" t="s">
        <v>58</v>
      </c>
      <c r="H961" s="1">
        <v>43055</v>
      </c>
      <c r="I961" t="s">
        <v>29</v>
      </c>
    </row>
    <row r="962" spans="1:9" x14ac:dyDescent="0.2">
      <c r="A962" t="s">
        <v>98</v>
      </c>
      <c r="B962">
        <v>14.38</v>
      </c>
      <c r="C962">
        <v>0</v>
      </c>
      <c r="D962">
        <v>1</v>
      </c>
      <c r="E962">
        <v>0</v>
      </c>
      <c r="F962" s="1">
        <v>43040</v>
      </c>
      <c r="G962" t="s">
        <v>58</v>
      </c>
      <c r="H962" s="1">
        <v>43055</v>
      </c>
      <c r="I962" t="s">
        <v>98</v>
      </c>
    </row>
    <row r="963" spans="1:9" x14ac:dyDescent="0.2">
      <c r="A963" t="s">
        <v>321</v>
      </c>
      <c r="B963">
        <v>6.99</v>
      </c>
      <c r="C963">
        <v>0</v>
      </c>
      <c r="D963">
        <v>1</v>
      </c>
      <c r="E963">
        <v>0</v>
      </c>
      <c r="F963" s="1">
        <v>43040</v>
      </c>
      <c r="G963" t="s">
        <v>58</v>
      </c>
      <c r="H963" s="1">
        <v>43055</v>
      </c>
      <c r="I963" t="s">
        <v>53</v>
      </c>
    </row>
    <row r="964" spans="1:9" x14ac:dyDescent="0.2">
      <c r="A964" t="s">
        <v>50</v>
      </c>
      <c r="B964">
        <v>3</v>
      </c>
      <c r="C964">
        <v>0</v>
      </c>
      <c r="D964">
        <v>1</v>
      </c>
      <c r="E964">
        <v>0</v>
      </c>
      <c r="F964" s="1">
        <v>43040</v>
      </c>
      <c r="G964" t="s">
        <v>58</v>
      </c>
      <c r="H964" s="1">
        <v>43056</v>
      </c>
      <c r="I964" t="s">
        <v>29</v>
      </c>
    </row>
    <row r="965" spans="1:9" x14ac:dyDescent="0.2">
      <c r="A965" t="s">
        <v>77</v>
      </c>
      <c r="B965">
        <v>4</v>
      </c>
      <c r="C965">
        <v>0</v>
      </c>
      <c r="D965">
        <v>1</v>
      </c>
      <c r="E965">
        <v>0</v>
      </c>
      <c r="F965" s="1">
        <v>43040</v>
      </c>
      <c r="G965" t="s">
        <v>58</v>
      </c>
      <c r="H965" s="1">
        <v>43056</v>
      </c>
      <c r="I965" t="s">
        <v>29</v>
      </c>
    </row>
    <row r="966" spans="1:9" x14ac:dyDescent="0.2">
      <c r="A966" t="s">
        <v>41</v>
      </c>
      <c r="B966">
        <v>50</v>
      </c>
      <c r="C966">
        <v>0</v>
      </c>
      <c r="D966">
        <v>1</v>
      </c>
      <c r="E966">
        <v>0</v>
      </c>
      <c r="F966" s="1">
        <v>43040</v>
      </c>
      <c r="G966" t="s">
        <v>58</v>
      </c>
      <c r="H966" s="1">
        <v>43057</v>
      </c>
      <c r="I966" t="s">
        <v>41</v>
      </c>
    </row>
    <row r="967" spans="1:9" x14ac:dyDescent="0.2">
      <c r="A967" t="s">
        <v>498</v>
      </c>
      <c r="B967">
        <v>100</v>
      </c>
      <c r="C967">
        <v>0</v>
      </c>
      <c r="D967">
        <v>1</v>
      </c>
      <c r="E967">
        <v>0</v>
      </c>
      <c r="F967" s="1">
        <v>43040</v>
      </c>
      <c r="G967" t="s">
        <v>58</v>
      </c>
      <c r="H967" s="1">
        <v>43058</v>
      </c>
      <c r="I967" t="s">
        <v>53</v>
      </c>
    </row>
    <row r="968" spans="1:9" x14ac:dyDescent="0.2">
      <c r="A968" t="s">
        <v>85</v>
      </c>
      <c r="B968">
        <v>50</v>
      </c>
      <c r="C968">
        <v>0</v>
      </c>
      <c r="D968">
        <v>1</v>
      </c>
      <c r="E968">
        <v>0</v>
      </c>
      <c r="F968" s="1">
        <v>43040</v>
      </c>
      <c r="G968" t="s">
        <v>58</v>
      </c>
      <c r="H968" s="1">
        <v>43060</v>
      </c>
      <c r="I968" t="s">
        <v>85</v>
      </c>
    </row>
    <row r="969" spans="1:9" x14ac:dyDescent="0.2">
      <c r="A969" t="s">
        <v>77</v>
      </c>
      <c r="B969">
        <v>4</v>
      </c>
      <c r="C969">
        <v>0</v>
      </c>
      <c r="D969">
        <v>1</v>
      </c>
      <c r="E969">
        <v>0</v>
      </c>
      <c r="F969" s="1">
        <v>43040</v>
      </c>
      <c r="G969" t="s">
        <v>58</v>
      </c>
      <c r="H969" s="1">
        <v>43060</v>
      </c>
      <c r="I969" t="s">
        <v>29</v>
      </c>
    </row>
    <row r="970" spans="1:9" x14ac:dyDescent="0.2">
      <c r="A970" t="s">
        <v>499</v>
      </c>
      <c r="B970">
        <v>9.5</v>
      </c>
      <c r="C970">
        <v>0</v>
      </c>
      <c r="D970">
        <v>1</v>
      </c>
      <c r="E970">
        <v>0</v>
      </c>
      <c r="F970" s="1">
        <v>43040</v>
      </c>
      <c r="G970" t="s">
        <v>58</v>
      </c>
      <c r="H970" s="1">
        <v>43060</v>
      </c>
      <c r="I970" t="s">
        <v>76</v>
      </c>
    </row>
    <row r="971" spans="1:9" x14ac:dyDescent="0.2">
      <c r="A971" t="s">
        <v>499</v>
      </c>
      <c r="B971">
        <v>25.4</v>
      </c>
      <c r="C971">
        <v>0</v>
      </c>
      <c r="D971">
        <v>1</v>
      </c>
      <c r="E971">
        <v>0</v>
      </c>
      <c r="F971" s="1">
        <v>43040</v>
      </c>
      <c r="G971" t="s">
        <v>58</v>
      </c>
      <c r="H971" s="1">
        <v>43060</v>
      </c>
      <c r="I971" t="s">
        <v>76</v>
      </c>
    </row>
    <row r="972" spans="1:9" x14ac:dyDescent="0.2">
      <c r="A972" t="s">
        <v>23</v>
      </c>
      <c r="B972">
        <v>20.87</v>
      </c>
      <c r="C972">
        <v>0</v>
      </c>
      <c r="D972">
        <v>1</v>
      </c>
      <c r="E972">
        <v>0</v>
      </c>
      <c r="F972" s="1">
        <v>43040</v>
      </c>
      <c r="G972" t="s">
        <v>58</v>
      </c>
      <c r="H972" s="1">
        <v>43060</v>
      </c>
      <c r="I972" t="s">
        <v>23</v>
      </c>
    </row>
    <row r="973" spans="1:9" x14ac:dyDescent="0.2">
      <c r="A973" t="s">
        <v>23</v>
      </c>
      <c r="B973">
        <v>33.5</v>
      </c>
      <c r="C973">
        <v>0</v>
      </c>
      <c r="D973">
        <v>1</v>
      </c>
      <c r="E973">
        <v>0</v>
      </c>
      <c r="F973" s="1">
        <v>43040</v>
      </c>
      <c r="G973" t="s">
        <v>58</v>
      </c>
      <c r="H973" s="1">
        <v>43060</v>
      </c>
      <c r="I973" t="s">
        <v>23</v>
      </c>
    </row>
    <row r="974" spans="1:9" x14ac:dyDescent="0.2">
      <c r="A974" t="s">
        <v>248</v>
      </c>
      <c r="B974">
        <v>8.1</v>
      </c>
      <c r="C974">
        <v>0</v>
      </c>
      <c r="D974">
        <v>1</v>
      </c>
      <c r="E974">
        <v>0</v>
      </c>
      <c r="F974" s="1">
        <v>43040</v>
      </c>
      <c r="G974" t="s">
        <v>58</v>
      </c>
      <c r="H974" s="1">
        <v>43060</v>
      </c>
      <c r="I974" t="s">
        <v>29</v>
      </c>
    </row>
    <row r="975" spans="1:9" x14ac:dyDescent="0.2">
      <c r="A975" t="s">
        <v>50</v>
      </c>
      <c r="B975">
        <v>3</v>
      </c>
      <c r="C975">
        <v>0</v>
      </c>
      <c r="D975">
        <v>1</v>
      </c>
      <c r="E975">
        <v>0</v>
      </c>
      <c r="F975" s="1">
        <v>43040</v>
      </c>
      <c r="G975" t="s">
        <v>58</v>
      </c>
      <c r="H975" s="1">
        <v>43061</v>
      </c>
      <c r="I975" t="s">
        <v>29</v>
      </c>
    </row>
    <row r="976" spans="1:9" x14ac:dyDescent="0.2">
      <c r="A976" t="s">
        <v>69</v>
      </c>
      <c r="B976">
        <v>3.5</v>
      </c>
      <c r="C976">
        <v>0</v>
      </c>
      <c r="D976">
        <v>1</v>
      </c>
      <c r="E976">
        <v>0</v>
      </c>
      <c r="F976" s="1">
        <v>43040</v>
      </c>
      <c r="G976" t="s">
        <v>58</v>
      </c>
      <c r="H976" s="1">
        <v>43061</v>
      </c>
      <c r="I976" t="s">
        <v>29</v>
      </c>
    </row>
    <row r="977" spans="1:9" x14ac:dyDescent="0.2">
      <c r="A977" t="s">
        <v>500</v>
      </c>
      <c r="B977">
        <v>3</v>
      </c>
      <c r="C977">
        <v>0</v>
      </c>
      <c r="D977">
        <v>1</v>
      </c>
      <c r="E977">
        <v>0</v>
      </c>
      <c r="F977" s="1">
        <v>43040</v>
      </c>
      <c r="G977" t="s">
        <v>58</v>
      </c>
      <c r="H977" s="1">
        <v>43061</v>
      </c>
      <c r="I977" t="s">
        <v>29</v>
      </c>
    </row>
    <row r="978" spans="1:9" x14ac:dyDescent="0.2">
      <c r="A978" t="s">
        <v>23</v>
      </c>
      <c r="B978">
        <v>3.8</v>
      </c>
      <c r="C978">
        <v>0</v>
      </c>
      <c r="D978">
        <v>1</v>
      </c>
      <c r="E978">
        <v>0</v>
      </c>
      <c r="F978" s="1">
        <v>43040</v>
      </c>
      <c r="G978" t="s">
        <v>58</v>
      </c>
      <c r="H978" s="1">
        <v>43061</v>
      </c>
      <c r="I978" t="s">
        <v>23</v>
      </c>
    </row>
    <row r="979" spans="1:9" x14ac:dyDescent="0.2">
      <c r="A979" t="s">
        <v>23</v>
      </c>
      <c r="B979">
        <v>17.7</v>
      </c>
      <c r="C979">
        <v>0</v>
      </c>
      <c r="D979">
        <v>1</v>
      </c>
      <c r="E979">
        <v>0</v>
      </c>
      <c r="F979" s="1">
        <v>43040</v>
      </c>
      <c r="G979" t="s">
        <v>58</v>
      </c>
      <c r="H979" s="1">
        <v>43061</v>
      </c>
      <c r="I979" t="s">
        <v>23</v>
      </c>
    </row>
    <row r="980" spans="1:9" x14ac:dyDescent="0.2">
      <c r="A980" t="s">
        <v>501</v>
      </c>
      <c r="B980">
        <v>7.9</v>
      </c>
      <c r="C980">
        <v>0</v>
      </c>
      <c r="D980">
        <v>1</v>
      </c>
      <c r="E980">
        <v>0</v>
      </c>
      <c r="F980" s="1">
        <v>43040</v>
      </c>
      <c r="G980" t="s">
        <v>58</v>
      </c>
      <c r="H980" s="1">
        <v>43063</v>
      </c>
      <c r="I980" t="s">
        <v>29</v>
      </c>
    </row>
    <row r="981" spans="1:9" x14ac:dyDescent="0.2">
      <c r="A981" t="s">
        <v>50</v>
      </c>
      <c r="B981">
        <v>3</v>
      </c>
      <c r="C981">
        <v>0</v>
      </c>
      <c r="D981">
        <v>1</v>
      </c>
      <c r="E981">
        <v>0</v>
      </c>
      <c r="F981" s="1">
        <v>43040</v>
      </c>
      <c r="G981" t="s">
        <v>58</v>
      </c>
      <c r="H981" s="1">
        <v>43066</v>
      </c>
      <c r="I981" t="s">
        <v>29</v>
      </c>
    </row>
    <row r="982" spans="1:9" x14ac:dyDescent="0.2">
      <c r="A982" t="s">
        <v>23</v>
      </c>
      <c r="B982">
        <v>20.5</v>
      </c>
      <c r="C982">
        <v>0</v>
      </c>
      <c r="D982">
        <v>1</v>
      </c>
      <c r="E982">
        <v>0</v>
      </c>
      <c r="F982" s="1">
        <v>43040</v>
      </c>
      <c r="G982" t="s">
        <v>58</v>
      </c>
      <c r="H982" s="1">
        <v>43066</v>
      </c>
      <c r="I982" t="s">
        <v>23</v>
      </c>
    </row>
    <row r="983" spans="1:9" x14ac:dyDescent="0.2">
      <c r="A983" t="s">
        <v>76</v>
      </c>
      <c r="B983">
        <v>26</v>
      </c>
      <c r="C983">
        <v>0</v>
      </c>
      <c r="D983">
        <v>1</v>
      </c>
      <c r="E983">
        <v>0</v>
      </c>
      <c r="F983" s="1">
        <v>43040</v>
      </c>
      <c r="G983" t="s">
        <v>58</v>
      </c>
      <c r="H983" s="1">
        <v>43067</v>
      </c>
      <c r="I983" t="s">
        <v>76</v>
      </c>
    </row>
    <row r="984" spans="1:9" x14ac:dyDescent="0.2">
      <c r="A984" t="s">
        <v>502</v>
      </c>
      <c r="B984">
        <v>28.28</v>
      </c>
      <c r="C984">
        <v>0</v>
      </c>
      <c r="D984">
        <v>1</v>
      </c>
      <c r="E984">
        <v>0</v>
      </c>
      <c r="F984" s="1">
        <v>43040</v>
      </c>
      <c r="G984" t="s">
        <v>58</v>
      </c>
      <c r="H984" s="1">
        <v>43067</v>
      </c>
      <c r="I984" t="s">
        <v>29</v>
      </c>
    </row>
    <row r="985" spans="1:9" x14ac:dyDescent="0.2">
      <c r="A985" t="s">
        <v>23</v>
      </c>
      <c r="B985">
        <v>7.9</v>
      </c>
      <c r="C985">
        <v>0</v>
      </c>
      <c r="D985">
        <v>1</v>
      </c>
      <c r="E985">
        <v>0</v>
      </c>
      <c r="F985" s="1">
        <v>43040</v>
      </c>
      <c r="G985" t="s">
        <v>58</v>
      </c>
      <c r="H985" s="1">
        <v>43067</v>
      </c>
      <c r="I985" t="s">
        <v>23</v>
      </c>
    </row>
    <row r="986" spans="1:9" x14ac:dyDescent="0.2">
      <c r="A986" t="s">
        <v>503</v>
      </c>
      <c r="B986">
        <v>4</v>
      </c>
      <c r="C986">
        <v>0</v>
      </c>
      <c r="D986">
        <v>1</v>
      </c>
      <c r="E986">
        <v>0</v>
      </c>
      <c r="F986" s="1">
        <v>43040</v>
      </c>
      <c r="G986" t="s">
        <v>58</v>
      </c>
      <c r="H986" s="1">
        <v>43068</v>
      </c>
      <c r="I986" t="s">
        <v>29</v>
      </c>
    </row>
    <row r="987" spans="1:9" x14ac:dyDescent="0.2">
      <c r="A987" t="s">
        <v>50</v>
      </c>
      <c r="B987">
        <v>5</v>
      </c>
      <c r="C987">
        <v>0</v>
      </c>
      <c r="D987">
        <v>1</v>
      </c>
      <c r="E987">
        <v>0</v>
      </c>
      <c r="F987" s="1">
        <v>43040</v>
      </c>
      <c r="G987" t="s">
        <v>58</v>
      </c>
      <c r="H987" s="1">
        <v>43068</v>
      </c>
      <c r="I987" t="s">
        <v>29</v>
      </c>
    </row>
    <row r="988" spans="1:9" x14ac:dyDescent="0.2">
      <c r="A988" t="s">
        <v>334</v>
      </c>
      <c r="B988">
        <v>4.5</v>
      </c>
      <c r="C988">
        <v>0</v>
      </c>
      <c r="D988">
        <v>1</v>
      </c>
      <c r="E988">
        <v>0</v>
      </c>
      <c r="F988" s="1">
        <v>43040</v>
      </c>
      <c r="G988" t="s">
        <v>58</v>
      </c>
      <c r="H988" s="1">
        <v>43068</v>
      </c>
      <c r="I988" t="s">
        <v>29</v>
      </c>
    </row>
    <row r="989" spans="1:9" x14ac:dyDescent="0.2">
      <c r="A989" t="s">
        <v>334</v>
      </c>
      <c r="B989">
        <v>3.5</v>
      </c>
      <c r="C989">
        <v>0</v>
      </c>
      <c r="D989">
        <v>1</v>
      </c>
      <c r="E989">
        <v>0</v>
      </c>
      <c r="F989" s="1">
        <v>43040</v>
      </c>
      <c r="G989" t="s">
        <v>58</v>
      </c>
      <c r="H989" s="1">
        <v>43069</v>
      </c>
      <c r="I989" t="s">
        <v>29</v>
      </c>
    </row>
    <row r="990" spans="1:9" x14ac:dyDescent="0.2">
      <c r="A990" t="s">
        <v>504</v>
      </c>
      <c r="B990">
        <v>16</v>
      </c>
      <c r="C990">
        <v>0</v>
      </c>
      <c r="D990">
        <v>1</v>
      </c>
      <c r="E990">
        <v>0</v>
      </c>
      <c r="F990" s="1">
        <v>43040</v>
      </c>
      <c r="G990" t="s">
        <v>58</v>
      </c>
      <c r="H990" s="1">
        <v>43069</v>
      </c>
      <c r="I990" t="s">
        <v>29</v>
      </c>
    </row>
    <row r="991" spans="1:9" x14ac:dyDescent="0.2">
      <c r="A991" t="s">
        <v>77</v>
      </c>
      <c r="B991">
        <v>4</v>
      </c>
      <c r="C991">
        <v>0</v>
      </c>
      <c r="D991">
        <v>1</v>
      </c>
      <c r="E991">
        <v>0</v>
      </c>
      <c r="F991" s="1">
        <v>43040</v>
      </c>
      <c r="G991" t="s">
        <v>58</v>
      </c>
      <c r="H991" s="1">
        <v>43069</v>
      </c>
      <c r="I991" t="s">
        <v>29</v>
      </c>
    </row>
    <row r="992" spans="1:9" x14ac:dyDescent="0.2">
      <c r="A992" t="s">
        <v>334</v>
      </c>
      <c r="B992">
        <v>4.9000000000000004</v>
      </c>
      <c r="C992">
        <v>0</v>
      </c>
      <c r="D992">
        <v>1</v>
      </c>
      <c r="E992">
        <v>0</v>
      </c>
      <c r="F992" s="1">
        <v>43040</v>
      </c>
      <c r="G992" t="s">
        <v>58</v>
      </c>
      <c r="H992" s="1">
        <v>43069</v>
      </c>
      <c r="I992" t="s">
        <v>29</v>
      </c>
    </row>
    <row r="993" spans="1:9" x14ac:dyDescent="0.2">
      <c r="A993" t="s">
        <v>505</v>
      </c>
      <c r="B993">
        <v>7.9</v>
      </c>
      <c r="C993">
        <v>0</v>
      </c>
      <c r="D993">
        <v>1</v>
      </c>
      <c r="E993">
        <v>0</v>
      </c>
      <c r="F993" s="1">
        <v>43040</v>
      </c>
      <c r="G993" t="s">
        <v>58</v>
      </c>
      <c r="H993" s="1">
        <v>43069</v>
      </c>
      <c r="I993" t="s">
        <v>29</v>
      </c>
    </row>
    <row r="994" spans="1:9" x14ac:dyDescent="0.2">
      <c r="A994" t="s">
        <v>24</v>
      </c>
      <c r="B994" s="11">
        <v>69.95</v>
      </c>
      <c r="C994">
        <v>1</v>
      </c>
      <c r="D994">
        <v>0</v>
      </c>
      <c r="E994">
        <v>0</v>
      </c>
      <c r="F994" s="1">
        <v>43070</v>
      </c>
      <c r="G994" t="s">
        <v>10</v>
      </c>
      <c r="H994" s="1">
        <v>43073</v>
      </c>
      <c r="I994" t="s">
        <v>25</v>
      </c>
    </row>
    <row r="995" spans="1:9" x14ac:dyDescent="0.2">
      <c r="A995" t="s">
        <v>35</v>
      </c>
      <c r="B995" s="11">
        <v>199.8</v>
      </c>
      <c r="C995">
        <v>1</v>
      </c>
      <c r="D995">
        <v>0</v>
      </c>
      <c r="E995">
        <v>0</v>
      </c>
      <c r="F995" s="1">
        <v>43070</v>
      </c>
      <c r="G995" t="s">
        <v>10</v>
      </c>
      <c r="H995" s="1">
        <v>43077</v>
      </c>
      <c r="I995" t="s">
        <v>36</v>
      </c>
    </row>
    <row r="996" spans="1:9" x14ac:dyDescent="0.2">
      <c r="A996" t="s">
        <v>428</v>
      </c>
      <c r="B996" s="11">
        <v>900</v>
      </c>
      <c r="C996">
        <v>1</v>
      </c>
      <c r="D996">
        <v>0</v>
      </c>
      <c r="E996">
        <v>0</v>
      </c>
      <c r="F996" s="1">
        <v>43070</v>
      </c>
      <c r="G996" t="s">
        <v>10</v>
      </c>
      <c r="H996" s="1">
        <v>43077</v>
      </c>
      <c r="I996" t="s">
        <v>36</v>
      </c>
    </row>
    <row r="997" spans="1:9" x14ac:dyDescent="0.2">
      <c r="A997" t="s">
        <v>430</v>
      </c>
      <c r="B997" s="11">
        <v>303</v>
      </c>
      <c r="C997">
        <v>1</v>
      </c>
      <c r="D997">
        <v>0</v>
      </c>
      <c r="E997">
        <v>0</v>
      </c>
      <c r="F997" s="1">
        <v>43070</v>
      </c>
      <c r="G997" t="s">
        <v>10</v>
      </c>
      <c r="H997" s="1">
        <v>43077</v>
      </c>
      <c r="I997" t="s">
        <v>36</v>
      </c>
    </row>
    <row r="998" spans="1:9" x14ac:dyDescent="0.2">
      <c r="A998" t="s">
        <v>506</v>
      </c>
      <c r="B998" s="11">
        <v>25</v>
      </c>
      <c r="C998">
        <v>1</v>
      </c>
      <c r="D998">
        <v>0</v>
      </c>
      <c r="E998">
        <v>0</v>
      </c>
      <c r="F998" s="1">
        <v>43070</v>
      </c>
      <c r="G998" t="s">
        <v>10</v>
      </c>
      <c r="H998" s="1">
        <v>43077</v>
      </c>
      <c r="I998" t="s">
        <v>36</v>
      </c>
    </row>
    <row r="999" spans="1:9" x14ac:dyDescent="0.2">
      <c r="A999" t="s">
        <v>507</v>
      </c>
      <c r="B999" s="11">
        <v>154.52000000000001</v>
      </c>
      <c r="C999">
        <v>1</v>
      </c>
      <c r="D999">
        <v>0</v>
      </c>
      <c r="E999">
        <v>0</v>
      </c>
      <c r="F999" s="1">
        <v>43070</v>
      </c>
      <c r="G999" t="s">
        <v>10</v>
      </c>
      <c r="H999" s="1">
        <v>43077</v>
      </c>
      <c r="I999" t="s">
        <v>36</v>
      </c>
    </row>
    <row r="1000" spans="1:9" x14ac:dyDescent="0.2">
      <c r="A1000" t="s">
        <v>508</v>
      </c>
      <c r="B1000" s="11">
        <v>3.6</v>
      </c>
      <c r="C1000">
        <v>1</v>
      </c>
      <c r="D1000">
        <v>0</v>
      </c>
      <c r="E1000">
        <v>0</v>
      </c>
      <c r="F1000" s="1">
        <v>43070</v>
      </c>
      <c r="G1000" t="s">
        <v>10</v>
      </c>
      <c r="H1000" s="1">
        <v>43077</v>
      </c>
      <c r="I1000" t="s">
        <v>36</v>
      </c>
    </row>
    <row r="1001" spans="1:9" x14ac:dyDescent="0.2">
      <c r="A1001" t="s">
        <v>509</v>
      </c>
      <c r="B1001" s="11">
        <v>54.56</v>
      </c>
      <c r="C1001">
        <v>1</v>
      </c>
      <c r="D1001">
        <v>0</v>
      </c>
      <c r="E1001">
        <v>0</v>
      </c>
      <c r="F1001" s="1">
        <v>43070</v>
      </c>
      <c r="G1001" t="s">
        <v>10</v>
      </c>
      <c r="H1001" s="1">
        <v>43077</v>
      </c>
      <c r="I1001" t="s">
        <v>36</v>
      </c>
    </row>
    <row r="1002" spans="1:9" x14ac:dyDescent="0.2">
      <c r="A1002" t="s">
        <v>39</v>
      </c>
      <c r="B1002" s="11">
        <v>100</v>
      </c>
      <c r="C1002">
        <v>1</v>
      </c>
      <c r="D1002">
        <v>0</v>
      </c>
      <c r="E1002">
        <v>1</v>
      </c>
      <c r="F1002" s="1">
        <v>43070</v>
      </c>
      <c r="G1002" t="s">
        <v>58</v>
      </c>
      <c r="H1002" s="1">
        <v>43089</v>
      </c>
      <c r="I1002" t="s">
        <v>36</v>
      </c>
    </row>
    <row r="1003" spans="1:9" x14ac:dyDescent="0.2">
      <c r="A1003" t="s">
        <v>20</v>
      </c>
      <c r="B1003" s="11">
        <v>2393.2000000000003</v>
      </c>
      <c r="C1003">
        <v>1</v>
      </c>
      <c r="D1003">
        <v>0</v>
      </c>
      <c r="E1003">
        <v>1</v>
      </c>
      <c r="F1003" s="1">
        <v>43070</v>
      </c>
      <c r="G1003" t="s">
        <v>43</v>
      </c>
      <c r="H1003" s="1">
        <v>43084</v>
      </c>
      <c r="I1003" t="s">
        <v>21</v>
      </c>
    </row>
    <row r="1004" spans="1:9" x14ac:dyDescent="0.2">
      <c r="A1004" t="s">
        <v>432</v>
      </c>
      <c r="B1004" s="11">
        <v>32.89</v>
      </c>
      <c r="C1004">
        <v>1</v>
      </c>
      <c r="D1004">
        <v>0</v>
      </c>
      <c r="E1004">
        <v>1</v>
      </c>
      <c r="F1004" s="1">
        <v>43070</v>
      </c>
      <c r="G1004" t="s">
        <v>43</v>
      </c>
      <c r="H1004" s="1">
        <v>43084</v>
      </c>
      <c r="I1004" t="s">
        <v>21</v>
      </c>
    </row>
    <row r="1005" spans="1:9" x14ac:dyDescent="0.2">
      <c r="A1005" t="s">
        <v>57</v>
      </c>
      <c r="B1005" s="11">
        <v>658.67</v>
      </c>
      <c r="C1005">
        <v>1</v>
      </c>
      <c r="D1005">
        <v>0</v>
      </c>
      <c r="E1005">
        <v>0</v>
      </c>
      <c r="F1005" s="1">
        <v>43070</v>
      </c>
      <c r="G1005" t="s">
        <v>43</v>
      </c>
      <c r="H1005" s="1">
        <v>43084</v>
      </c>
      <c r="I1005" t="s">
        <v>59</v>
      </c>
    </row>
    <row r="1006" spans="1:9" x14ac:dyDescent="0.2">
      <c r="A1006" t="s">
        <v>47</v>
      </c>
      <c r="B1006" s="11">
        <v>158</v>
      </c>
      <c r="C1006">
        <v>1</v>
      </c>
      <c r="D1006">
        <v>0</v>
      </c>
      <c r="E1006">
        <v>1</v>
      </c>
      <c r="F1006" s="1">
        <v>43070</v>
      </c>
      <c r="G1006" t="s">
        <v>43</v>
      </c>
      <c r="H1006" s="1">
        <v>43084</v>
      </c>
      <c r="I1006" t="s">
        <v>47</v>
      </c>
    </row>
    <row r="1007" spans="1:9" x14ac:dyDescent="0.2">
      <c r="A1007" t="s">
        <v>33</v>
      </c>
      <c r="B1007" s="11">
        <v>300</v>
      </c>
      <c r="C1007">
        <v>1</v>
      </c>
      <c r="D1007">
        <v>0</v>
      </c>
      <c r="E1007">
        <v>0</v>
      </c>
      <c r="F1007" s="1">
        <v>43070</v>
      </c>
      <c r="G1007" t="s">
        <v>10</v>
      </c>
      <c r="H1007" s="1">
        <v>43076</v>
      </c>
      <c r="I1007" t="s">
        <v>34</v>
      </c>
    </row>
    <row r="1008" spans="1:9" x14ac:dyDescent="0.2">
      <c r="A1008" t="s">
        <v>48</v>
      </c>
      <c r="B1008" s="11">
        <v>6.03</v>
      </c>
      <c r="C1008">
        <v>1</v>
      </c>
      <c r="D1008">
        <v>0</v>
      </c>
      <c r="E1008">
        <v>1</v>
      </c>
      <c r="F1008" s="1">
        <v>43070</v>
      </c>
      <c r="G1008" t="s">
        <v>43</v>
      </c>
      <c r="H1008" s="1">
        <v>43084</v>
      </c>
      <c r="I1008" t="s">
        <v>25</v>
      </c>
    </row>
    <row r="1009" spans="1:9" x14ac:dyDescent="0.2">
      <c r="A1009" t="s">
        <v>60</v>
      </c>
      <c r="B1009" s="11">
        <v>50</v>
      </c>
      <c r="C1009">
        <v>1</v>
      </c>
      <c r="D1009">
        <v>0</v>
      </c>
      <c r="E1009">
        <v>1</v>
      </c>
      <c r="F1009" s="1">
        <v>43070</v>
      </c>
      <c r="G1009" t="s">
        <v>43</v>
      </c>
      <c r="H1009" s="1">
        <v>43084</v>
      </c>
      <c r="I1009" t="s">
        <v>61</v>
      </c>
    </row>
    <row r="1010" spans="1:9" x14ac:dyDescent="0.2">
      <c r="A1010" t="s">
        <v>334</v>
      </c>
      <c r="B1010" s="11">
        <v>4</v>
      </c>
      <c r="C1010">
        <v>0</v>
      </c>
      <c r="D1010">
        <v>1</v>
      </c>
      <c r="E1010">
        <v>0</v>
      </c>
      <c r="F1010" s="1">
        <v>43070</v>
      </c>
      <c r="G1010" t="s">
        <v>10</v>
      </c>
      <c r="H1010" s="1">
        <v>43070</v>
      </c>
      <c r="I1010" t="s">
        <v>29</v>
      </c>
    </row>
    <row r="1011" spans="1:9" x14ac:dyDescent="0.2">
      <c r="A1011" t="s">
        <v>227</v>
      </c>
      <c r="B1011" s="11">
        <v>8.5399999999999991</v>
      </c>
      <c r="C1011">
        <v>0</v>
      </c>
      <c r="D1011">
        <v>1</v>
      </c>
      <c r="E1011">
        <v>0</v>
      </c>
      <c r="F1011" s="1">
        <v>43070</v>
      </c>
      <c r="G1011" t="s">
        <v>10</v>
      </c>
      <c r="H1011" s="1">
        <v>43073</v>
      </c>
      <c r="I1011" t="s">
        <v>236</v>
      </c>
    </row>
    <row r="1012" spans="1:9" x14ac:dyDescent="0.2">
      <c r="A1012" t="s">
        <v>467</v>
      </c>
      <c r="B1012" s="11">
        <v>70</v>
      </c>
      <c r="C1012">
        <v>0</v>
      </c>
      <c r="D1012">
        <v>1</v>
      </c>
      <c r="E1012">
        <v>0</v>
      </c>
      <c r="F1012" s="1">
        <v>43070</v>
      </c>
      <c r="G1012" t="s">
        <v>10</v>
      </c>
      <c r="H1012" s="1">
        <v>43073</v>
      </c>
      <c r="I1012" t="s">
        <v>53</v>
      </c>
    </row>
    <row r="1013" spans="1:9" x14ac:dyDescent="0.2">
      <c r="A1013" t="s">
        <v>64</v>
      </c>
      <c r="B1013" s="11">
        <v>50</v>
      </c>
      <c r="C1013">
        <v>0</v>
      </c>
      <c r="D1013">
        <v>1</v>
      </c>
      <c r="E1013">
        <v>0</v>
      </c>
      <c r="F1013" s="1">
        <v>43070</v>
      </c>
      <c r="G1013" t="s">
        <v>10</v>
      </c>
      <c r="H1013" s="1">
        <v>43073</v>
      </c>
      <c r="I1013" t="s">
        <v>64</v>
      </c>
    </row>
    <row r="1014" spans="1:9" x14ac:dyDescent="0.2">
      <c r="A1014" t="s">
        <v>85</v>
      </c>
      <c r="B1014" s="11">
        <v>80</v>
      </c>
      <c r="C1014">
        <v>0</v>
      </c>
      <c r="D1014">
        <v>1</v>
      </c>
      <c r="E1014">
        <v>0</v>
      </c>
      <c r="F1014" s="1">
        <v>43070</v>
      </c>
      <c r="G1014" t="s">
        <v>10</v>
      </c>
      <c r="H1014" s="1">
        <v>43073</v>
      </c>
      <c r="I1014" t="s">
        <v>85</v>
      </c>
    </row>
    <row r="1015" spans="1:9" x14ac:dyDescent="0.2">
      <c r="A1015" t="s">
        <v>41</v>
      </c>
      <c r="B1015" s="11">
        <v>50</v>
      </c>
      <c r="C1015">
        <v>0</v>
      </c>
      <c r="D1015">
        <v>1</v>
      </c>
      <c r="E1015">
        <v>0</v>
      </c>
      <c r="F1015" s="1">
        <v>43070</v>
      </c>
      <c r="G1015" t="s">
        <v>10</v>
      </c>
      <c r="H1015" s="1">
        <v>43073</v>
      </c>
      <c r="I1015" t="s">
        <v>41</v>
      </c>
    </row>
    <row r="1016" spans="1:9" x14ac:dyDescent="0.2">
      <c r="A1016" t="s">
        <v>94</v>
      </c>
      <c r="B1016" s="11">
        <v>5</v>
      </c>
      <c r="C1016">
        <v>0</v>
      </c>
      <c r="D1016">
        <v>1</v>
      </c>
      <c r="E1016">
        <v>0</v>
      </c>
      <c r="F1016" s="1">
        <v>43070</v>
      </c>
      <c r="G1016" t="s">
        <v>10</v>
      </c>
      <c r="H1016" s="1">
        <v>43073</v>
      </c>
      <c r="I1016" t="s">
        <v>94</v>
      </c>
    </row>
    <row r="1017" spans="1:9" x14ac:dyDescent="0.2">
      <c r="A1017" t="s">
        <v>434</v>
      </c>
      <c r="B1017" s="11">
        <v>93.82</v>
      </c>
      <c r="C1017">
        <v>0</v>
      </c>
      <c r="D1017">
        <v>1</v>
      </c>
      <c r="E1017">
        <v>0</v>
      </c>
      <c r="F1017" s="1">
        <v>43070</v>
      </c>
      <c r="G1017" t="s">
        <v>10</v>
      </c>
      <c r="H1017" s="1">
        <v>43074</v>
      </c>
      <c r="I1017" t="s">
        <v>236</v>
      </c>
    </row>
    <row r="1018" spans="1:9" x14ac:dyDescent="0.2">
      <c r="A1018" t="s">
        <v>510</v>
      </c>
      <c r="B1018" s="11">
        <v>5</v>
      </c>
      <c r="C1018">
        <v>0</v>
      </c>
      <c r="D1018">
        <v>1</v>
      </c>
      <c r="E1018">
        <v>0</v>
      </c>
      <c r="F1018" s="1">
        <v>43070</v>
      </c>
      <c r="G1018" t="s">
        <v>10</v>
      </c>
      <c r="H1018" s="1">
        <v>43074</v>
      </c>
      <c r="I1018" t="s">
        <v>29</v>
      </c>
    </row>
    <row r="1019" spans="1:9" x14ac:dyDescent="0.2">
      <c r="A1019" t="s">
        <v>500</v>
      </c>
      <c r="B1019" s="11">
        <v>3.85</v>
      </c>
      <c r="C1019">
        <v>0</v>
      </c>
      <c r="D1019">
        <v>1</v>
      </c>
      <c r="E1019">
        <v>0</v>
      </c>
      <c r="F1019" s="1">
        <v>43070</v>
      </c>
      <c r="G1019" t="s">
        <v>10</v>
      </c>
      <c r="H1019" s="1">
        <v>43074</v>
      </c>
      <c r="I1019" t="s">
        <v>29</v>
      </c>
    </row>
    <row r="1020" spans="1:9" x14ac:dyDescent="0.2">
      <c r="A1020" t="s">
        <v>77</v>
      </c>
      <c r="B1020" s="11">
        <v>4</v>
      </c>
      <c r="C1020">
        <v>0</v>
      </c>
      <c r="D1020">
        <v>1</v>
      </c>
      <c r="E1020">
        <v>0</v>
      </c>
      <c r="F1020" s="1">
        <v>43070</v>
      </c>
      <c r="G1020" t="s">
        <v>10</v>
      </c>
      <c r="H1020" s="1">
        <v>43074</v>
      </c>
      <c r="I1020" t="s">
        <v>29</v>
      </c>
    </row>
    <row r="1021" spans="1:9" x14ac:dyDescent="0.2">
      <c r="A1021" t="s">
        <v>50</v>
      </c>
      <c r="B1021" s="11">
        <v>3</v>
      </c>
      <c r="C1021">
        <v>0</v>
      </c>
      <c r="D1021">
        <v>1</v>
      </c>
      <c r="E1021">
        <v>0</v>
      </c>
      <c r="F1021" s="1">
        <v>43070</v>
      </c>
      <c r="G1021" t="s">
        <v>43</v>
      </c>
      <c r="H1021" s="1">
        <v>43074</v>
      </c>
      <c r="I1021" t="s">
        <v>29</v>
      </c>
    </row>
    <row r="1022" spans="1:9" x14ac:dyDescent="0.2">
      <c r="A1022" t="s">
        <v>337</v>
      </c>
      <c r="B1022" s="11">
        <v>30</v>
      </c>
      <c r="C1022">
        <v>0</v>
      </c>
      <c r="D1022">
        <v>1</v>
      </c>
      <c r="E1022">
        <v>0</v>
      </c>
      <c r="F1022" s="1">
        <v>43070</v>
      </c>
      <c r="G1022" t="s">
        <v>43</v>
      </c>
      <c r="H1022" s="1">
        <v>43074</v>
      </c>
      <c r="I1022" t="s">
        <v>98</v>
      </c>
    </row>
    <row r="1023" spans="1:9" x14ac:dyDescent="0.2">
      <c r="A1023" t="s">
        <v>337</v>
      </c>
      <c r="B1023" s="11">
        <v>2.0099999999999998</v>
      </c>
      <c r="C1023">
        <v>0</v>
      </c>
      <c r="D1023">
        <v>1</v>
      </c>
      <c r="E1023">
        <v>0</v>
      </c>
      <c r="F1023" s="1">
        <v>43070</v>
      </c>
      <c r="G1023" t="s">
        <v>43</v>
      </c>
      <c r="H1023" s="1">
        <v>43074</v>
      </c>
      <c r="I1023" t="s">
        <v>98</v>
      </c>
    </row>
    <row r="1024" spans="1:9" x14ac:dyDescent="0.2">
      <c r="A1024" t="s">
        <v>511</v>
      </c>
      <c r="B1024" s="11">
        <v>7</v>
      </c>
      <c r="C1024">
        <v>0</v>
      </c>
      <c r="D1024">
        <v>1</v>
      </c>
      <c r="E1024">
        <v>0</v>
      </c>
      <c r="F1024" s="1">
        <v>43070</v>
      </c>
      <c r="G1024" t="s">
        <v>43</v>
      </c>
      <c r="H1024" s="1">
        <v>43074</v>
      </c>
      <c r="I1024" t="s">
        <v>53</v>
      </c>
    </row>
    <row r="1025" spans="1:9" x14ac:dyDescent="0.2">
      <c r="A1025" t="s">
        <v>23</v>
      </c>
      <c r="B1025" s="11">
        <v>7.97</v>
      </c>
      <c r="C1025">
        <v>0</v>
      </c>
      <c r="D1025">
        <v>1</v>
      </c>
      <c r="E1025">
        <v>0</v>
      </c>
      <c r="F1025" s="1">
        <v>43070</v>
      </c>
      <c r="G1025" t="s">
        <v>43</v>
      </c>
      <c r="H1025" s="1">
        <v>43074</v>
      </c>
      <c r="I1025" t="s">
        <v>23</v>
      </c>
    </row>
    <row r="1026" spans="1:9" x14ac:dyDescent="0.2">
      <c r="A1026" t="s">
        <v>337</v>
      </c>
      <c r="B1026" s="11">
        <v>9.9</v>
      </c>
      <c r="C1026">
        <v>0</v>
      </c>
      <c r="D1026">
        <v>1</v>
      </c>
      <c r="E1026">
        <v>0</v>
      </c>
      <c r="F1026" s="1">
        <v>43070</v>
      </c>
      <c r="G1026" t="s">
        <v>43</v>
      </c>
      <c r="H1026" s="1">
        <v>43074</v>
      </c>
      <c r="I1026" t="s">
        <v>98</v>
      </c>
    </row>
    <row r="1027" spans="1:9" x14ac:dyDescent="0.2">
      <c r="A1027" t="s">
        <v>23</v>
      </c>
      <c r="B1027" s="11">
        <v>14.49</v>
      </c>
      <c r="C1027">
        <v>0</v>
      </c>
      <c r="D1027">
        <v>1</v>
      </c>
      <c r="E1027">
        <v>0</v>
      </c>
      <c r="F1027" s="1">
        <v>43070</v>
      </c>
      <c r="G1027" t="s">
        <v>43</v>
      </c>
      <c r="H1027" s="1">
        <v>43074</v>
      </c>
      <c r="I1027" t="s">
        <v>23</v>
      </c>
    </row>
    <row r="1028" spans="1:9" x14ac:dyDescent="0.2">
      <c r="A1028" t="s">
        <v>50</v>
      </c>
      <c r="B1028" s="11">
        <v>3</v>
      </c>
      <c r="C1028">
        <v>0</v>
      </c>
      <c r="D1028">
        <v>1</v>
      </c>
      <c r="E1028">
        <v>0</v>
      </c>
      <c r="F1028" s="1">
        <v>43070</v>
      </c>
      <c r="G1028" t="s">
        <v>43</v>
      </c>
      <c r="H1028" s="1">
        <v>43074</v>
      </c>
      <c r="I1028" t="s">
        <v>29</v>
      </c>
    </row>
    <row r="1029" spans="1:9" x14ac:dyDescent="0.2">
      <c r="A1029" t="s">
        <v>512</v>
      </c>
      <c r="B1029" s="11">
        <v>26.97</v>
      </c>
      <c r="C1029">
        <v>0</v>
      </c>
      <c r="D1029">
        <v>1</v>
      </c>
      <c r="E1029">
        <v>0</v>
      </c>
      <c r="F1029" s="1">
        <v>43070</v>
      </c>
      <c r="G1029" t="s">
        <v>43</v>
      </c>
      <c r="H1029" s="1">
        <v>43074</v>
      </c>
      <c r="I1029" t="s">
        <v>29</v>
      </c>
    </row>
    <row r="1030" spans="1:9" x14ac:dyDescent="0.2">
      <c r="A1030" t="s">
        <v>77</v>
      </c>
      <c r="B1030" s="11">
        <v>4</v>
      </c>
      <c r="C1030">
        <v>0</v>
      </c>
      <c r="D1030">
        <v>1</v>
      </c>
      <c r="E1030">
        <v>0</v>
      </c>
      <c r="F1030" s="1">
        <v>43070</v>
      </c>
      <c r="G1030" t="s">
        <v>43</v>
      </c>
      <c r="H1030" s="1">
        <v>43074</v>
      </c>
      <c r="I1030" t="s">
        <v>29</v>
      </c>
    </row>
    <row r="1031" spans="1:9" x14ac:dyDescent="0.2">
      <c r="A1031" t="s">
        <v>513</v>
      </c>
      <c r="B1031" s="11">
        <v>13.3</v>
      </c>
      <c r="C1031">
        <v>0</v>
      </c>
      <c r="D1031">
        <v>1</v>
      </c>
      <c r="E1031">
        <v>0</v>
      </c>
      <c r="F1031" s="1">
        <v>43070</v>
      </c>
      <c r="G1031" t="s">
        <v>43</v>
      </c>
      <c r="H1031" s="1">
        <v>43074</v>
      </c>
      <c r="I1031" t="s">
        <v>29</v>
      </c>
    </row>
    <row r="1032" spans="1:9" x14ac:dyDescent="0.2">
      <c r="A1032" t="s">
        <v>274</v>
      </c>
      <c r="B1032" s="11">
        <v>12</v>
      </c>
      <c r="C1032">
        <v>0</v>
      </c>
      <c r="D1032">
        <v>1</v>
      </c>
      <c r="E1032">
        <v>0</v>
      </c>
      <c r="F1032" s="1">
        <v>43070</v>
      </c>
      <c r="G1032" t="s">
        <v>43</v>
      </c>
      <c r="H1032" s="1">
        <v>43074</v>
      </c>
      <c r="I1032" t="s">
        <v>29</v>
      </c>
    </row>
    <row r="1033" spans="1:9" x14ac:dyDescent="0.2">
      <c r="A1033" t="s">
        <v>85</v>
      </c>
      <c r="B1033" s="11">
        <v>100</v>
      </c>
      <c r="C1033">
        <v>0</v>
      </c>
      <c r="D1033">
        <v>1</v>
      </c>
      <c r="E1033">
        <v>0</v>
      </c>
      <c r="F1033" s="1">
        <v>43070</v>
      </c>
      <c r="G1033" t="s">
        <v>43</v>
      </c>
      <c r="H1033" s="1">
        <v>43078</v>
      </c>
      <c r="I1033" t="s">
        <v>85</v>
      </c>
    </row>
  </sheetData>
  <pageMargins left="0.51180555555555496" right="0.51180555555555496" top="0.78749999999999998" bottom="0.78749999999999998" header="0.51180555555555496" footer="0.51180555555555496"/>
  <pageSetup paperSize="9" firstPageNumber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K379"/>
  <sheetViews>
    <sheetView topLeftCell="A160" zoomScale="80" zoomScaleNormal="80" workbookViewId="0">
      <selection activeCell="B166" sqref="B166"/>
    </sheetView>
  </sheetViews>
  <sheetFormatPr defaultRowHeight="12.75" x14ac:dyDescent="0.2"/>
  <cols>
    <col min="1" max="1" width="47.5703125"/>
    <col min="2" max="2" width="21.7109375"/>
    <col min="3" max="3" width="16.42578125"/>
    <col min="6" max="6" width="26.5703125" style="1"/>
    <col min="7" max="7" width="22"/>
    <col min="8" max="8" width="21.5703125"/>
    <col min="9" max="9" width="23.28515625" style="1"/>
    <col min="10" max="10" width="17.5703125"/>
    <col min="11" max="11" width="16.42578125"/>
    <col min="13" max="13" width="16.42578125"/>
  </cols>
  <sheetData>
    <row r="1" spans="1:11" x14ac:dyDescent="0.2">
      <c r="A1" t="s">
        <v>106</v>
      </c>
      <c r="B1" t="s">
        <v>107</v>
      </c>
      <c r="C1" t="s">
        <v>108</v>
      </c>
      <c r="D1" t="s">
        <v>109</v>
      </c>
      <c r="E1" t="s">
        <v>110</v>
      </c>
      <c r="F1" s="1" t="s">
        <v>111</v>
      </c>
      <c r="G1" t="s">
        <v>112</v>
      </c>
      <c r="H1" t="s">
        <v>113</v>
      </c>
      <c r="I1" s="1" t="s">
        <v>114</v>
      </c>
      <c r="J1" t="s">
        <v>115</v>
      </c>
      <c r="K1" s="1"/>
    </row>
    <row r="2" spans="1:11" x14ac:dyDescent="0.2">
      <c r="A2" s="6" t="s">
        <v>116</v>
      </c>
      <c r="B2" s="7">
        <v>74.900000000000006</v>
      </c>
      <c r="C2">
        <v>0</v>
      </c>
      <c r="D2">
        <v>1</v>
      </c>
      <c r="E2">
        <v>0</v>
      </c>
      <c r="F2" s="1">
        <v>42736</v>
      </c>
      <c r="G2">
        <v>0</v>
      </c>
      <c r="I2" s="8">
        <v>42561</v>
      </c>
      <c r="J2" t="s">
        <v>117</v>
      </c>
    </row>
    <row r="3" spans="1:11" x14ac:dyDescent="0.2">
      <c r="A3" s="6" t="s">
        <v>118</v>
      </c>
      <c r="B3" s="7">
        <v>22.9</v>
      </c>
      <c r="C3">
        <v>0</v>
      </c>
      <c r="D3">
        <v>1</v>
      </c>
      <c r="E3">
        <v>0</v>
      </c>
      <c r="F3" s="1">
        <v>42736</v>
      </c>
      <c r="G3">
        <v>0</v>
      </c>
      <c r="I3" s="8">
        <v>42561</v>
      </c>
      <c r="J3" t="s">
        <v>119</v>
      </c>
    </row>
    <row r="4" spans="1:11" x14ac:dyDescent="0.2">
      <c r="A4" s="6" t="s">
        <v>116</v>
      </c>
      <c r="B4" s="7">
        <v>84.8</v>
      </c>
      <c r="C4">
        <v>0</v>
      </c>
      <c r="D4">
        <v>1</v>
      </c>
      <c r="E4">
        <v>0</v>
      </c>
      <c r="F4" s="1">
        <v>42767</v>
      </c>
      <c r="G4">
        <v>0</v>
      </c>
      <c r="I4" s="8">
        <v>42561</v>
      </c>
      <c r="J4" t="s">
        <v>117</v>
      </c>
    </row>
    <row r="5" spans="1:11" x14ac:dyDescent="0.2">
      <c r="A5" s="6" t="s">
        <v>118</v>
      </c>
      <c r="B5" s="7">
        <v>22.9</v>
      </c>
      <c r="C5">
        <v>0</v>
      </c>
      <c r="D5">
        <v>1</v>
      </c>
      <c r="E5">
        <v>0</v>
      </c>
      <c r="F5" s="1">
        <v>42767</v>
      </c>
      <c r="G5">
        <v>0</v>
      </c>
      <c r="I5" s="8">
        <v>42561</v>
      </c>
      <c r="J5" t="s">
        <v>119</v>
      </c>
    </row>
    <row r="6" spans="1:11" x14ac:dyDescent="0.2">
      <c r="A6" s="6" t="s">
        <v>116</v>
      </c>
      <c r="B6" s="7">
        <v>89.8</v>
      </c>
      <c r="C6">
        <v>0</v>
      </c>
      <c r="D6">
        <v>1</v>
      </c>
      <c r="E6">
        <v>0</v>
      </c>
      <c r="F6" s="1">
        <v>42795</v>
      </c>
      <c r="G6">
        <v>1</v>
      </c>
      <c r="I6" s="8">
        <v>42561</v>
      </c>
      <c r="J6" t="s">
        <v>117</v>
      </c>
      <c r="K6" s="7">
        <v>74.900000000000006</v>
      </c>
    </row>
    <row r="7" spans="1:11" x14ac:dyDescent="0.2">
      <c r="A7" s="6" t="s">
        <v>118</v>
      </c>
      <c r="B7" s="7">
        <v>22.9</v>
      </c>
      <c r="C7">
        <v>0</v>
      </c>
      <c r="D7">
        <v>1</v>
      </c>
      <c r="E7">
        <v>0</v>
      </c>
      <c r="F7" s="1">
        <v>42795</v>
      </c>
      <c r="G7">
        <v>1</v>
      </c>
      <c r="I7" s="8">
        <v>42788</v>
      </c>
      <c r="J7" t="s">
        <v>119</v>
      </c>
    </row>
    <row r="8" spans="1:11" x14ac:dyDescent="0.2">
      <c r="A8" s="6" t="s">
        <v>118</v>
      </c>
      <c r="B8" s="7">
        <v>22.9</v>
      </c>
      <c r="C8">
        <v>0</v>
      </c>
      <c r="D8">
        <v>1</v>
      </c>
      <c r="E8">
        <v>0</v>
      </c>
      <c r="F8" s="1">
        <v>42795</v>
      </c>
      <c r="G8">
        <v>1</v>
      </c>
      <c r="I8" s="8">
        <v>42816</v>
      </c>
      <c r="J8" t="s">
        <v>119</v>
      </c>
    </row>
    <row r="9" spans="1:11" x14ac:dyDescent="0.2">
      <c r="A9" s="6" t="s">
        <v>120</v>
      </c>
      <c r="B9">
        <v>744.8</v>
      </c>
      <c r="C9">
        <v>0</v>
      </c>
      <c r="D9">
        <v>1</v>
      </c>
      <c r="E9">
        <v>0</v>
      </c>
      <c r="F9" s="1">
        <v>42736</v>
      </c>
      <c r="G9">
        <v>0</v>
      </c>
      <c r="I9" s="1">
        <v>42658</v>
      </c>
      <c r="J9" t="s">
        <v>27</v>
      </c>
    </row>
    <row r="10" spans="1:11" x14ac:dyDescent="0.2">
      <c r="A10" s="6" t="s">
        <v>121</v>
      </c>
      <c r="B10">
        <v>744.8</v>
      </c>
      <c r="C10">
        <v>0</v>
      </c>
      <c r="D10">
        <v>1</v>
      </c>
      <c r="E10">
        <v>0</v>
      </c>
      <c r="F10" s="1">
        <v>42767</v>
      </c>
      <c r="G10">
        <v>0</v>
      </c>
      <c r="I10" s="1">
        <v>42658</v>
      </c>
      <c r="J10" t="s">
        <v>27</v>
      </c>
    </row>
    <row r="11" spans="1:11" x14ac:dyDescent="0.2">
      <c r="A11" s="6" t="s">
        <v>122</v>
      </c>
      <c r="B11">
        <v>744.8</v>
      </c>
      <c r="C11">
        <v>0</v>
      </c>
      <c r="D11">
        <v>1</v>
      </c>
      <c r="E11">
        <v>0</v>
      </c>
      <c r="F11" s="1">
        <v>42795</v>
      </c>
      <c r="G11">
        <v>1</v>
      </c>
      <c r="I11" s="1">
        <v>42658</v>
      </c>
      <c r="J11" t="s">
        <v>27</v>
      </c>
    </row>
    <row r="12" spans="1:11" x14ac:dyDescent="0.2">
      <c r="A12" s="6" t="s">
        <v>123</v>
      </c>
      <c r="B12">
        <v>109.78</v>
      </c>
      <c r="C12">
        <v>0</v>
      </c>
      <c r="D12">
        <v>1</v>
      </c>
      <c r="E12">
        <v>0</v>
      </c>
      <c r="F12" s="1">
        <v>42736</v>
      </c>
      <c r="G12">
        <v>0</v>
      </c>
      <c r="I12" s="1">
        <v>42675</v>
      </c>
      <c r="J12" t="s">
        <v>64</v>
      </c>
    </row>
    <row r="13" spans="1:11" x14ac:dyDescent="0.2">
      <c r="A13" s="6" t="s">
        <v>124</v>
      </c>
      <c r="B13">
        <v>109.78</v>
      </c>
      <c r="C13">
        <v>0</v>
      </c>
      <c r="D13">
        <v>1</v>
      </c>
      <c r="E13">
        <v>0</v>
      </c>
      <c r="F13" s="1">
        <v>42767</v>
      </c>
      <c r="G13">
        <v>0</v>
      </c>
      <c r="I13" s="1">
        <v>42675</v>
      </c>
      <c r="J13" t="s">
        <v>64</v>
      </c>
    </row>
    <row r="14" spans="1:11" x14ac:dyDescent="0.2">
      <c r="A14" s="6" t="s">
        <v>125</v>
      </c>
      <c r="B14">
        <v>109.78</v>
      </c>
      <c r="C14">
        <v>0</v>
      </c>
      <c r="D14">
        <v>1</v>
      </c>
      <c r="E14">
        <v>0</v>
      </c>
      <c r="F14" s="1">
        <v>42795</v>
      </c>
      <c r="G14">
        <v>1</v>
      </c>
      <c r="I14" s="1">
        <v>42675</v>
      </c>
      <c r="J14" t="s">
        <v>64</v>
      </c>
    </row>
    <row r="15" spans="1:11" x14ac:dyDescent="0.2">
      <c r="A15" s="6" t="s">
        <v>126</v>
      </c>
      <c r="B15">
        <v>82.61</v>
      </c>
      <c r="C15">
        <v>0</v>
      </c>
      <c r="D15">
        <v>1</v>
      </c>
      <c r="E15">
        <v>0</v>
      </c>
      <c r="F15" s="1">
        <v>42736</v>
      </c>
      <c r="G15">
        <v>0</v>
      </c>
      <c r="I15" s="1">
        <v>42703</v>
      </c>
      <c r="J15" t="s">
        <v>23</v>
      </c>
    </row>
    <row r="16" spans="1:11" x14ac:dyDescent="0.2">
      <c r="A16" s="6" t="s">
        <v>127</v>
      </c>
      <c r="B16">
        <v>30</v>
      </c>
      <c r="C16">
        <v>0</v>
      </c>
      <c r="D16">
        <v>1</v>
      </c>
      <c r="E16">
        <v>0</v>
      </c>
      <c r="F16" s="1">
        <v>42736</v>
      </c>
      <c r="G16">
        <v>0</v>
      </c>
      <c r="I16" s="1">
        <v>42706</v>
      </c>
      <c r="J16" t="s">
        <v>27</v>
      </c>
    </row>
    <row r="17" spans="1:10" x14ac:dyDescent="0.2">
      <c r="A17" s="6" t="s">
        <v>128</v>
      </c>
      <c r="B17">
        <v>50</v>
      </c>
      <c r="C17">
        <v>0</v>
      </c>
      <c r="D17">
        <v>1</v>
      </c>
      <c r="E17">
        <v>0</v>
      </c>
      <c r="F17" s="1">
        <v>42736</v>
      </c>
      <c r="G17">
        <v>0</v>
      </c>
      <c r="I17" s="1">
        <v>42707</v>
      </c>
      <c r="J17" t="s">
        <v>53</v>
      </c>
    </row>
    <row r="18" spans="1:10" x14ac:dyDescent="0.2">
      <c r="A18" s="6" t="s">
        <v>129</v>
      </c>
      <c r="B18">
        <v>38</v>
      </c>
      <c r="C18">
        <v>0</v>
      </c>
      <c r="D18">
        <v>1</v>
      </c>
      <c r="E18">
        <v>0</v>
      </c>
      <c r="F18" s="1">
        <v>42736</v>
      </c>
      <c r="G18">
        <v>0</v>
      </c>
      <c r="I18" s="1">
        <v>42707</v>
      </c>
      <c r="J18" t="s">
        <v>53</v>
      </c>
    </row>
    <row r="19" spans="1:10" x14ac:dyDescent="0.2">
      <c r="A19" s="6" t="s">
        <v>130</v>
      </c>
      <c r="B19">
        <v>9.75</v>
      </c>
      <c r="C19">
        <v>0</v>
      </c>
      <c r="D19">
        <v>1</v>
      </c>
      <c r="E19">
        <v>0</v>
      </c>
      <c r="F19" s="1">
        <v>42736</v>
      </c>
      <c r="G19">
        <v>0</v>
      </c>
      <c r="I19" s="1">
        <v>42707</v>
      </c>
      <c r="J19" t="s">
        <v>53</v>
      </c>
    </row>
    <row r="20" spans="1:10" x14ac:dyDescent="0.2">
      <c r="A20" s="6" t="s">
        <v>131</v>
      </c>
      <c r="B20">
        <v>50</v>
      </c>
      <c r="C20">
        <v>0</v>
      </c>
      <c r="D20">
        <v>1</v>
      </c>
      <c r="E20">
        <v>0</v>
      </c>
      <c r="F20" s="1">
        <v>42736</v>
      </c>
      <c r="G20">
        <v>0</v>
      </c>
      <c r="I20" s="1">
        <v>42709</v>
      </c>
      <c r="J20" t="s">
        <v>27</v>
      </c>
    </row>
    <row r="21" spans="1:10" x14ac:dyDescent="0.2">
      <c r="A21" s="6" t="s">
        <v>132</v>
      </c>
      <c r="B21">
        <v>100</v>
      </c>
      <c r="C21">
        <v>0</v>
      </c>
      <c r="D21">
        <v>1</v>
      </c>
      <c r="E21">
        <v>0</v>
      </c>
      <c r="F21" s="1">
        <v>42736</v>
      </c>
      <c r="G21">
        <v>0</v>
      </c>
      <c r="I21" s="1">
        <v>42709</v>
      </c>
      <c r="J21" t="s">
        <v>53</v>
      </c>
    </row>
    <row r="22" spans="1:10" x14ac:dyDescent="0.2">
      <c r="A22" s="6" t="s">
        <v>133</v>
      </c>
      <c r="B22">
        <v>100</v>
      </c>
      <c r="C22">
        <v>0</v>
      </c>
      <c r="D22">
        <v>1</v>
      </c>
      <c r="E22">
        <v>0</v>
      </c>
      <c r="F22" s="1">
        <v>42767</v>
      </c>
      <c r="G22">
        <v>0</v>
      </c>
      <c r="I22" s="1">
        <v>42709</v>
      </c>
      <c r="J22" t="s">
        <v>53</v>
      </c>
    </row>
    <row r="23" spans="1:10" x14ac:dyDescent="0.2">
      <c r="A23" s="6" t="s">
        <v>134</v>
      </c>
      <c r="B23">
        <v>199.98</v>
      </c>
      <c r="C23">
        <v>0</v>
      </c>
      <c r="D23">
        <v>1</v>
      </c>
      <c r="E23">
        <v>0</v>
      </c>
      <c r="F23" s="1">
        <v>42736</v>
      </c>
      <c r="G23">
        <v>0</v>
      </c>
      <c r="I23" s="1">
        <v>42710</v>
      </c>
      <c r="J23" t="s">
        <v>53</v>
      </c>
    </row>
    <row r="24" spans="1:10" x14ac:dyDescent="0.2">
      <c r="A24" s="6" t="s">
        <v>126</v>
      </c>
      <c r="B24">
        <v>139.16999999999999</v>
      </c>
      <c r="C24">
        <v>0</v>
      </c>
      <c r="D24">
        <v>1</v>
      </c>
      <c r="E24">
        <v>0</v>
      </c>
      <c r="F24" s="1">
        <v>42736</v>
      </c>
      <c r="G24">
        <v>0</v>
      </c>
      <c r="I24" s="1">
        <v>42710</v>
      </c>
      <c r="J24" t="s">
        <v>23</v>
      </c>
    </row>
    <row r="25" spans="1:10" x14ac:dyDescent="0.2">
      <c r="A25" s="6" t="s">
        <v>135</v>
      </c>
      <c r="B25">
        <v>1.99</v>
      </c>
      <c r="C25">
        <v>0</v>
      </c>
      <c r="D25">
        <v>1</v>
      </c>
      <c r="E25">
        <v>0</v>
      </c>
      <c r="F25" s="1">
        <v>42736</v>
      </c>
      <c r="G25">
        <v>0</v>
      </c>
      <c r="I25" s="1">
        <v>42711</v>
      </c>
      <c r="J25" t="s">
        <v>53</v>
      </c>
    </row>
    <row r="26" spans="1:10" x14ac:dyDescent="0.2">
      <c r="A26" s="6" t="s">
        <v>136</v>
      </c>
      <c r="B26">
        <v>167.35</v>
      </c>
      <c r="C26">
        <v>0</v>
      </c>
      <c r="D26">
        <v>1</v>
      </c>
      <c r="E26">
        <v>0</v>
      </c>
      <c r="F26" s="1">
        <v>42736</v>
      </c>
      <c r="G26">
        <v>0</v>
      </c>
      <c r="I26" s="1">
        <v>42712</v>
      </c>
      <c r="J26" t="s">
        <v>27</v>
      </c>
    </row>
    <row r="27" spans="1:10" x14ac:dyDescent="0.2">
      <c r="A27" s="6" t="s">
        <v>137</v>
      </c>
      <c r="B27">
        <v>144.76</v>
      </c>
      <c r="C27">
        <v>0</v>
      </c>
      <c r="D27">
        <v>1</v>
      </c>
      <c r="E27">
        <v>0</v>
      </c>
      <c r="F27" s="1">
        <v>42736</v>
      </c>
      <c r="G27">
        <v>0</v>
      </c>
      <c r="I27" s="1">
        <v>42714</v>
      </c>
      <c r="J27" t="s">
        <v>138</v>
      </c>
    </row>
    <row r="28" spans="1:10" x14ac:dyDescent="0.2">
      <c r="A28" s="6" t="s">
        <v>139</v>
      </c>
      <c r="B28">
        <v>35.08</v>
      </c>
      <c r="C28">
        <v>0</v>
      </c>
      <c r="D28">
        <v>1</v>
      </c>
      <c r="E28">
        <v>0</v>
      </c>
      <c r="F28" s="1">
        <v>42736</v>
      </c>
      <c r="G28">
        <v>0</v>
      </c>
      <c r="I28" s="1">
        <v>42715</v>
      </c>
      <c r="J28" t="s">
        <v>29</v>
      </c>
    </row>
    <row r="29" spans="1:10" x14ac:dyDescent="0.2">
      <c r="A29" s="6" t="s">
        <v>140</v>
      </c>
      <c r="B29">
        <v>79.680000000000007</v>
      </c>
      <c r="C29">
        <v>0</v>
      </c>
      <c r="D29">
        <v>1</v>
      </c>
      <c r="E29">
        <v>0</v>
      </c>
      <c r="F29" s="1">
        <v>42736</v>
      </c>
      <c r="G29">
        <v>0</v>
      </c>
      <c r="I29" s="1">
        <v>42715</v>
      </c>
      <c r="J29" t="s">
        <v>23</v>
      </c>
    </row>
    <row r="30" spans="1:10" x14ac:dyDescent="0.2">
      <c r="A30" s="6" t="s">
        <v>141</v>
      </c>
      <c r="B30">
        <v>20</v>
      </c>
      <c r="C30">
        <v>0</v>
      </c>
      <c r="D30">
        <v>1</v>
      </c>
      <c r="E30">
        <v>0</v>
      </c>
      <c r="F30" s="1">
        <v>42736</v>
      </c>
      <c r="G30">
        <v>0</v>
      </c>
      <c r="I30" s="1">
        <v>42716</v>
      </c>
      <c r="J30" t="s">
        <v>29</v>
      </c>
    </row>
    <row r="31" spans="1:10" x14ac:dyDescent="0.2">
      <c r="A31" s="6" t="s">
        <v>142</v>
      </c>
      <c r="B31">
        <v>19.399999999999999</v>
      </c>
      <c r="C31">
        <v>0</v>
      </c>
      <c r="D31">
        <v>1</v>
      </c>
      <c r="E31">
        <v>0</v>
      </c>
      <c r="F31" s="1">
        <v>42736</v>
      </c>
      <c r="G31">
        <v>0</v>
      </c>
      <c r="I31" s="1">
        <v>42717</v>
      </c>
      <c r="J31" t="s">
        <v>53</v>
      </c>
    </row>
    <row r="32" spans="1:10" x14ac:dyDescent="0.2">
      <c r="A32" s="6" t="s">
        <v>143</v>
      </c>
      <c r="B32">
        <v>25</v>
      </c>
      <c r="C32">
        <v>0</v>
      </c>
      <c r="D32">
        <v>1</v>
      </c>
      <c r="E32">
        <v>0</v>
      </c>
      <c r="F32" s="1">
        <v>42736</v>
      </c>
      <c r="G32">
        <v>0</v>
      </c>
      <c r="I32" s="1">
        <v>42717</v>
      </c>
      <c r="J32" t="s">
        <v>53</v>
      </c>
    </row>
    <row r="33" spans="1:10" x14ac:dyDescent="0.2">
      <c r="A33" s="6" t="s">
        <v>126</v>
      </c>
      <c r="B33">
        <v>130.76</v>
      </c>
      <c r="C33">
        <v>0</v>
      </c>
      <c r="D33">
        <v>1</v>
      </c>
      <c r="E33">
        <v>0</v>
      </c>
      <c r="F33" s="1">
        <v>42736</v>
      </c>
      <c r="G33">
        <v>0</v>
      </c>
      <c r="I33" s="1">
        <v>42717</v>
      </c>
      <c r="J33" t="s">
        <v>23</v>
      </c>
    </row>
    <row r="34" spans="1:10" x14ac:dyDescent="0.2">
      <c r="A34" s="6" t="s">
        <v>144</v>
      </c>
      <c r="B34">
        <v>133.99</v>
      </c>
      <c r="C34">
        <v>0</v>
      </c>
      <c r="D34">
        <v>1</v>
      </c>
      <c r="E34">
        <v>0</v>
      </c>
      <c r="F34" s="1">
        <v>42736</v>
      </c>
      <c r="G34">
        <v>0</v>
      </c>
      <c r="I34" s="1">
        <v>42717</v>
      </c>
      <c r="J34" t="s">
        <v>53</v>
      </c>
    </row>
    <row r="35" spans="1:10" x14ac:dyDescent="0.2">
      <c r="A35" s="6" t="s">
        <v>145</v>
      </c>
      <c r="B35">
        <v>133.99</v>
      </c>
      <c r="C35">
        <v>0</v>
      </c>
      <c r="D35">
        <v>1</v>
      </c>
      <c r="E35">
        <v>0</v>
      </c>
      <c r="F35" s="1">
        <v>42767</v>
      </c>
      <c r="G35">
        <v>0</v>
      </c>
      <c r="I35" s="1">
        <v>42717</v>
      </c>
      <c r="J35" t="s">
        <v>53</v>
      </c>
    </row>
    <row r="36" spans="1:10" x14ac:dyDescent="0.2">
      <c r="A36" s="6" t="s">
        <v>146</v>
      </c>
      <c r="B36">
        <v>298.99</v>
      </c>
      <c r="C36">
        <v>0</v>
      </c>
      <c r="D36">
        <v>1</v>
      </c>
      <c r="E36">
        <v>0</v>
      </c>
      <c r="F36" s="1">
        <v>42736</v>
      </c>
      <c r="G36">
        <v>0</v>
      </c>
      <c r="I36" s="1">
        <v>42718</v>
      </c>
      <c r="J36" t="s">
        <v>53</v>
      </c>
    </row>
    <row r="37" spans="1:10" x14ac:dyDescent="0.2">
      <c r="A37" s="6" t="s">
        <v>147</v>
      </c>
      <c r="B37">
        <v>298.99</v>
      </c>
      <c r="C37">
        <v>0</v>
      </c>
      <c r="D37">
        <v>1</v>
      </c>
      <c r="E37">
        <v>0</v>
      </c>
      <c r="F37" s="1">
        <v>42767</v>
      </c>
      <c r="G37">
        <v>0</v>
      </c>
      <c r="I37" s="1">
        <v>42718</v>
      </c>
      <c r="J37" t="s">
        <v>53</v>
      </c>
    </row>
    <row r="38" spans="1:10" x14ac:dyDescent="0.2">
      <c r="A38" s="6" t="s">
        <v>148</v>
      </c>
      <c r="B38">
        <v>200</v>
      </c>
      <c r="C38">
        <v>0</v>
      </c>
      <c r="D38">
        <v>1</v>
      </c>
      <c r="E38">
        <v>0</v>
      </c>
      <c r="F38" s="1">
        <v>42736</v>
      </c>
      <c r="G38">
        <v>0</v>
      </c>
      <c r="I38" s="1">
        <v>42721</v>
      </c>
      <c r="J38" t="s">
        <v>149</v>
      </c>
    </row>
    <row r="39" spans="1:10" x14ac:dyDescent="0.2">
      <c r="A39" s="6" t="s">
        <v>150</v>
      </c>
      <c r="B39">
        <v>120</v>
      </c>
      <c r="C39">
        <v>0</v>
      </c>
      <c r="D39">
        <v>1</v>
      </c>
      <c r="E39">
        <v>0</v>
      </c>
      <c r="F39" s="1">
        <v>42736</v>
      </c>
      <c r="G39">
        <v>0</v>
      </c>
      <c r="I39" s="1">
        <v>42721</v>
      </c>
      <c r="J39" t="s">
        <v>27</v>
      </c>
    </row>
    <row r="40" spans="1:10" x14ac:dyDescent="0.2">
      <c r="A40" s="6" t="s">
        <v>92</v>
      </c>
      <c r="B40">
        <v>332.7</v>
      </c>
      <c r="C40">
        <v>0</v>
      </c>
      <c r="D40">
        <v>1</v>
      </c>
      <c r="E40">
        <v>0</v>
      </c>
      <c r="F40" s="1">
        <v>42736</v>
      </c>
      <c r="G40">
        <v>0</v>
      </c>
      <c r="I40" s="1">
        <v>42721</v>
      </c>
      <c r="J40" t="s">
        <v>138</v>
      </c>
    </row>
    <row r="41" spans="1:10" x14ac:dyDescent="0.2">
      <c r="A41" s="6" t="s">
        <v>151</v>
      </c>
      <c r="B41">
        <v>18.510000000000002</v>
      </c>
      <c r="C41">
        <v>0</v>
      </c>
      <c r="D41">
        <v>1</v>
      </c>
      <c r="E41">
        <v>0</v>
      </c>
      <c r="F41" s="1">
        <v>42736</v>
      </c>
      <c r="G41">
        <v>0</v>
      </c>
      <c r="I41" s="1">
        <v>42721</v>
      </c>
      <c r="J41" t="s">
        <v>66</v>
      </c>
    </row>
    <row r="42" spans="1:10" x14ac:dyDescent="0.2">
      <c r="A42" t="s">
        <v>152</v>
      </c>
      <c r="B42">
        <v>21.3</v>
      </c>
      <c r="C42">
        <v>0</v>
      </c>
      <c r="D42">
        <v>1</v>
      </c>
      <c r="E42">
        <v>0</v>
      </c>
      <c r="F42" s="1">
        <v>42736</v>
      </c>
      <c r="G42">
        <v>0</v>
      </c>
      <c r="I42" s="1">
        <v>42721</v>
      </c>
      <c r="J42" t="s">
        <v>29</v>
      </c>
    </row>
    <row r="43" spans="1:10" x14ac:dyDescent="0.2">
      <c r="A43" s="6" t="s">
        <v>153</v>
      </c>
      <c r="B43">
        <v>120</v>
      </c>
      <c r="C43">
        <v>0</v>
      </c>
      <c r="D43">
        <v>1</v>
      </c>
      <c r="E43">
        <v>0</v>
      </c>
      <c r="F43" s="1">
        <v>42767</v>
      </c>
      <c r="G43">
        <v>0</v>
      </c>
      <c r="I43" s="1">
        <v>42721</v>
      </c>
      <c r="J43" t="s">
        <v>27</v>
      </c>
    </row>
    <row r="44" spans="1:10" x14ac:dyDescent="0.2">
      <c r="A44" s="6" t="s">
        <v>154</v>
      </c>
      <c r="B44">
        <v>200</v>
      </c>
      <c r="C44">
        <v>0</v>
      </c>
      <c r="D44">
        <v>1</v>
      </c>
      <c r="E44">
        <v>0</v>
      </c>
      <c r="F44" s="1">
        <v>42767</v>
      </c>
      <c r="G44">
        <v>0</v>
      </c>
      <c r="I44" s="1">
        <v>42721</v>
      </c>
      <c r="J44" t="s">
        <v>149</v>
      </c>
    </row>
    <row r="45" spans="1:10" x14ac:dyDescent="0.2">
      <c r="A45" s="6" t="s">
        <v>155</v>
      </c>
      <c r="B45">
        <v>31</v>
      </c>
      <c r="C45">
        <v>0</v>
      </c>
      <c r="D45">
        <v>1</v>
      </c>
      <c r="E45">
        <v>0</v>
      </c>
      <c r="F45" s="1">
        <v>42736</v>
      </c>
      <c r="G45">
        <v>0</v>
      </c>
      <c r="I45" s="1">
        <v>42723</v>
      </c>
      <c r="J45" t="s">
        <v>61</v>
      </c>
    </row>
    <row r="46" spans="1:10" x14ac:dyDescent="0.2">
      <c r="A46" s="6" t="s">
        <v>45</v>
      </c>
      <c r="B46">
        <v>2.9</v>
      </c>
      <c r="C46">
        <v>0</v>
      </c>
      <c r="D46">
        <v>1</v>
      </c>
      <c r="E46">
        <v>0</v>
      </c>
      <c r="F46" s="1">
        <v>42736</v>
      </c>
      <c r="G46">
        <v>0</v>
      </c>
      <c r="I46" s="1">
        <v>42725</v>
      </c>
      <c r="J46" t="s">
        <v>29</v>
      </c>
    </row>
    <row r="47" spans="1:10" x14ac:dyDescent="0.2">
      <c r="A47" s="6" t="s">
        <v>156</v>
      </c>
      <c r="B47">
        <v>22.51</v>
      </c>
      <c r="C47">
        <v>0</v>
      </c>
      <c r="D47">
        <v>1</v>
      </c>
      <c r="E47">
        <v>0</v>
      </c>
      <c r="F47" s="1">
        <v>42736</v>
      </c>
      <c r="G47">
        <v>0</v>
      </c>
      <c r="I47" s="1">
        <v>42726</v>
      </c>
      <c r="J47" t="s">
        <v>76</v>
      </c>
    </row>
    <row r="48" spans="1:10" x14ac:dyDescent="0.2">
      <c r="A48" s="6" t="s">
        <v>157</v>
      </c>
      <c r="B48">
        <v>102.7</v>
      </c>
      <c r="C48">
        <v>0</v>
      </c>
      <c r="D48">
        <v>1</v>
      </c>
      <c r="E48">
        <v>0</v>
      </c>
      <c r="F48" s="1">
        <v>42736</v>
      </c>
      <c r="G48">
        <v>0</v>
      </c>
      <c r="I48" s="1">
        <v>42727</v>
      </c>
      <c r="J48" t="s">
        <v>158</v>
      </c>
    </row>
    <row r="49" spans="1:10" x14ac:dyDescent="0.2">
      <c r="A49" s="6" t="s">
        <v>159</v>
      </c>
      <c r="B49">
        <v>64.73</v>
      </c>
      <c r="C49">
        <v>0</v>
      </c>
      <c r="D49">
        <v>1</v>
      </c>
      <c r="E49">
        <v>0</v>
      </c>
      <c r="F49" s="1">
        <v>42736</v>
      </c>
      <c r="G49">
        <v>0</v>
      </c>
      <c r="I49" s="1">
        <v>42727</v>
      </c>
      <c r="J49" t="s">
        <v>23</v>
      </c>
    </row>
    <row r="50" spans="1:10" x14ac:dyDescent="0.2">
      <c r="A50" s="6" t="s">
        <v>160</v>
      </c>
      <c r="B50">
        <v>102.7</v>
      </c>
      <c r="C50">
        <v>0</v>
      </c>
      <c r="D50">
        <v>1</v>
      </c>
      <c r="E50">
        <v>0</v>
      </c>
      <c r="F50" s="1">
        <v>42736</v>
      </c>
      <c r="G50">
        <v>0</v>
      </c>
      <c r="I50" s="1">
        <v>42727</v>
      </c>
      <c r="J50" t="s">
        <v>158</v>
      </c>
    </row>
    <row r="51" spans="1:10" x14ac:dyDescent="0.2">
      <c r="A51" t="s">
        <v>161</v>
      </c>
      <c r="B51">
        <v>14.28</v>
      </c>
      <c r="C51">
        <v>0</v>
      </c>
      <c r="D51">
        <v>1</v>
      </c>
      <c r="E51">
        <v>0</v>
      </c>
      <c r="F51" s="1">
        <v>42736</v>
      </c>
      <c r="G51">
        <v>0</v>
      </c>
      <c r="I51" s="1">
        <v>42727</v>
      </c>
      <c r="J51" t="s">
        <v>98</v>
      </c>
    </row>
    <row r="52" spans="1:10" x14ac:dyDescent="0.2">
      <c r="A52" s="6" t="s">
        <v>162</v>
      </c>
      <c r="B52">
        <v>102.7</v>
      </c>
      <c r="C52">
        <v>0</v>
      </c>
      <c r="D52">
        <v>1</v>
      </c>
      <c r="E52">
        <v>0</v>
      </c>
      <c r="F52" s="1">
        <v>42767</v>
      </c>
      <c r="G52">
        <v>0</v>
      </c>
      <c r="I52" s="1">
        <v>42727</v>
      </c>
      <c r="J52" t="s">
        <v>158</v>
      </c>
    </row>
    <row r="53" spans="1:10" x14ac:dyDescent="0.2">
      <c r="A53" s="6" t="s">
        <v>163</v>
      </c>
      <c r="B53">
        <v>43.01</v>
      </c>
      <c r="C53">
        <v>0</v>
      </c>
      <c r="D53">
        <v>1</v>
      </c>
      <c r="E53">
        <v>0</v>
      </c>
      <c r="F53" s="1">
        <v>42736</v>
      </c>
      <c r="G53">
        <v>0</v>
      </c>
      <c r="I53" s="1">
        <v>42728</v>
      </c>
      <c r="J53" t="s">
        <v>66</v>
      </c>
    </row>
    <row r="54" spans="1:10" x14ac:dyDescent="0.2">
      <c r="A54" s="6" t="s">
        <v>163</v>
      </c>
      <c r="B54">
        <v>5.2</v>
      </c>
      <c r="C54">
        <v>0</v>
      </c>
      <c r="D54">
        <v>1</v>
      </c>
      <c r="E54">
        <v>0</v>
      </c>
      <c r="F54" s="1">
        <v>42736</v>
      </c>
      <c r="G54">
        <v>0</v>
      </c>
      <c r="I54" s="1">
        <v>42728</v>
      </c>
      <c r="J54" t="s">
        <v>66</v>
      </c>
    </row>
    <row r="55" spans="1:10" x14ac:dyDescent="0.2">
      <c r="A55" s="6" t="s">
        <v>164</v>
      </c>
      <c r="B55">
        <v>42.61</v>
      </c>
      <c r="C55">
        <v>0</v>
      </c>
      <c r="D55">
        <v>1</v>
      </c>
      <c r="E55">
        <v>0</v>
      </c>
      <c r="F55" s="1">
        <v>42736</v>
      </c>
      <c r="G55">
        <v>0</v>
      </c>
      <c r="I55" s="1">
        <v>42728</v>
      </c>
      <c r="J55" t="s">
        <v>23</v>
      </c>
    </row>
    <row r="56" spans="1:10" x14ac:dyDescent="0.2">
      <c r="A56" s="6" t="s">
        <v>165</v>
      </c>
      <c r="B56">
        <v>70</v>
      </c>
      <c r="C56">
        <v>0</v>
      </c>
      <c r="D56">
        <v>1</v>
      </c>
      <c r="E56">
        <v>0</v>
      </c>
      <c r="F56" s="1">
        <v>42736</v>
      </c>
      <c r="G56">
        <v>0</v>
      </c>
      <c r="I56" s="1">
        <v>42728</v>
      </c>
      <c r="J56" t="s">
        <v>41</v>
      </c>
    </row>
    <row r="57" spans="1:10" x14ac:dyDescent="0.2">
      <c r="A57" s="6" t="s">
        <v>166</v>
      </c>
      <c r="B57">
        <v>5.03</v>
      </c>
      <c r="C57">
        <v>0</v>
      </c>
      <c r="D57">
        <v>1</v>
      </c>
      <c r="E57">
        <v>0</v>
      </c>
      <c r="F57" s="1">
        <v>42736</v>
      </c>
      <c r="G57">
        <v>0</v>
      </c>
      <c r="I57" s="1">
        <v>42729</v>
      </c>
      <c r="J57" t="s">
        <v>66</v>
      </c>
    </row>
    <row r="58" spans="1:10" x14ac:dyDescent="0.2">
      <c r="A58" s="6" t="s">
        <v>126</v>
      </c>
      <c r="B58">
        <v>20</v>
      </c>
      <c r="C58">
        <v>0</v>
      </c>
      <c r="D58">
        <v>1</v>
      </c>
      <c r="E58">
        <v>0</v>
      </c>
      <c r="F58" s="1">
        <v>42736</v>
      </c>
      <c r="G58">
        <v>0</v>
      </c>
      <c r="I58" s="1">
        <v>42731</v>
      </c>
      <c r="J58" t="s">
        <v>23</v>
      </c>
    </row>
    <row r="59" spans="1:10" x14ac:dyDescent="0.2">
      <c r="A59" s="6" t="s">
        <v>167</v>
      </c>
      <c r="B59">
        <v>105.69</v>
      </c>
      <c r="C59">
        <v>0</v>
      </c>
      <c r="D59">
        <v>1</v>
      </c>
      <c r="E59">
        <v>0</v>
      </c>
      <c r="F59" s="1">
        <v>42795</v>
      </c>
      <c r="G59">
        <v>1</v>
      </c>
      <c r="I59" s="1">
        <v>42738</v>
      </c>
      <c r="J59" t="s">
        <v>53</v>
      </c>
    </row>
    <row r="60" spans="1:10" x14ac:dyDescent="0.2">
      <c r="A60" s="6" t="s">
        <v>168</v>
      </c>
      <c r="B60">
        <v>13.8</v>
      </c>
      <c r="C60">
        <v>0</v>
      </c>
      <c r="D60">
        <v>1</v>
      </c>
      <c r="E60">
        <v>0</v>
      </c>
      <c r="F60" s="1">
        <v>42767</v>
      </c>
      <c r="G60">
        <v>0</v>
      </c>
      <c r="I60" s="1">
        <v>42740</v>
      </c>
      <c r="J60" t="s">
        <v>34</v>
      </c>
    </row>
    <row r="61" spans="1:10" x14ac:dyDescent="0.2">
      <c r="A61" s="6" t="s">
        <v>126</v>
      </c>
      <c r="B61">
        <v>233.86</v>
      </c>
      <c r="C61">
        <v>0</v>
      </c>
      <c r="D61">
        <v>1</v>
      </c>
      <c r="E61">
        <v>0</v>
      </c>
      <c r="F61" s="1">
        <v>42767</v>
      </c>
      <c r="G61">
        <v>0</v>
      </c>
      <c r="I61" s="1">
        <v>42740</v>
      </c>
      <c r="J61" t="s">
        <v>23</v>
      </c>
    </row>
    <row r="62" spans="1:10" x14ac:dyDescent="0.2">
      <c r="A62" s="6" t="s">
        <v>169</v>
      </c>
      <c r="B62">
        <v>13</v>
      </c>
      <c r="C62">
        <v>0</v>
      </c>
      <c r="D62">
        <v>1</v>
      </c>
      <c r="E62">
        <v>0</v>
      </c>
      <c r="F62" s="1">
        <v>42767</v>
      </c>
      <c r="G62">
        <v>0</v>
      </c>
      <c r="I62" s="1">
        <v>42740</v>
      </c>
      <c r="J62" t="s">
        <v>53</v>
      </c>
    </row>
    <row r="63" spans="1:10" x14ac:dyDescent="0.2">
      <c r="A63" s="6" t="s">
        <v>170</v>
      </c>
      <c r="B63">
        <v>13.41</v>
      </c>
      <c r="C63">
        <v>0</v>
      </c>
      <c r="D63">
        <v>1</v>
      </c>
      <c r="E63">
        <v>0</v>
      </c>
      <c r="F63" s="1">
        <v>42767</v>
      </c>
      <c r="G63">
        <v>0</v>
      </c>
      <c r="I63" s="1">
        <v>42742</v>
      </c>
      <c r="J63" t="s">
        <v>98</v>
      </c>
    </row>
    <row r="64" spans="1:10" x14ac:dyDescent="0.2">
      <c r="A64" s="6" t="s">
        <v>22</v>
      </c>
      <c r="B64">
        <v>17.989999999999998</v>
      </c>
      <c r="C64">
        <v>0</v>
      </c>
      <c r="D64">
        <v>1</v>
      </c>
      <c r="E64">
        <v>0</v>
      </c>
      <c r="F64" s="1">
        <v>42767</v>
      </c>
      <c r="G64">
        <v>0</v>
      </c>
      <c r="I64" s="1">
        <v>42742</v>
      </c>
      <c r="J64" t="s">
        <v>23</v>
      </c>
    </row>
    <row r="65" spans="1:10" x14ac:dyDescent="0.2">
      <c r="A65" s="6" t="s">
        <v>171</v>
      </c>
      <c r="B65">
        <v>283</v>
      </c>
      <c r="C65">
        <v>0</v>
      </c>
      <c r="D65">
        <v>1</v>
      </c>
      <c r="E65">
        <v>0</v>
      </c>
      <c r="F65" s="1">
        <v>42767</v>
      </c>
      <c r="G65">
        <v>0</v>
      </c>
      <c r="I65" s="1">
        <v>42742</v>
      </c>
      <c r="J65" t="s">
        <v>138</v>
      </c>
    </row>
    <row r="66" spans="1:10" x14ac:dyDescent="0.2">
      <c r="A66" s="6" t="s">
        <v>170</v>
      </c>
      <c r="B66">
        <v>22.28</v>
      </c>
      <c r="C66">
        <v>0</v>
      </c>
      <c r="D66">
        <v>1</v>
      </c>
      <c r="E66">
        <v>0</v>
      </c>
      <c r="F66" s="1">
        <v>42767</v>
      </c>
      <c r="G66">
        <v>0</v>
      </c>
      <c r="I66" s="1">
        <v>42743</v>
      </c>
      <c r="J66" t="s">
        <v>98</v>
      </c>
    </row>
    <row r="67" spans="1:10" x14ac:dyDescent="0.2">
      <c r="A67" s="6" t="s">
        <v>172</v>
      </c>
      <c r="B67">
        <v>10</v>
      </c>
      <c r="C67">
        <v>0</v>
      </c>
      <c r="D67">
        <v>1</v>
      </c>
      <c r="E67">
        <v>0</v>
      </c>
      <c r="F67" s="1">
        <v>42767</v>
      </c>
      <c r="G67">
        <v>0</v>
      </c>
      <c r="I67" s="1">
        <v>42743</v>
      </c>
      <c r="J67" t="s">
        <v>27</v>
      </c>
    </row>
    <row r="68" spans="1:10" x14ac:dyDescent="0.2">
      <c r="A68" s="6" t="s">
        <v>173</v>
      </c>
      <c r="B68">
        <v>183</v>
      </c>
      <c r="C68">
        <v>0</v>
      </c>
      <c r="D68">
        <v>1</v>
      </c>
      <c r="E68">
        <v>0</v>
      </c>
      <c r="F68" s="1">
        <v>42767</v>
      </c>
      <c r="G68">
        <v>0</v>
      </c>
      <c r="I68" s="1">
        <v>42743</v>
      </c>
      <c r="J68" t="s">
        <v>27</v>
      </c>
    </row>
    <row r="69" spans="1:10" x14ac:dyDescent="0.2">
      <c r="A69" s="6" t="s">
        <v>174</v>
      </c>
      <c r="B69">
        <v>42</v>
      </c>
      <c r="C69">
        <v>0</v>
      </c>
      <c r="D69">
        <v>1</v>
      </c>
      <c r="E69">
        <v>0</v>
      </c>
      <c r="F69" s="1">
        <v>42767</v>
      </c>
      <c r="G69">
        <v>0</v>
      </c>
      <c r="I69" s="1">
        <v>42743</v>
      </c>
      <c r="J69" t="s">
        <v>175</v>
      </c>
    </row>
    <row r="70" spans="1:10" x14ac:dyDescent="0.2">
      <c r="A70" s="6" t="s">
        <v>151</v>
      </c>
      <c r="B70">
        <v>37.119999999999997</v>
      </c>
      <c r="C70">
        <v>0</v>
      </c>
      <c r="D70">
        <v>1</v>
      </c>
      <c r="E70">
        <v>0</v>
      </c>
      <c r="F70" s="1">
        <v>42767</v>
      </c>
      <c r="G70">
        <v>0</v>
      </c>
      <c r="I70" s="1">
        <v>42744</v>
      </c>
      <c r="J70" t="s">
        <v>66</v>
      </c>
    </row>
    <row r="71" spans="1:10" x14ac:dyDescent="0.2">
      <c r="A71" s="6" t="s">
        <v>170</v>
      </c>
      <c r="B71">
        <v>40.74</v>
      </c>
      <c r="C71">
        <v>0</v>
      </c>
      <c r="D71">
        <v>1</v>
      </c>
      <c r="E71">
        <v>0</v>
      </c>
      <c r="F71" s="1">
        <v>42767</v>
      </c>
      <c r="G71">
        <v>0</v>
      </c>
      <c r="I71" s="1">
        <v>42744</v>
      </c>
      <c r="J71" t="s">
        <v>98</v>
      </c>
    </row>
    <row r="72" spans="1:10" x14ac:dyDescent="0.2">
      <c r="A72" s="6" t="s">
        <v>176</v>
      </c>
      <c r="B72">
        <v>105.69</v>
      </c>
      <c r="C72">
        <v>0</v>
      </c>
      <c r="D72">
        <v>1</v>
      </c>
      <c r="E72">
        <v>0</v>
      </c>
      <c r="F72" s="1">
        <v>42767</v>
      </c>
      <c r="G72">
        <v>0</v>
      </c>
      <c r="I72" s="1">
        <v>42746</v>
      </c>
      <c r="J72" t="s">
        <v>53</v>
      </c>
    </row>
    <row r="73" spans="1:10" x14ac:dyDescent="0.2">
      <c r="A73" s="6" t="s">
        <v>126</v>
      </c>
      <c r="B73">
        <v>241.89</v>
      </c>
      <c r="C73">
        <v>0</v>
      </c>
      <c r="D73">
        <v>1</v>
      </c>
      <c r="E73">
        <v>0</v>
      </c>
      <c r="F73" s="1">
        <v>42767</v>
      </c>
      <c r="G73">
        <v>0</v>
      </c>
      <c r="I73" s="1">
        <v>42747</v>
      </c>
      <c r="J73" t="s">
        <v>23</v>
      </c>
    </row>
    <row r="74" spans="1:10" x14ac:dyDescent="0.2">
      <c r="A74" s="6" t="s">
        <v>177</v>
      </c>
      <c r="B74">
        <v>24.9</v>
      </c>
      <c r="C74">
        <v>0</v>
      </c>
      <c r="D74">
        <v>1</v>
      </c>
      <c r="E74">
        <v>0</v>
      </c>
      <c r="F74" s="1">
        <v>42767</v>
      </c>
      <c r="G74">
        <v>0</v>
      </c>
      <c r="I74" s="1">
        <v>42747</v>
      </c>
      <c r="J74" t="s">
        <v>53</v>
      </c>
    </row>
    <row r="75" spans="1:10" x14ac:dyDescent="0.2">
      <c r="A75" s="6" t="s">
        <v>178</v>
      </c>
      <c r="B75">
        <v>9.9</v>
      </c>
      <c r="C75">
        <v>0</v>
      </c>
      <c r="D75">
        <v>1</v>
      </c>
      <c r="E75">
        <v>0</v>
      </c>
      <c r="F75" s="1">
        <v>42767</v>
      </c>
      <c r="G75">
        <v>0</v>
      </c>
      <c r="I75" s="1">
        <v>42748</v>
      </c>
      <c r="J75" t="s">
        <v>117</v>
      </c>
    </row>
    <row r="76" spans="1:10" x14ac:dyDescent="0.2">
      <c r="A76" s="6" t="s">
        <v>104</v>
      </c>
      <c r="B76">
        <v>7</v>
      </c>
      <c r="C76">
        <v>0</v>
      </c>
      <c r="D76">
        <v>1</v>
      </c>
      <c r="E76">
        <v>0</v>
      </c>
      <c r="F76" s="1">
        <v>42767</v>
      </c>
      <c r="G76">
        <v>0</v>
      </c>
      <c r="I76" s="1">
        <v>42748</v>
      </c>
      <c r="J76" t="s">
        <v>29</v>
      </c>
    </row>
    <row r="77" spans="1:10" x14ac:dyDescent="0.2">
      <c r="A77" s="6" t="s">
        <v>92</v>
      </c>
      <c r="B77">
        <v>156.25</v>
      </c>
      <c r="C77">
        <v>0</v>
      </c>
      <c r="D77">
        <v>1</v>
      </c>
      <c r="E77">
        <v>0</v>
      </c>
      <c r="F77" s="1">
        <v>42767</v>
      </c>
      <c r="G77">
        <v>0</v>
      </c>
      <c r="I77" s="1">
        <v>42749</v>
      </c>
      <c r="J77" t="s">
        <v>138</v>
      </c>
    </row>
    <row r="78" spans="1:10" x14ac:dyDescent="0.2">
      <c r="A78" s="6" t="s">
        <v>179</v>
      </c>
      <c r="B78">
        <v>70</v>
      </c>
      <c r="C78">
        <v>0</v>
      </c>
      <c r="D78">
        <v>1</v>
      </c>
      <c r="E78">
        <v>0</v>
      </c>
      <c r="F78" s="1">
        <v>42767</v>
      </c>
      <c r="G78">
        <v>0</v>
      </c>
      <c r="I78" s="1">
        <v>42749</v>
      </c>
      <c r="J78" t="s">
        <v>53</v>
      </c>
    </row>
    <row r="79" spans="1:10" x14ac:dyDescent="0.2">
      <c r="A79" s="6" t="s">
        <v>180</v>
      </c>
      <c r="B79">
        <v>15</v>
      </c>
      <c r="C79">
        <v>0</v>
      </c>
      <c r="D79">
        <v>1</v>
      </c>
      <c r="E79">
        <v>0</v>
      </c>
      <c r="F79" s="1">
        <v>42767</v>
      </c>
      <c r="G79">
        <v>0</v>
      </c>
      <c r="I79" s="1">
        <v>42749</v>
      </c>
      <c r="J79" t="s">
        <v>53</v>
      </c>
    </row>
    <row r="80" spans="1:10" x14ac:dyDescent="0.2">
      <c r="A80" s="6" t="s">
        <v>172</v>
      </c>
      <c r="B80">
        <v>10</v>
      </c>
      <c r="C80">
        <v>0</v>
      </c>
      <c r="D80">
        <v>1</v>
      </c>
      <c r="E80">
        <v>0</v>
      </c>
      <c r="F80" s="1">
        <v>42767</v>
      </c>
      <c r="G80">
        <v>0</v>
      </c>
      <c r="I80" s="1">
        <v>42749</v>
      </c>
      <c r="J80" t="s">
        <v>27</v>
      </c>
    </row>
    <row r="81" spans="1:11" x14ac:dyDescent="0.2">
      <c r="A81" s="6" t="s">
        <v>181</v>
      </c>
      <c r="B81">
        <v>20</v>
      </c>
      <c r="C81">
        <v>0</v>
      </c>
      <c r="D81">
        <v>1</v>
      </c>
      <c r="E81">
        <v>0</v>
      </c>
      <c r="F81" s="1">
        <v>42767</v>
      </c>
      <c r="G81">
        <v>0</v>
      </c>
      <c r="I81" s="1">
        <v>42750</v>
      </c>
      <c r="J81" t="s">
        <v>53</v>
      </c>
    </row>
    <row r="82" spans="1:11" x14ac:dyDescent="0.2">
      <c r="A82" s="6" t="s">
        <v>182</v>
      </c>
      <c r="B82">
        <v>13</v>
      </c>
      <c r="C82">
        <v>0</v>
      </c>
      <c r="D82">
        <v>1</v>
      </c>
      <c r="E82">
        <v>0</v>
      </c>
      <c r="F82" s="1">
        <v>42767</v>
      </c>
      <c r="G82">
        <v>0</v>
      </c>
      <c r="I82" s="1">
        <v>42750</v>
      </c>
      <c r="J82" t="s">
        <v>23</v>
      </c>
    </row>
    <row r="83" spans="1:11" x14ac:dyDescent="0.2">
      <c r="A83" s="6" t="s">
        <v>183</v>
      </c>
      <c r="B83">
        <v>157.62</v>
      </c>
      <c r="C83">
        <v>0</v>
      </c>
      <c r="D83">
        <v>1</v>
      </c>
      <c r="E83">
        <v>0</v>
      </c>
      <c r="F83" s="1">
        <v>42767</v>
      </c>
      <c r="G83">
        <v>0</v>
      </c>
      <c r="I83" s="1">
        <v>42750</v>
      </c>
      <c r="J83" t="s">
        <v>27</v>
      </c>
    </row>
    <row r="84" spans="1:11" x14ac:dyDescent="0.2">
      <c r="A84" s="6" t="s">
        <v>184</v>
      </c>
      <c r="B84">
        <v>3.5</v>
      </c>
      <c r="C84">
        <v>0</v>
      </c>
      <c r="D84">
        <v>1</v>
      </c>
      <c r="E84">
        <v>0</v>
      </c>
      <c r="F84" s="1">
        <v>42767</v>
      </c>
      <c r="G84">
        <v>0</v>
      </c>
      <c r="I84" s="1">
        <v>42750</v>
      </c>
      <c r="J84" t="s">
        <v>29</v>
      </c>
    </row>
    <row r="85" spans="1:11" x14ac:dyDescent="0.2">
      <c r="A85" s="6" t="s">
        <v>91</v>
      </c>
      <c r="B85">
        <v>15</v>
      </c>
      <c r="C85">
        <v>0</v>
      </c>
      <c r="D85">
        <v>1</v>
      </c>
      <c r="E85">
        <v>0</v>
      </c>
      <c r="F85" s="1">
        <v>42767</v>
      </c>
      <c r="G85">
        <v>0</v>
      </c>
      <c r="I85" s="1">
        <v>42751</v>
      </c>
      <c r="J85" t="s">
        <v>29</v>
      </c>
    </row>
    <row r="86" spans="1:11" x14ac:dyDescent="0.2">
      <c r="A86" s="6" t="s">
        <v>185</v>
      </c>
      <c r="B86">
        <v>13</v>
      </c>
      <c r="C86">
        <v>0</v>
      </c>
      <c r="D86">
        <v>1</v>
      </c>
      <c r="E86">
        <v>0</v>
      </c>
      <c r="F86" s="1">
        <v>42767</v>
      </c>
      <c r="G86">
        <v>0</v>
      </c>
      <c r="I86" s="1">
        <v>42751</v>
      </c>
      <c r="J86" t="s">
        <v>29</v>
      </c>
    </row>
    <row r="87" spans="1:11" x14ac:dyDescent="0.2">
      <c r="A87" s="6" t="s">
        <v>170</v>
      </c>
      <c r="B87">
        <v>70.91</v>
      </c>
      <c r="C87">
        <v>0</v>
      </c>
      <c r="D87">
        <v>1</v>
      </c>
      <c r="E87">
        <v>0</v>
      </c>
      <c r="F87" s="1">
        <v>42767</v>
      </c>
      <c r="G87">
        <v>0</v>
      </c>
      <c r="I87" s="1">
        <v>42752</v>
      </c>
      <c r="J87" t="s">
        <v>98</v>
      </c>
    </row>
    <row r="88" spans="1:11" x14ac:dyDescent="0.2">
      <c r="A88" s="6" t="s">
        <v>186</v>
      </c>
      <c r="B88">
        <v>0</v>
      </c>
      <c r="C88">
        <v>0</v>
      </c>
      <c r="D88">
        <v>1</v>
      </c>
      <c r="E88">
        <v>0</v>
      </c>
      <c r="F88" s="1">
        <v>42795</v>
      </c>
      <c r="G88">
        <v>1</v>
      </c>
      <c r="I88" s="1">
        <v>42797</v>
      </c>
      <c r="J88" t="s">
        <v>187</v>
      </c>
      <c r="K88">
        <v>434</v>
      </c>
    </row>
    <row r="89" spans="1:11" x14ac:dyDescent="0.2">
      <c r="A89" s="6" t="s">
        <v>155</v>
      </c>
      <c r="B89">
        <v>31</v>
      </c>
      <c r="C89">
        <v>0</v>
      </c>
      <c r="D89">
        <v>1</v>
      </c>
      <c r="E89">
        <v>0</v>
      </c>
      <c r="F89" s="1">
        <v>42767</v>
      </c>
      <c r="G89">
        <v>0</v>
      </c>
      <c r="I89" s="1">
        <v>42753</v>
      </c>
      <c r="J89" t="s">
        <v>61</v>
      </c>
    </row>
    <row r="90" spans="1:11" x14ac:dyDescent="0.2">
      <c r="A90" s="6" t="s">
        <v>22</v>
      </c>
      <c r="B90">
        <v>98.5</v>
      </c>
      <c r="C90">
        <v>0</v>
      </c>
      <c r="D90">
        <v>1</v>
      </c>
      <c r="E90">
        <v>0</v>
      </c>
      <c r="F90" s="1">
        <v>42767</v>
      </c>
      <c r="G90">
        <v>0</v>
      </c>
      <c r="I90" s="1">
        <v>42753</v>
      </c>
      <c r="J90" t="s">
        <v>23</v>
      </c>
    </row>
    <row r="91" spans="1:11" x14ac:dyDescent="0.2">
      <c r="A91" s="6" t="s">
        <v>188</v>
      </c>
      <c r="B91">
        <v>4.9000000000000004</v>
      </c>
      <c r="C91">
        <v>0</v>
      </c>
      <c r="D91">
        <v>1</v>
      </c>
      <c r="E91">
        <v>0</v>
      </c>
      <c r="F91" s="1">
        <v>42767</v>
      </c>
      <c r="G91">
        <v>0</v>
      </c>
      <c r="I91" s="1">
        <v>42754</v>
      </c>
      <c r="J91" t="s">
        <v>29</v>
      </c>
    </row>
    <row r="92" spans="1:11" x14ac:dyDescent="0.2">
      <c r="A92" s="6" t="s">
        <v>22</v>
      </c>
      <c r="B92">
        <v>84.86</v>
      </c>
      <c r="C92">
        <v>0</v>
      </c>
      <c r="D92">
        <v>1</v>
      </c>
      <c r="E92">
        <v>0</v>
      </c>
      <c r="F92" s="1">
        <v>42767</v>
      </c>
      <c r="G92">
        <v>0</v>
      </c>
      <c r="I92" s="1">
        <v>42755</v>
      </c>
      <c r="J92" t="s">
        <v>23</v>
      </c>
    </row>
    <row r="93" spans="1:11" x14ac:dyDescent="0.2">
      <c r="A93" s="6" t="s">
        <v>189</v>
      </c>
      <c r="B93">
        <v>46</v>
      </c>
      <c r="C93">
        <v>0</v>
      </c>
      <c r="D93">
        <v>1</v>
      </c>
      <c r="E93">
        <v>0</v>
      </c>
      <c r="F93" s="1">
        <v>42767</v>
      </c>
      <c r="G93">
        <v>0</v>
      </c>
      <c r="I93" s="1">
        <v>42756</v>
      </c>
      <c r="J93" t="s">
        <v>76</v>
      </c>
    </row>
    <row r="94" spans="1:11" x14ac:dyDescent="0.2">
      <c r="A94" s="6" t="s">
        <v>174</v>
      </c>
      <c r="B94">
        <v>34</v>
      </c>
      <c r="C94">
        <v>0</v>
      </c>
      <c r="D94">
        <v>1</v>
      </c>
      <c r="E94">
        <v>0</v>
      </c>
      <c r="F94" s="1">
        <v>42767</v>
      </c>
      <c r="G94">
        <v>0</v>
      </c>
      <c r="I94" s="1">
        <v>42757</v>
      </c>
      <c r="J94" t="s">
        <v>76</v>
      </c>
    </row>
    <row r="95" spans="1:11" x14ac:dyDescent="0.2">
      <c r="A95" s="6" t="s">
        <v>151</v>
      </c>
      <c r="B95">
        <v>22.45</v>
      </c>
      <c r="C95">
        <v>0</v>
      </c>
      <c r="D95">
        <v>1</v>
      </c>
      <c r="E95">
        <v>0</v>
      </c>
      <c r="F95" s="1">
        <v>42767</v>
      </c>
      <c r="G95">
        <v>0</v>
      </c>
      <c r="I95" s="1">
        <v>42757</v>
      </c>
      <c r="J95" t="s">
        <v>66</v>
      </c>
    </row>
    <row r="96" spans="1:11" x14ac:dyDescent="0.2">
      <c r="A96" s="6" t="s">
        <v>22</v>
      </c>
      <c r="B96">
        <v>177.4</v>
      </c>
      <c r="C96">
        <v>0</v>
      </c>
      <c r="D96">
        <v>1</v>
      </c>
      <c r="E96">
        <v>0</v>
      </c>
      <c r="F96" s="1">
        <v>42767</v>
      </c>
      <c r="G96">
        <v>0</v>
      </c>
      <c r="I96" s="1">
        <v>42760</v>
      </c>
      <c r="J96" t="s">
        <v>23</v>
      </c>
    </row>
    <row r="97" spans="1:10" x14ac:dyDescent="0.2">
      <c r="A97" s="6" t="s">
        <v>190</v>
      </c>
      <c r="B97">
        <v>154.63999999999999</v>
      </c>
      <c r="C97">
        <v>0</v>
      </c>
      <c r="D97">
        <v>1</v>
      </c>
      <c r="E97">
        <v>0</v>
      </c>
      <c r="F97" s="1">
        <v>42767</v>
      </c>
      <c r="G97">
        <v>0</v>
      </c>
      <c r="I97" s="1">
        <v>42760</v>
      </c>
      <c r="J97" t="s">
        <v>27</v>
      </c>
    </row>
    <row r="98" spans="1:10" x14ac:dyDescent="0.2">
      <c r="A98" s="6" t="s">
        <v>191</v>
      </c>
      <c r="B98">
        <v>238</v>
      </c>
      <c r="C98">
        <v>0</v>
      </c>
      <c r="D98">
        <v>1</v>
      </c>
      <c r="E98">
        <v>0</v>
      </c>
      <c r="F98" s="1">
        <v>42767</v>
      </c>
      <c r="G98">
        <v>0</v>
      </c>
      <c r="I98" s="1">
        <v>42760</v>
      </c>
      <c r="J98" t="s">
        <v>138</v>
      </c>
    </row>
    <row r="99" spans="1:10" x14ac:dyDescent="0.2">
      <c r="A99" s="9" t="s">
        <v>35</v>
      </c>
      <c r="B99" s="5">
        <v>363.68</v>
      </c>
      <c r="C99" s="4">
        <v>0</v>
      </c>
      <c r="D99" s="4">
        <v>1</v>
      </c>
      <c r="E99" s="4">
        <v>0</v>
      </c>
      <c r="F99" s="10">
        <v>42795</v>
      </c>
      <c r="G99">
        <v>1</v>
      </c>
      <c r="H99" s="4"/>
      <c r="I99" s="10">
        <v>42776</v>
      </c>
      <c r="J99" s="4" t="s">
        <v>36</v>
      </c>
    </row>
    <row r="100" spans="1:10" x14ac:dyDescent="0.2">
      <c r="A100" s="9" t="s">
        <v>192</v>
      </c>
      <c r="B100" s="5">
        <v>1465.49</v>
      </c>
      <c r="C100" s="4">
        <v>0</v>
      </c>
      <c r="D100" s="4">
        <v>1</v>
      </c>
      <c r="E100" s="4">
        <v>0</v>
      </c>
      <c r="F100" s="10">
        <v>42795</v>
      </c>
      <c r="G100">
        <v>1</v>
      </c>
      <c r="H100" s="4"/>
      <c r="I100" s="10">
        <v>42776</v>
      </c>
      <c r="J100" s="4" t="s">
        <v>36</v>
      </c>
    </row>
    <row r="101" spans="1:10" x14ac:dyDescent="0.2">
      <c r="A101" s="6" t="s">
        <v>188</v>
      </c>
      <c r="B101" s="5">
        <v>9.5</v>
      </c>
      <c r="C101">
        <v>0</v>
      </c>
      <c r="D101">
        <v>1</v>
      </c>
      <c r="E101">
        <v>0</v>
      </c>
      <c r="F101" s="1">
        <v>42767</v>
      </c>
      <c r="G101">
        <v>0</v>
      </c>
      <c r="I101" s="1">
        <v>42763</v>
      </c>
      <c r="J101" t="s">
        <v>29</v>
      </c>
    </row>
    <row r="102" spans="1:10" x14ac:dyDescent="0.2">
      <c r="A102" s="6" t="s">
        <v>193</v>
      </c>
      <c r="B102" s="5">
        <v>237.24</v>
      </c>
      <c r="C102">
        <v>0</v>
      </c>
      <c r="D102">
        <v>1</v>
      </c>
      <c r="E102">
        <v>0</v>
      </c>
      <c r="F102" s="1">
        <v>42767</v>
      </c>
      <c r="G102">
        <v>0</v>
      </c>
      <c r="I102" s="1">
        <v>42763</v>
      </c>
      <c r="J102" t="s">
        <v>23</v>
      </c>
    </row>
    <row r="103" spans="1:10" x14ac:dyDescent="0.2">
      <c r="A103" s="6" t="s">
        <v>190</v>
      </c>
      <c r="B103" s="5">
        <v>34.5</v>
      </c>
      <c r="C103">
        <v>0</v>
      </c>
      <c r="D103">
        <v>1</v>
      </c>
      <c r="E103">
        <v>0</v>
      </c>
      <c r="F103" s="1">
        <v>42767</v>
      </c>
      <c r="G103">
        <v>0</v>
      </c>
      <c r="I103" s="1">
        <v>42763</v>
      </c>
      <c r="J103" t="s">
        <v>27</v>
      </c>
    </row>
    <row r="104" spans="1:10" x14ac:dyDescent="0.2">
      <c r="A104" s="6" t="s">
        <v>256</v>
      </c>
      <c r="B104" s="5">
        <v>2000</v>
      </c>
      <c r="C104">
        <v>0</v>
      </c>
      <c r="D104">
        <v>1</v>
      </c>
      <c r="E104">
        <v>0</v>
      </c>
      <c r="F104" s="1">
        <v>42795</v>
      </c>
      <c r="G104">
        <v>0</v>
      </c>
      <c r="I104" s="1">
        <v>42811</v>
      </c>
      <c r="J104" t="s">
        <v>194</v>
      </c>
    </row>
    <row r="105" spans="1:10" x14ac:dyDescent="0.2">
      <c r="A105" s="6" t="s">
        <v>174</v>
      </c>
      <c r="B105" s="2">
        <v>44.2</v>
      </c>
      <c r="C105">
        <v>0</v>
      </c>
      <c r="D105">
        <v>1</v>
      </c>
      <c r="E105">
        <v>0</v>
      </c>
      <c r="F105" s="1">
        <v>42795</v>
      </c>
      <c r="G105">
        <v>1</v>
      </c>
      <c r="I105" s="1">
        <v>42764</v>
      </c>
      <c r="J105" t="s">
        <v>76</v>
      </c>
    </row>
    <row r="106" spans="1:10" x14ac:dyDescent="0.2">
      <c r="A106" s="6" t="s">
        <v>195</v>
      </c>
      <c r="B106" s="2">
        <v>118.6</v>
      </c>
      <c r="C106">
        <v>0</v>
      </c>
      <c r="D106">
        <v>1</v>
      </c>
      <c r="E106">
        <v>0</v>
      </c>
      <c r="F106" s="1">
        <v>42795</v>
      </c>
      <c r="G106">
        <v>1</v>
      </c>
      <c r="I106" s="1">
        <v>42767</v>
      </c>
      <c r="J106" t="s">
        <v>23</v>
      </c>
    </row>
    <row r="107" spans="1:10" x14ac:dyDescent="0.2">
      <c r="A107" s="6" t="s">
        <v>196</v>
      </c>
      <c r="B107" s="2">
        <v>181.02</v>
      </c>
      <c r="C107">
        <v>0</v>
      </c>
      <c r="D107">
        <v>1</v>
      </c>
      <c r="E107">
        <v>0</v>
      </c>
      <c r="F107" s="1">
        <v>42795</v>
      </c>
      <c r="G107">
        <v>1</v>
      </c>
      <c r="I107" s="1">
        <v>42770</v>
      </c>
      <c r="J107" t="s">
        <v>27</v>
      </c>
    </row>
    <row r="108" spans="1:10" x14ac:dyDescent="0.2">
      <c r="A108" s="6" t="s">
        <v>197</v>
      </c>
      <c r="B108" s="2">
        <v>373.28</v>
      </c>
      <c r="C108">
        <v>0</v>
      </c>
      <c r="D108">
        <v>1</v>
      </c>
      <c r="E108">
        <v>0</v>
      </c>
      <c r="F108" s="1">
        <v>42795</v>
      </c>
      <c r="G108">
        <v>1</v>
      </c>
      <c r="I108" s="1">
        <v>42770</v>
      </c>
      <c r="J108" t="s">
        <v>23</v>
      </c>
    </row>
    <row r="109" spans="1:10" x14ac:dyDescent="0.2">
      <c r="A109" s="6" t="s">
        <v>198</v>
      </c>
      <c r="B109" s="2">
        <v>45.8</v>
      </c>
      <c r="C109">
        <v>0</v>
      </c>
      <c r="D109">
        <v>1</v>
      </c>
      <c r="E109">
        <v>0</v>
      </c>
      <c r="F109" s="1">
        <v>42795</v>
      </c>
      <c r="G109">
        <v>1</v>
      </c>
      <c r="I109" s="1">
        <v>42770</v>
      </c>
      <c r="J109" t="s">
        <v>138</v>
      </c>
    </row>
    <row r="110" spans="1:10" x14ac:dyDescent="0.2">
      <c r="A110" s="6" t="s">
        <v>199</v>
      </c>
      <c r="B110" s="2">
        <v>41</v>
      </c>
      <c r="C110">
        <v>0</v>
      </c>
      <c r="D110">
        <v>1</v>
      </c>
      <c r="E110">
        <v>0</v>
      </c>
      <c r="F110" s="1">
        <v>42795</v>
      </c>
      <c r="G110">
        <v>1</v>
      </c>
      <c r="I110" s="1">
        <v>42770</v>
      </c>
      <c r="J110" t="s">
        <v>53</v>
      </c>
    </row>
    <row r="111" spans="1:10" x14ac:dyDescent="0.2">
      <c r="A111" s="6" t="s">
        <v>23</v>
      </c>
      <c r="B111" s="2">
        <v>44</v>
      </c>
      <c r="C111">
        <v>0</v>
      </c>
      <c r="D111">
        <v>1</v>
      </c>
      <c r="E111">
        <v>0</v>
      </c>
      <c r="F111" s="1">
        <v>42795</v>
      </c>
      <c r="G111">
        <v>1</v>
      </c>
      <c r="I111" s="1">
        <v>42772</v>
      </c>
      <c r="J111" t="s">
        <v>23</v>
      </c>
    </row>
    <row r="112" spans="1:10" x14ac:dyDescent="0.2">
      <c r="A112" s="6" t="s">
        <v>200</v>
      </c>
      <c r="B112" s="2">
        <v>32.9</v>
      </c>
      <c r="C112">
        <v>0</v>
      </c>
      <c r="D112">
        <v>1</v>
      </c>
      <c r="E112">
        <v>0</v>
      </c>
      <c r="F112" s="1">
        <v>42795</v>
      </c>
      <c r="G112">
        <v>1</v>
      </c>
      <c r="I112" s="1">
        <v>42775</v>
      </c>
      <c r="J112" t="s">
        <v>98</v>
      </c>
    </row>
    <row r="113" spans="1:10" x14ac:dyDescent="0.2">
      <c r="A113" s="6" t="s">
        <v>179</v>
      </c>
      <c r="B113" s="2">
        <v>45</v>
      </c>
      <c r="C113">
        <v>0</v>
      </c>
      <c r="D113">
        <v>1</v>
      </c>
      <c r="E113">
        <v>0</v>
      </c>
      <c r="F113" s="1">
        <v>42795</v>
      </c>
      <c r="G113">
        <v>1</v>
      </c>
      <c r="I113" s="1">
        <v>42775</v>
      </c>
      <c r="J113" t="s">
        <v>53</v>
      </c>
    </row>
    <row r="114" spans="1:10" x14ac:dyDescent="0.2">
      <c r="A114" s="6" t="s">
        <v>23</v>
      </c>
      <c r="B114" s="2">
        <v>33.9</v>
      </c>
      <c r="C114">
        <v>0</v>
      </c>
      <c r="D114">
        <v>1</v>
      </c>
      <c r="E114">
        <v>0</v>
      </c>
      <c r="F114" s="1">
        <v>42795</v>
      </c>
      <c r="G114">
        <v>1</v>
      </c>
      <c r="I114" s="1">
        <v>42775</v>
      </c>
      <c r="J114" t="s">
        <v>23</v>
      </c>
    </row>
    <row r="115" spans="1:10" x14ac:dyDescent="0.2">
      <c r="A115" s="6" t="s">
        <v>201</v>
      </c>
      <c r="B115" s="2">
        <v>23.9</v>
      </c>
      <c r="C115">
        <v>0</v>
      </c>
      <c r="D115">
        <v>1</v>
      </c>
      <c r="E115">
        <v>0</v>
      </c>
      <c r="F115" s="1">
        <v>42795</v>
      </c>
      <c r="G115">
        <v>1</v>
      </c>
      <c r="I115" s="1">
        <v>42776</v>
      </c>
      <c r="J115" t="s">
        <v>53</v>
      </c>
    </row>
    <row r="116" spans="1:10" x14ac:dyDescent="0.2">
      <c r="A116" s="6" t="s">
        <v>202</v>
      </c>
      <c r="B116" s="2">
        <v>39.9</v>
      </c>
      <c r="C116">
        <v>0</v>
      </c>
      <c r="D116">
        <v>1</v>
      </c>
      <c r="E116">
        <v>0</v>
      </c>
      <c r="F116" s="1">
        <v>42795</v>
      </c>
      <c r="G116">
        <v>1</v>
      </c>
      <c r="I116" s="1">
        <v>42776</v>
      </c>
      <c r="J116" t="s">
        <v>53</v>
      </c>
    </row>
    <row r="117" spans="1:10" x14ac:dyDescent="0.2">
      <c r="A117" s="6" t="s">
        <v>203</v>
      </c>
      <c r="B117" s="2">
        <v>313.61</v>
      </c>
      <c r="C117">
        <v>0</v>
      </c>
      <c r="D117">
        <v>1</v>
      </c>
      <c r="E117">
        <v>0</v>
      </c>
      <c r="F117" s="1">
        <v>42795</v>
      </c>
      <c r="G117">
        <v>1</v>
      </c>
      <c r="I117" s="1">
        <v>42776</v>
      </c>
      <c r="J117" t="s">
        <v>138</v>
      </c>
    </row>
    <row r="118" spans="1:10" x14ac:dyDescent="0.2">
      <c r="A118" s="6" t="s">
        <v>23</v>
      </c>
      <c r="B118" s="2">
        <v>0</v>
      </c>
      <c r="C118">
        <v>0</v>
      </c>
      <c r="D118">
        <v>1</v>
      </c>
      <c r="E118">
        <v>0</v>
      </c>
      <c r="F118" s="1">
        <v>42795</v>
      </c>
      <c r="G118">
        <v>1</v>
      </c>
      <c r="I118" s="1">
        <v>42776</v>
      </c>
      <c r="J118" t="s">
        <v>23</v>
      </c>
    </row>
    <row r="119" spans="1:10" x14ac:dyDescent="0.2">
      <c r="A119" s="6" t="s">
        <v>204</v>
      </c>
      <c r="B119" s="2">
        <v>22.75</v>
      </c>
      <c r="C119">
        <v>0</v>
      </c>
      <c r="D119">
        <v>1</v>
      </c>
      <c r="E119">
        <v>0</v>
      </c>
      <c r="F119" s="1">
        <v>42795</v>
      </c>
      <c r="G119">
        <v>1</v>
      </c>
      <c r="I119" s="1">
        <v>42777</v>
      </c>
      <c r="J119" t="s">
        <v>23</v>
      </c>
    </row>
    <row r="120" spans="1:10" x14ac:dyDescent="0.2">
      <c r="A120" s="6" t="s">
        <v>205</v>
      </c>
      <c r="B120" s="2">
        <v>185.72</v>
      </c>
      <c r="C120">
        <v>0</v>
      </c>
      <c r="D120">
        <v>1</v>
      </c>
      <c r="E120">
        <v>0</v>
      </c>
      <c r="F120" s="1">
        <v>42795</v>
      </c>
      <c r="G120">
        <v>1</v>
      </c>
      <c r="I120" s="1">
        <v>42778</v>
      </c>
      <c r="J120" t="s">
        <v>27</v>
      </c>
    </row>
    <row r="121" spans="1:10" x14ac:dyDescent="0.2">
      <c r="A121" s="6" t="s">
        <v>174</v>
      </c>
      <c r="B121" s="2">
        <v>53</v>
      </c>
      <c r="C121">
        <v>0</v>
      </c>
      <c r="D121">
        <v>1</v>
      </c>
      <c r="E121">
        <v>0</v>
      </c>
      <c r="F121" s="1">
        <v>42795</v>
      </c>
      <c r="G121">
        <v>1</v>
      </c>
      <c r="I121" s="1">
        <v>42778</v>
      </c>
      <c r="J121" t="s">
        <v>76</v>
      </c>
    </row>
    <row r="122" spans="1:10" x14ac:dyDescent="0.2">
      <c r="A122" s="6" t="s">
        <v>206</v>
      </c>
      <c r="B122" s="2">
        <v>9</v>
      </c>
      <c r="C122">
        <v>0</v>
      </c>
      <c r="D122">
        <v>1</v>
      </c>
      <c r="E122">
        <v>0</v>
      </c>
      <c r="F122" s="1">
        <v>42795</v>
      </c>
      <c r="G122">
        <v>1</v>
      </c>
      <c r="I122" s="1">
        <v>42779</v>
      </c>
      <c r="J122" t="s">
        <v>29</v>
      </c>
    </row>
    <row r="123" spans="1:10" x14ac:dyDescent="0.2">
      <c r="A123" s="6" t="s">
        <v>126</v>
      </c>
      <c r="B123" s="2">
        <v>185.55</v>
      </c>
      <c r="C123">
        <v>0</v>
      </c>
      <c r="D123">
        <v>1</v>
      </c>
      <c r="E123">
        <v>0</v>
      </c>
      <c r="F123" s="1">
        <v>42795</v>
      </c>
      <c r="G123">
        <v>1</v>
      </c>
      <c r="I123" s="1">
        <v>42780</v>
      </c>
      <c r="J123" t="s">
        <v>23</v>
      </c>
    </row>
    <row r="124" spans="1:10" x14ac:dyDescent="0.2">
      <c r="A124" s="6" t="s">
        <v>207</v>
      </c>
      <c r="B124" s="2">
        <v>32</v>
      </c>
      <c r="C124">
        <v>0</v>
      </c>
      <c r="D124">
        <v>1</v>
      </c>
      <c r="E124">
        <v>0</v>
      </c>
      <c r="F124" s="1">
        <v>42795</v>
      </c>
      <c r="G124">
        <v>1</v>
      </c>
      <c r="I124" s="1">
        <v>42780</v>
      </c>
      <c r="J124" t="s">
        <v>53</v>
      </c>
    </row>
    <row r="125" spans="1:10" x14ac:dyDescent="0.2">
      <c r="A125" s="6" t="s">
        <v>208</v>
      </c>
      <c r="B125" s="2">
        <v>55.9</v>
      </c>
      <c r="C125">
        <v>0</v>
      </c>
      <c r="D125">
        <v>1</v>
      </c>
      <c r="E125">
        <v>0</v>
      </c>
      <c r="F125" s="1">
        <v>42795</v>
      </c>
      <c r="G125">
        <v>1</v>
      </c>
      <c r="I125" s="1">
        <v>42780</v>
      </c>
      <c r="J125" t="s">
        <v>53</v>
      </c>
    </row>
    <row r="126" spans="1:10" x14ac:dyDescent="0.2">
      <c r="A126" s="6" t="s">
        <v>209</v>
      </c>
      <c r="B126" s="2">
        <v>115</v>
      </c>
      <c r="C126">
        <v>0</v>
      </c>
      <c r="D126">
        <v>1</v>
      </c>
      <c r="E126">
        <v>0</v>
      </c>
      <c r="F126" s="1">
        <v>42795</v>
      </c>
      <c r="G126">
        <v>1</v>
      </c>
      <c r="I126" s="1">
        <v>42781</v>
      </c>
      <c r="J126" t="s">
        <v>53</v>
      </c>
    </row>
    <row r="127" spans="1:10" x14ac:dyDescent="0.2">
      <c r="A127" s="6" t="s">
        <v>155</v>
      </c>
      <c r="B127" s="2">
        <v>33</v>
      </c>
      <c r="C127">
        <v>0</v>
      </c>
      <c r="D127">
        <v>1</v>
      </c>
      <c r="E127">
        <v>0</v>
      </c>
      <c r="F127" s="1">
        <v>42795</v>
      </c>
      <c r="G127">
        <v>1</v>
      </c>
      <c r="I127" s="1">
        <v>42781</v>
      </c>
      <c r="J127" t="s">
        <v>61</v>
      </c>
    </row>
    <row r="128" spans="1:10" x14ac:dyDescent="0.2">
      <c r="A128" s="6" t="s">
        <v>210</v>
      </c>
      <c r="B128" s="2">
        <v>143.5</v>
      </c>
      <c r="C128">
        <v>0</v>
      </c>
      <c r="D128">
        <v>1</v>
      </c>
      <c r="E128">
        <v>0</v>
      </c>
      <c r="F128" s="1">
        <v>42795</v>
      </c>
      <c r="G128">
        <v>1</v>
      </c>
      <c r="I128" s="1">
        <v>42782</v>
      </c>
      <c r="J128" t="s">
        <v>149</v>
      </c>
    </row>
    <row r="129" spans="1:10" x14ac:dyDescent="0.2">
      <c r="A129" s="6" t="s">
        <v>211</v>
      </c>
      <c r="B129" s="2">
        <v>20.12</v>
      </c>
      <c r="C129">
        <v>0</v>
      </c>
      <c r="D129">
        <v>1</v>
      </c>
      <c r="E129">
        <v>0</v>
      </c>
      <c r="F129" s="1">
        <v>42795</v>
      </c>
      <c r="G129">
        <v>1</v>
      </c>
      <c r="I129" s="1">
        <v>42782</v>
      </c>
      <c r="J129" t="s">
        <v>29</v>
      </c>
    </row>
    <row r="130" spans="1:10" x14ac:dyDescent="0.2">
      <c r="A130" s="6" t="s">
        <v>201</v>
      </c>
      <c r="B130" s="2">
        <v>61.72</v>
      </c>
      <c r="C130">
        <v>0</v>
      </c>
      <c r="D130">
        <v>1</v>
      </c>
      <c r="E130">
        <v>0</v>
      </c>
      <c r="F130" s="1">
        <v>42795</v>
      </c>
      <c r="G130">
        <v>1</v>
      </c>
      <c r="I130" s="1">
        <v>42783</v>
      </c>
      <c r="J130" t="s">
        <v>53</v>
      </c>
    </row>
    <row r="131" spans="1:10" x14ac:dyDescent="0.2">
      <c r="A131" s="6" t="s">
        <v>212</v>
      </c>
      <c r="B131" s="2">
        <v>60</v>
      </c>
      <c r="C131">
        <v>0</v>
      </c>
      <c r="D131">
        <v>1</v>
      </c>
      <c r="E131">
        <v>0</v>
      </c>
      <c r="F131" s="1">
        <v>42795</v>
      </c>
      <c r="G131">
        <v>1</v>
      </c>
      <c r="I131" s="1">
        <v>42783</v>
      </c>
      <c r="J131" t="s">
        <v>149</v>
      </c>
    </row>
    <row r="132" spans="1:10" x14ac:dyDescent="0.2">
      <c r="A132" s="6" t="s">
        <v>213</v>
      </c>
      <c r="B132" s="2">
        <v>34.9</v>
      </c>
      <c r="C132">
        <v>0</v>
      </c>
      <c r="D132">
        <v>1</v>
      </c>
      <c r="E132">
        <v>0</v>
      </c>
      <c r="F132" s="1">
        <v>42795</v>
      </c>
      <c r="G132">
        <v>1</v>
      </c>
      <c r="I132" s="1">
        <v>42783</v>
      </c>
      <c r="J132" t="s">
        <v>149</v>
      </c>
    </row>
    <row r="133" spans="1:10" x14ac:dyDescent="0.2">
      <c r="A133" s="6" t="s">
        <v>211</v>
      </c>
      <c r="B133" s="2">
        <v>39.6</v>
      </c>
      <c r="C133">
        <v>0</v>
      </c>
      <c r="D133">
        <v>1</v>
      </c>
      <c r="E133">
        <v>0</v>
      </c>
      <c r="F133" s="1">
        <v>42795</v>
      </c>
      <c r="G133">
        <v>1</v>
      </c>
      <c r="I133" s="1">
        <v>42783</v>
      </c>
      <c r="J133" t="s">
        <v>214</v>
      </c>
    </row>
    <row r="134" spans="1:10" x14ac:dyDescent="0.2">
      <c r="A134" s="6" t="s">
        <v>195</v>
      </c>
      <c r="B134" s="2">
        <v>77.040000000000006</v>
      </c>
      <c r="C134">
        <v>0</v>
      </c>
      <c r="D134">
        <v>1</v>
      </c>
      <c r="E134">
        <v>0</v>
      </c>
      <c r="F134" s="1">
        <v>42795</v>
      </c>
      <c r="G134">
        <v>1</v>
      </c>
      <c r="I134" s="1">
        <v>42783</v>
      </c>
      <c r="J134" t="s">
        <v>215</v>
      </c>
    </row>
    <row r="135" spans="1:10" x14ac:dyDescent="0.2">
      <c r="A135" s="6" t="s">
        <v>216</v>
      </c>
      <c r="B135" s="2">
        <v>53.44</v>
      </c>
      <c r="C135">
        <v>0</v>
      </c>
      <c r="D135">
        <v>1</v>
      </c>
      <c r="E135">
        <v>0</v>
      </c>
      <c r="F135" s="1">
        <v>42795</v>
      </c>
      <c r="G135">
        <v>1</v>
      </c>
      <c r="I135" s="1">
        <v>42784</v>
      </c>
      <c r="J135" t="s">
        <v>215</v>
      </c>
    </row>
    <row r="136" spans="1:10" x14ac:dyDescent="0.2">
      <c r="A136" s="6" t="s">
        <v>217</v>
      </c>
      <c r="B136" s="2">
        <v>53</v>
      </c>
      <c r="C136">
        <v>0</v>
      </c>
      <c r="D136">
        <v>1</v>
      </c>
      <c r="E136">
        <v>0</v>
      </c>
      <c r="F136" s="1">
        <v>42795</v>
      </c>
      <c r="G136">
        <v>1</v>
      </c>
      <c r="I136" s="1">
        <v>42784</v>
      </c>
      <c r="J136" t="s">
        <v>214</v>
      </c>
    </row>
    <row r="137" spans="1:10" x14ac:dyDescent="0.2">
      <c r="A137" s="6" t="s">
        <v>218</v>
      </c>
      <c r="B137" s="2">
        <v>36.020000000000003</v>
      </c>
      <c r="C137">
        <v>0</v>
      </c>
      <c r="D137">
        <v>1</v>
      </c>
      <c r="E137">
        <v>0</v>
      </c>
      <c r="F137" s="1">
        <v>42795</v>
      </c>
      <c r="G137">
        <v>1</v>
      </c>
      <c r="I137" s="1">
        <v>42785</v>
      </c>
      <c r="J137" t="s">
        <v>214</v>
      </c>
    </row>
    <row r="138" spans="1:10" x14ac:dyDescent="0.2">
      <c r="A138" s="6" t="s">
        <v>219</v>
      </c>
      <c r="B138" s="2">
        <v>43</v>
      </c>
      <c r="C138">
        <v>0</v>
      </c>
      <c r="D138">
        <v>1</v>
      </c>
      <c r="E138">
        <v>0</v>
      </c>
      <c r="F138" s="1">
        <v>42795</v>
      </c>
      <c r="G138">
        <v>1</v>
      </c>
      <c r="I138" s="1">
        <v>42785</v>
      </c>
      <c r="J138" t="s">
        <v>214</v>
      </c>
    </row>
    <row r="139" spans="1:10" x14ac:dyDescent="0.2">
      <c r="A139" s="6" t="s">
        <v>220</v>
      </c>
      <c r="B139" s="2">
        <v>19.010000000000002</v>
      </c>
      <c r="C139">
        <v>0</v>
      </c>
      <c r="D139">
        <v>1</v>
      </c>
      <c r="E139">
        <v>0</v>
      </c>
      <c r="F139" s="1">
        <v>42795</v>
      </c>
      <c r="G139">
        <v>1</v>
      </c>
      <c r="I139" s="1">
        <v>42785</v>
      </c>
      <c r="J139" t="s">
        <v>214</v>
      </c>
    </row>
    <row r="140" spans="1:10" x14ac:dyDescent="0.2">
      <c r="A140" s="6" t="s">
        <v>221</v>
      </c>
      <c r="B140" s="2">
        <v>171.33</v>
      </c>
      <c r="C140">
        <v>0</v>
      </c>
      <c r="D140">
        <v>1</v>
      </c>
      <c r="E140">
        <v>0</v>
      </c>
      <c r="F140" s="1">
        <v>42795</v>
      </c>
      <c r="G140">
        <v>1</v>
      </c>
      <c r="I140" s="1">
        <v>42785</v>
      </c>
      <c r="J140" t="s">
        <v>27</v>
      </c>
    </row>
    <row r="141" spans="1:10" x14ac:dyDescent="0.2">
      <c r="A141" s="6" t="s">
        <v>222</v>
      </c>
      <c r="B141" s="2">
        <v>13.4</v>
      </c>
      <c r="C141">
        <v>0</v>
      </c>
      <c r="D141">
        <v>1</v>
      </c>
      <c r="E141">
        <v>0</v>
      </c>
      <c r="F141" s="1">
        <v>42795</v>
      </c>
      <c r="G141">
        <v>1</v>
      </c>
      <c r="I141" s="1">
        <v>42786</v>
      </c>
      <c r="J141" t="s">
        <v>53</v>
      </c>
    </row>
    <row r="142" spans="1:10" x14ac:dyDescent="0.2">
      <c r="A142" t="s">
        <v>223</v>
      </c>
      <c r="B142" s="2">
        <v>100.12</v>
      </c>
      <c r="C142">
        <v>0</v>
      </c>
      <c r="D142">
        <v>1</v>
      </c>
      <c r="E142">
        <v>0</v>
      </c>
      <c r="F142" s="1">
        <v>42795</v>
      </c>
      <c r="G142">
        <v>1</v>
      </c>
      <c r="I142" s="1">
        <v>42790</v>
      </c>
      <c r="J142" t="s">
        <v>98</v>
      </c>
    </row>
    <row r="143" spans="1:10" x14ac:dyDescent="0.2">
      <c r="A143" t="s">
        <v>151</v>
      </c>
      <c r="B143" s="2">
        <v>16.89</v>
      </c>
      <c r="C143">
        <v>0</v>
      </c>
      <c r="D143">
        <v>1</v>
      </c>
      <c r="E143">
        <v>0</v>
      </c>
      <c r="F143" s="1">
        <v>42795</v>
      </c>
      <c r="G143">
        <v>1</v>
      </c>
      <c r="I143" s="1">
        <v>42790</v>
      </c>
      <c r="J143" t="s">
        <v>66</v>
      </c>
    </row>
    <row r="144" spans="1:10" x14ac:dyDescent="0.2">
      <c r="A144" t="s">
        <v>224</v>
      </c>
      <c r="B144" s="2">
        <v>57.26</v>
      </c>
      <c r="C144">
        <v>0</v>
      </c>
      <c r="D144">
        <v>1</v>
      </c>
      <c r="E144">
        <v>0</v>
      </c>
      <c r="F144" s="1">
        <v>42795</v>
      </c>
      <c r="G144">
        <v>1</v>
      </c>
      <c r="I144" s="1">
        <v>42792</v>
      </c>
      <c r="J144" t="s">
        <v>23</v>
      </c>
    </row>
    <row r="145" spans="1:10" x14ac:dyDescent="0.2">
      <c r="A145" t="s">
        <v>225</v>
      </c>
      <c r="B145" s="2">
        <v>29.49</v>
      </c>
      <c r="C145">
        <v>0</v>
      </c>
      <c r="D145">
        <v>1</v>
      </c>
      <c r="E145">
        <v>0</v>
      </c>
      <c r="F145" s="1">
        <v>42795</v>
      </c>
      <c r="G145">
        <v>1</v>
      </c>
      <c r="I145" s="1">
        <v>42792</v>
      </c>
      <c r="J145" t="s">
        <v>23</v>
      </c>
    </row>
    <row r="146" spans="1:10" x14ac:dyDescent="0.2">
      <c r="A146" t="s">
        <v>234</v>
      </c>
      <c r="B146" s="2">
        <v>185.05</v>
      </c>
      <c r="C146">
        <v>0</v>
      </c>
      <c r="D146">
        <v>1</v>
      </c>
      <c r="E146">
        <v>0</v>
      </c>
      <c r="F146" s="1">
        <v>42795</v>
      </c>
      <c r="G146">
        <v>1</v>
      </c>
      <c r="I146" s="1">
        <v>42792</v>
      </c>
      <c r="J146" t="s">
        <v>27</v>
      </c>
    </row>
    <row r="147" spans="1:10" x14ac:dyDescent="0.2">
      <c r="A147" t="s">
        <v>235</v>
      </c>
      <c r="B147" s="2">
        <v>9.94</v>
      </c>
      <c r="C147">
        <v>0</v>
      </c>
      <c r="D147">
        <v>1</v>
      </c>
      <c r="E147">
        <v>0</v>
      </c>
      <c r="F147" s="1">
        <v>42795</v>
      </c>
      <c r="G147">
        <v>1</v>
      </c>
      <c r="I147" s="1">
        <v>42795</v>
      </c>
      <c r="J147" t="s">
        <v>236</v>
      </c>
    </row>
    <row r="148" spans="1:10" x14ac:dyDescent="0.2">
      <c r="A148" t="s">
        <v>126</v>
      </c>
      <c r="B148" s="2">
        <v>199.81</v>
      </c>
      <c r="C148">
        <v>0</v>
      </c>
      <c r="D148">
        <v>1</v>
      </c>
      <c r="E148">
        <v>0</v>
      </c>
      <c r="F148" s="1">
        <v>42795</v>
      </c>
      <c r="G148">
        <v>1</v>
      </c>
      <c r="I148" s="1">
        <v>42796</v>
      </c>
      <c r="J148" t="s">
        <v>23</v>
      </c>
    </row>
    <row r="149" spans="1:10" x14ac:dyDescent="0.2">
      <c r="A149" t="s">
        <v>239</v>
      </c>
      <c r="B149" s="2">
        <v>33</v>
      </c>
      <c r="C149">
        <v>0</v>
      </c>
      <c r="D149">
        <v>1</v>
      </c>
      <c r="E149">
        <v>0</v>
      </c>
      <c r="F149" s="1">
        <v>42795</v>
      </c>
      <c r="G149">
        <v>1</v>
      </c>
      <c r="I149" s="1">
        <v>42797</v>
      </c>
      <c r="J149" t="s">
        <v>53</v>
      </c>
    </row>
    <row r="150" spans="1:10" x14ac:dyDescent="0.2">
      <c r="A150" t="s">
        <v>240</v>
      </c>
      <c r="B150" s="2">
        <v>88.55</v>
      </c>
      <c r="C150">
        <v>0</v>
      </c>
      <c r="D150">
        <v>1</v>
      </c>
      <c r="E150">
        <v>0</v>
      </c>
      <c r="F150" s="1">
        <v>42795</v>
      </c>
      <c r="G150">
        <v>1</v>
      </c>
      <c r="I150" s="1">
        <v>42798</v>
      </c>
      <c r="J150" t="s">
        <v>76</v>
      </c>
    </row>
    <row r="151" spans="1:10" x14ac:dyDescent="0.2">
      <c r="A151" t="s">
        <v>241</v>
      </c>
      <c r="B151" s="2">
        <v>39.6</v>
      </c>
      <c r="C151">
        <v>0</v>
      </c>
      <c r="D151">
        <v>1</v>
      </c>
      <c r="E151">
        <v>0</v>
      </c>
      <c r="F151" s="1">
        <v>42795</v>
      </c>
      <c r="G151">
        <v>1</v>
      </c>
      <c r="I151" s="1">
        <v>42798</v>
      </c>
      <c r="J151" t="s">
        <v>138</v>
      </c>
    </row>
    <row r="152" spans="1:10" x14ac:dyDescent="0.2">
      <c r="A152" t="s">
        <v>245</v>
      </c>
      <c r="B152" s="2">
        <v>23.4</v>
      </c>
      <c r="C152">
        <v>0</v>
      </c>
      <c r="D152">
        <v>1</v>
      </c>
      <c r="E152">
        <v>0</v>
      </c>
      <c r="F152" s="1">
        <v>42795</v>
      </c>
      <c r="G152">
        <v>1</v>
      </c>
      <c r="I152" s="1">
        <v>42799</v>
      </c>
      <c r="J152" t="s">
        <v>76</v>
      </c>
    </row>
    <row r="153" spans="1:10" x14ac:dyDescent="0.2">
      <c r="A153" t="s">
        <v>151</v>
      </c>
      <c r="B153" s="2">
        <v>16.38</v>
      </c>
      <c r="C153">
        <v>0</v>
      </c>
      <c r="D153">
        <v>1</v>
      </c>
      <c r="E153">
        <v>0</v>
      </c>
      <c r="F153" s="1">
        <v>42795</v>
      </c>
      <c r="G153">
        <v>1</v>
      </c>
      <c r="I153" s="1">
        <v>42799</v>
      </c>
      <c r="J153" t="s">
        <v>66</v>
      </c>
    </row>
    <row r="154" spans="1:10" x14ac:dyDescent="0.2">
      <c r="A154" t="s">
        <v>236</v>
      </c>
      <c r="B154" s="2">
        <v>52.7</v>
      </c>
      <c r="C154">
        <v>0</v>
      </c>
      <c r="D154">
        <v>1</v>
      </c>
      <c r="E154">
        <v>0</v>
      </c>
      <c r="F154" s="1">
        <v>42795</v>
      </c>
      <c r="G154">
        <v>1</v>
      </c>
      <c r="I154" s="1">
        <v>42803</v>
      </c>
      <c r="J154" t="s">
        <v>236</v>
      </c>
    </row>
    <row r="155" spans="1:10" x14ac:dyDescent="0.2">
      <c r="A155" t="s">
        <v>236</v>
      </c>
      <c r="B155" s="2">
        <v>13.08</v>
      </c>
      <c r="C155">
        <v>0</v>
      </c>
      <c r="D155">
        <v>1</v>
      </c>
      <c r="E155">
        <v>0</v>
      </c>
      <c r="F155" s="1">
        <v>42795</v>
      </c>
      <c r="G155">
        <v>1</v>
      </c>
      <c r="I155" s="1">
        <v>42803</v>
      </c>
      <c r="J155" t="s">
        <v>236</v>
      </c>
    </row>
    <row r="156" spans="1:10" x14ac:dyDescent="0.2">
      <c r="A156" s="6" t="s">
        <v>207</v>
      </c>
      <c r="B156" s="2">
        <v>41</v>
      </c>
      <c r="C156">
        <v>0</v>
      </c>
      <c r="D156">
        <v>1</v>
      </c>
      <c r="E156">
        <v>0</v>
      </c>
      <c r="F156" s="1">
        <v>42826</v>
      </c>
      <c r="G156">
        <v>0</v>
      </c>
      <c r="I156" s="1">
        <v>42770</v>
      </c>
      <c r="J156" t="s">
        <v>53</v>
      </c>
    </row>
    <row r="157" spans="1:10" x14ac:dyDescent="0.2">
      <c r="A157" t="s">
        <v>314</v>
      </c>
      <c r="B157" s="2">
        <v>143.5</v>
      </c>
      <c r="C157">
        <v>0</v>
      </c>
      <c r="D157">
        <v>1</v>
      </c>
      <c r="E157">
        <v>0</v>
      </c>
      <c r="F157" s="1">
        <v>42826</v>
      </c>
      <c r="G157">
        <v>0</v>
      </c>
      <c r="I157" s="1">
        <v>42782</v>
      </c>
      <c r="J157" t="s">
        <v>53</v>
      </c>
    </row>
    <row r="158" spans="1:10" x14ac:dyDescent="0.2">
      <c r="A158" t="s">
        <v>315</v>
      </c>
      <c r="B158" s="2">
        <v>16.899999999999999</v>
      </c>
      <c r="C158">
        <v>0</v>
      </c>
      <c r="D158">
        <v>1</v>
      </c>
      <c r="E158">
        <v>0</v>
      </c>
      <c r="F158" s="1">
        <v>42826</v>
      </c>
      <c r="G158">
        <v>0</v>
      </c>
      <c r="I158" s="1">
        <v>42801</v>
      </c>
      <c r="J158" t="s">
        <v>315</v>
      </c>
    </row>
    <row r="159" spans="1:10" x14ac:dyDescent="0.2">
      <c r="A159" t="s">
        <v>316</v>
      </c>
      <c r="B159" s="7">
        <v>33</v>
      </c>
      <c r="C159">
        <v>0</v>
      </c>
      <c r="D159">
        <v>1</v>
      </c>
      <c r="E159">
        <v>0</v>
      </c>
      <c r="F159" s="1">
        <v>42826</v>
      </c>
      <c r="G159">
        <v>0</v>
      </c>
      <c r="I159" s="1">
        <v>42814</v>
      </c>
      <c r="J159" t="s">
        <v>61</v>
      </c>
    </row>
    <row r="160" spans="1:10" x14ac:dyDescent="0.2">
      <c r="A160" t="s">
        <v>116</v>
      </c>
      <c r="B160" s="2">
        <v>89.8</v>
      </c>
      <c r="C160">
        <v>0</v>
      </c>
      <c r="D160">
        <v>1</v>
      </c>
      <c r="E160">
        <v>0</v>
      </c>
      <c r="F160" s="1">
        <v>42826</v>
      </c>
      <c r="G160">
        <v>0</v>
      </c>
      <c r="I160" s="1">
        <v>42814</v>
      </c>
      <c r="J160" t="s">
        <v>117</v>
      </c>
    </row>
    <row r="161" spans="1:10" x14ac:dyDescent="0.2">
      <c r="A161" t="s">
        <v>118</v>
      </c>
      <c r="B161" s="2">
        <v>22.9</v>
      </c>
      <c r="C161">
        <v>0</v>
      </c>
      <c r="D161">
        <v>1</v>
      </c>
      <c r="E161">
        <v>0</v>
      </c>
      <c r="F161" s="1">
        <v>42826</v>
      </c>
      <c r="G161">
        <v>0</v>
      </c>
      <c r="I161" s="1">
        <v>42823</v>
      </c>
      <c r="J161" t="s">
        <v>119</v>
      </c>
    </row>
    <row r="162" spans="1:10" x14ac:dyDescent="0.2">
      <c r="A162" t="s">
        <v>284</v>
      </c>
      <c r="B162" s="2">
        <v>63</v>
      </c>
      <c r="C162">
        <v>0</v>
      </c>
      <c r="D162">
        <v>1</v>
      </c>
      <c r="E162">
        <v>0</v>
      </c>
      <c r="F162" s="1">
        <v>42826</v>
      </c>
      <c r="G162">
        <v>0</v>
      </c>
      <c r="I162" s="1">
        <v>42823</v>
      </c>
      <c r="J162" t="s">
        <v>236</v>
      </c>
    </row>
    <row r="163" spans="1:10" x14ac:dyDescent="0.2">
      <c r="A163" s="6" t="s">
        <v>532</v>
      </c>
      <c r="B163">
        <v>93</v>
      </c>
      <c r="C163">
        <v>0</v>
      </c>
      <c r="D163">
        <v>1</v>
      </c>
      <c r="E163">
        <v>0</v>
      </c>
      <c r="F163" s="1">
        <v>42856</v>
      </c>
      <c r="G163">
        <v>0</v>
      </c>
      <c r="I163" s="1">
        <v>42857</v>
      </c>
      <c r="J163" t="s">
        <v>53</v>
      </c>
    </row>
    <row r="164" spans="1:10" x14ac:dyDescent="0.2">
      <c r="A164" s="6" t="s">
        <v>533</v>
      </c>
      <c r="B164">
        <v>30</v>
      </c>
      <c r="C164">
        <v>0</v>
      </c>
      <c r="D164">
        <v>1</v>
      </c>
      <c r="E164">
        <v>0</v>
      </c>
      <c r="F164" s="1">
        <v>42856</v>
      </c>
      <c r="G164">
        <v>0</v>
      </c>
      <c r="I164" s="1">
        <v>42857</v>
      </c>
      <c r="J164" t="s">
        <v>53</v>
      </c>
    </row>
    <row r="165" spans="1:10" x14ac:dyDescent="0.2">
      <c r="A165" s="6" t="s">
        <v>195</v>
      </c>
      <c r="B165">
        <v>81.96</v>
      </c>
      <c r="C165">
        <v>0</v>
      </c>
      <c r="D165">
        <v>1</v>
      </c>
      <c r="E165">
        <v>0</v>
      </c>
      <c r="F165" s="1">
        <v>42856</v>
      </c>
      <c r="G165">
        <v>0</v>
      </c>
      <c r="I165" s="1">
        <v>42857</v>
      </c>
      <c r="J165" t="s">
        <v>23</v>
      </c>
    </row>
    <row r="166" spans="1:10" x14ac:dyDescent="0.2">
      <c r="A166" s="6" t="s">
        <v>534</v>
      </c>
      <c r="B166">
        <v>33</v>
      </c>
      <c r="C166">
        <v>0</v>
      </c>
      <c r="D166">
        <v>1</v>
      </c>
      <c r="E166">
        <v>0</v>
      </c>
      <c r="F166" s="1">
        <v>42856</v>
      </c>
      <c r="G166">
        <v>0</v>
      </c>
      <c r="I166" s="1">
        <v>42858</v>
      </c>
      <c r="J166" t="s">
        <v>64</v>
      </c>
    </row>
    <row r="167" spans="1:10" x14ac:dyDescent="0.2">
      <c r="A167" s="6" t="s">
        <v>535</v>
      </c>
      <c r="B167">
        <v>16.899999999999999</v>
      </c>
      <c r="C167">
        <v>0</v>
      </c>
      <c r="D167">
        <v>1</v>
      </c>
      <c r="E167">
        <v>0</v>
      </c>
      <c r="F167" s="1">
        <v>42887</v>
      </c>
      <c r="G167">
        <v>0</v>
      </c>
      <c r="I167" s="1">
        <v>42862</v>
      </c>
      <c r="J167" t="s">
        <v>53</v>
      </c>
    </row>
    <row r="168" spans="1:10" x14ac:dyDescent="0.2">
      <c r="A168" s="6" t="s">
        <v>536</v>
      </c>
      <c r="B168" s="7">
        <v>16.899999999999999</v>
      </c>
      <c r="C168">
        <v>0</v>
      </c>
      <c r="D168">
        <v>1</v>
      </c>
      <c r="E168">
        <v>0</v>
      </c>
      <c r="F168" s="1">
        <v>42856</v>
      </c>
      <c r="G168">
        <v>0</v>
      </c>
      <c r="I168" s="8">
        <v>42865</v>
      </c>
      <c r="J168" t="s">
        <v>537</v>
      </c>
    </row>
    <row r="169" spans="1:10" x14ac:dyDescent="0.2">
      <c r="A169" s="6" t="s">
        <v>538</v>
      </c>
      <c r="B169" s="7">
        <v>70</v>
      </c>
      <c r="C169">
        <v>0</v>
      </c>
      <c r="D169">
        <v>1</v>
      </c>
      <c r="E169">
        <v>0</v>
      </c>
      <c r="F169" s="1">
        <v>42856</v>
      </c>
      <c r="G169">
        <v>0</v>
      </c>
      <c r="I169" s="8">
        <v>42865</v>
      </c>
      <c r="J169" t="s">
        <v>53</v>
      </c>
    </row>
    <row r="170" spans="1:10" x14ac:dyDescent="0.2">
      <c r="A170" s="6" t="s">
        <v>539</v>
      </c>
      <c r="B170" s="7">
        <v>31.99</v>
      </c>
      <c r="C170">
        <v>0</v>
      </c>
      <c r="D170">
        <v>1</v>
      </c>
      <c r="E170">
        <v>0</v>
      </c>
      <c r="F170" s="1">
        <v>42856</v>
      </c>
      <c r="G170">
        <v>0</v>
      </c>
      <c r="I170" s="8">
        <v>42865</v>
      </c>
      <c r="J170" t="s">
        <v>53</v>
      </c>
    </row>
    <row r="171" spans="1:10" x14ac:dyDescent="0.2">
      <c r="A171" s="6" t="s">
        <v>540</v>
      </c>
      <c r="B171" s="7">
        <v>10</v>
      </c>
      <c r="C171">
        <v>0</v>
      </c>
      <c r="D171">
        <v>1</v>
      </c>
      <c r="E171">
        <v>0</v>
      </c>
      <c r="F171" s="1">
        <v>42856</v>
      </c>
      <c r="G171">
        <v>0</v>
      </c>
      <c r="I171" s="8">
        <v>42865</v>
      </c>
      <c r="J171" t="s">
        <v>23</v>
      </c>
    </row>
    <row r="172" spans="1:10" x14ac:dyDescent="0.2">
      <c r="A172" s="6" t="s">
        <v>534</v>
      </c>
      <c r="B172">
        <v>33</v>
      </c>
      <c r="C172">
        <v>0</v>
      </c>
      <c r="D172">
        <v>1</v>
      </c>
      <c r="E172">
        <v>0</v>
      </c>
      <c r="F172" s="1">
        <v>42856</v>
      </c>
      <c r="G172">
        <v>0</v>
      </c>
      <c r="I172" s="8">
        <v>42865</v>
      </c>
      <c r="J172" t="s">
        <v>64</v>
      </c>
    </row>
    <row r="173" spans="1:10" x14ac:dyDescent="0.2">
      <c r="A173" s="6" t="s">
        <v>536</v>
      </c>
      <c r="B173" s="7">
        <v>0</v>
      </c>
      <c r="C173">
        <v>0</v>
      </c>
      <c r="D173">
        <v>1</v>
      </c>
      <c r="E173">
        <v>0</v>
      </c>
      <c r="F173" s="1">
        <v>42887</v>
      </c>
      <c r="G173">
        <v>0</v>
      </c>
      <c r="I173" s="8">
        <v>42865</v>
      </c>
      <c r="J173" t="s">
        <v>537</v>
      </c>
    </row>
    <row r="174" spans="1:10" x14ac:dyDescent="0.2">
      <c r="A174" s="6" t="s">
        <v>195</v>
      </c>
      <c r="B174">
        <v>157.93</v>
      </c>
      <c r="C174">
        <v>0</v>
      </c>
      <c r="D174">
        <v>1</v>
      </c>
      <c r="E174">
        <v>0</v>
      </c>
      <c r="F174" s="1">
        <v>42887</v>
      </c>
      <c r="G174">
        <v>0</v>
      </c>
      <c r="I174" s="1">
        <v>42871</v>
      </c>
      <c r="J174" t="s">
        <v>23</v>
      </c>
    </row>
    <row r="175" spans="1:10" x14ac:dyDescent="0.2">
      <c r="A175" s="6" t="s">
        <v>541</v>
      </c>
      <c r="B175">
        <v>1567.22</v>
      </c>
      <c r="C175">
        <v>0</v>
      </c>
      <c r="D175">
        <v>1</v>
      </c>
      <c r="E175">
        <v>0</v>
      </c>
      <c r="F175" s="1">
        <v>42856</v>
      </c>
      <c r="G175">
        <v>0</v>
      </c>
      <c r="I175" s="1">
        <v>42872</v>
      </c>
      <c r="J175" t="s">
        <v>194</v>
      </c>
    </row>
    <row r="176" spans="1:10" x14ac:dyDescent="0.2">
      <c r="A176" s="6" t="s">
        <v>542</v>
      </c>
      <c r="B176">
        <v>118</v>
      </c>
      <c r="C176">
        <v>0</v>
      </c>
      <c r="D176">
        <v>1</v>
      </c>
      <c r="E176">
        <v>0</v>
      </c>
      <c r="F176" s="1">
        <v>42887</v>
      </c>
      <c r="G176">
        <v>0</v>
      </c>
      <c r="I176" s="1">
        <v>42872</v>
      </c>
      <c r="J176" t="s">
        <v>23</v>
      </c>
    </row>
    <row r="177" spans="1:10" x14ac:dyDescent="0.2">
      <c r="A177" s="6" t="s">
        <v>195</v>
      </c>
      <c r="B177">
        <v>19.97</v>
      </c>
      <c r="C177">
        <v>0</v>
      </c>
      <c r="D177">
        <v>1</v>
      </c>
      <c r="E177">
        <v>0</v>
      </c>
      <c r="F177" s="1">
        <v>42887</v>
      </c>
      <c r="G177">
        <v>0</v>
      </c>
      <c r="I177" s="1">
        <v>42872</v>
      </c>
      <c r="J177" t="s">
        <v>23</v>
      </c>
    </row>
    <row r="178" spans="1:10" x14ac:dyDescent="0.2">
      <c r="A178" t="s">
        <v>543</v>
      </c>
      <c r="B178">
        <v>12</v>
      </c>
      <c r="C178">
        <v>0</v>
      </c>
      <c r="D178">
        <v>1</v>
      </c>
      <c r="E178">
        <v>0</v>
      </c>
      <c r="F178" s="1">
        <v>42887</v>
      </c>
      <c r="G178">
        <v>0</v>
      </c>
      <c r="I178" s="1">
        <v>42873</v>
      </c>
      <c r="J178" t="s">
        <v>53</v>
      </c>
    </row>
    <row r="179" spans="1:10" x14ac:dyDescent="0.2">
      <c r="A179" t="s">
        <v>544</v>
      </c>
      <c r="B179">
        <v>30.7</v>
      </c>
      <c r="C179">
        <v>0</v>
      </c>
      <c r="D179">
        <v>1</v>
      </c>
      <c r="E179">
        <v>0</v>
      </c>
      <c r="F179" s="1">
        <v>42887</v>
      </c>
      <c r="G179">
        <v>0</v>
      </c>
      <c r="I179" s="1">
        <v>42873</v>
      </c>
      <c r="J179" t="s">
        <v>98</v>
      </c>
    </row>
    <row r="180" spans="1:10" x14ac:dyDescent="0.2">
      <c r="A180" t="s">
        <v>545</v>
      </c>
      <c r="B180">
        <v>33</v>
      </c>
      <c r="C180">
        <v>0</v>
      </c>
      <c r="D180">
        <v>1</v>
      </c>
      <c r="E180">
        <v>0</v>
      </c>
      <c r="F180" s="1">
        <v>42887</v>
      </c>
      <c r="G180">
        <v>0</v>
      </c>
      <c r="I180" s="1">
        <v>42873</v>
      </c>
      <c r="J180" t="s">
        <v>53</v>
      </c>
    </row>
    <row r="181" spans="1:10" x14ac:dyDescent="0.2">
      <c r="A181" t="s">
        <v>546</v>
      </c>
      <c r="B181">
        <v>10</v>
      </c>
      <c r="C181">
        <v>0</v>
      </c>
      <c r="D181">
        <v>1</v>
      </c>
      <c r="E181">
        <v>0</v>
      </c>
      <c r="F181" s="1">
        <v>42887</v>
      </c>
      <c r="G181">
        <v>0</v>
      </c>
      <c r="I181" s="1">
        <v>42874</v>
      </c>
      <c r="J181" t="s">
        <v>53</v>
      </c>
    </row>
    <row r="182" spans="1:10" x14ac:dyDescent="0.2">
      <c r="A182" t="s">
        <v>547</v>
      </c>
      <c r="B182">
        <v>11.82</v>
      </c>
      <c r="C182">
        <v>0</v>
      </c>
      <c r="D182">
        <v>1</v>
      </c>
      <c r="E182">
        <v>0</v>
      </c>
      <c r="F182" s="1">
        <v>42887</v>
      </c>
      <c r="G182">
        <v>0</v>
      </c>
      <c r="I182" s="1">
        <v>42874</v>
      </c>
      <c r="J182" t="s">
        <v>98</v>
      </c>
    </row>
    <row r="183" spans="1:10" x14ac:dyDescent="0.2">
      <c r="A183" t="s">
        <v>548</v>
      </c>
      <c r="B183">
        <v>181.26</v>
      </c>
      <c r="C183">
        <v>0</v>
      </c>
      <c r="D183">
        <v>1</v>
      </c>
      <c r="E183">
        <v>0</v>
      </c>
      <c r="F183" s="1">
        <v>42887</v>
      </c>
      <c r="G183">
        <v>0</v>
      </c>
      <c r="I183" s="1">
        <v>42876</v>
      </c>
      <c r="J183" t="s">
        <v>27</v>
      </c>
    </row>
    <row r="184" spans="1:10" x14ac:dyDescent="0.2">
      <c r="A184" t="s">
        <v>549</v>
      </c>
      <c r="B184">
        <v>46.18</v>
      </c>
      <c r="C184">
        <v>0</v>
      </c>
      <c r="D184">
        <v>1</v>
      </c>
      <c r="E184">
        <v>0</v>
      </c>
      <c r="F184" s="1">
        <v>42887</v>
      </c>
      <c r="G184">
        <v>0</v>
      </c>
      <c r="I184" s="1">
        <v>42877</v>
      </c>
      <c r="J184" t="s">
        <v>23</v>
      </c>
    </row>
    <row r="185" spans="1:10" x14ac:dyDescent="0.2">
      <c r="A185" t="s">
        <v>549</v>
      </c>
      <c r="B185">
        <v>20</v>
      </c>
      <c r="C185">
        <v>0</v>
      </c>
      <c r="D185">
        <v>1</v>
      </c>
      <c r="E185">
        <v>0</v>
      </c>
      <c r="F185" s="1">
        <v>42887</v>
      </c>
      <c r="G185">
        <v>0</v>
      </c>
      <c r="I185" s="1">
        <v>42877</v>
      </c>
      <c r="J185" t="s">
        <v>23</v>
      </c>
    </row>
    <row r="186" spans="1:10" x14ac:dyDescent="0.2">
      <c r="A186" t="s">
        <v>550</v>
      </c>
      <c r="B186">
        <v>44.5</v>
      </c>
      <c r="C186">
        <v>0</v>
      </c>
      <c r="D186">
        <v>1</v>
      </c>
      <c r="E186">
        <v>0</v>
      </c>
      <c r="F186" s="1">
        <v>42887</v>
      </c>
      <c r="G186">
        <v>0</v>
      </c>
      <c r="I186" s="1">
        <v>42879</v>
      </c>
      <c r="J186" t="s">
        <v>53</v>
      </c>
    </row>
    <row r="187" spans="1:10" x14ac:dyDescent="0.2">
      <c r="A187" t="s">
        <v>549</v>
      </c>
      <c r="B187">
        <v>70.790000000000006</v>
      </c>
      <c r="C187">
        <v>0</v>
      </c>
      <c r="D187">
        <v>1</v>
      </c>
      <c r="E187">
        <v>0</v>
      </c>
      <c r="F187" s="1">
        <v>42887</v>
      </c>
      <c r="G187">
        <v>0</v>
      </c>
      <c r="I187" s="1">
        <v>42879</v>
      </c>
      <c r="J187" t="s">
        <v>23</v>
      </c>
    </row>
    <row r="188" spans="1:10" x14ac:dyDescent="0.2">
      <c r="A188" t="s">
        <v>551</v>
      </c>
      <c r="B188">
        <v>14.97</v>
      </c>
      <c r="C188">
        <v>0</v>
      </c>
      <c r="D188">
        <v>1</v>
      </c>
      <c r="E188">
        <v>0</v>
      </c>
      <c r="F188" s="1">
        <v>42887</v>
      </c>
      <c r="G188">
        <v>0</v>
      </c>
      <c r="I188" s="1">
        <v>42880</v>
      </c>
      <c r="J188" t="s">
        <v>53</v>
      </c>
    </row>
    <row r="189" spans="1:10" x14ac:dyDescent="0.2">
      <c r="A189" t="s">
        <v>552</v>
      </c>
      <c r="B189">
        <v>10</v>
      </c>
      <c r="C189">
        <v>0</v>
      </c>
      <c r="D189">
        <v>1</v>
      </c>
      <c r="E189">
        <v>0</v>
      </c>
      <c r="F189" s="1">
        <v>42887</v>
      </c>
      <c r="G189">
        <v>0</v>
      </c>
      <c r="I189" s="1">
        <v>42880</v>
      </c>
      <c r="J189" t="s">
        <v>334</v>
      </c>
    </row>
    <row r="190" spans="1:10" x14ac:dyDescent="0.2">
      <c r="A190" t="s">
        <v>553</v>
      </c>
      <c r="B190">
        <v>21.65</v>
      </c>
      <c r="C190">
        <v>0</v>
      </c>
      <c r="D190">
        <v>1</v>
      </c>
      <c r="E190">
        <v>0</v>
      </c>
      <c r="F190" s="1">
        <v>42887</v>
      </c>
      <c r="G190">
        <v>0</v>
      </c>
      <c r="I190" s="1">
        <v>42880</v>
      </c>
      <c r="J190" t="s">
        <v>334</v>
      </c>
    </row>
    <row r="191" spans="1:10" x14ac:dyDescent="0.2">
      <c r="A191" t="s">
        <v>554</v>
      </c>
      <c r="B191">
        <v>13.8</v>
      </c>
      <c r="C191">
        <v>0</v>
      </c>
      <c r="D191">
        <v>1</v>
      </c>
      <c r="E191">
        <v>0</v>
      </c>
      <c r="F191" s="1">
        <v>42887</v>
      </c>
      <c r="G191">
        <v>0</v>
      </c>
      <c r="I191" s="1">
        <v>42880</v>
      </c>
      <c r="J191" t="s">
        <v>334</v>
      </c>
    </row>
    <row r="192" spans="1:10" x14ac:dyDescent="0.2">
      <c r="A192" t="s">
        <v>555</v>
      </c>
      <c r="B192">
        <v>9.6</v>
      </c>
      <c r="C192">
        <v>0</v>
      </c>
      <c r="D192">
        <v>1</v>
      </c>
      <c r="E192">
        <v>0</v>
      </c>
      <c r="F192" s="1">
        <v>42887</v>
      </c>
      <c r="G192">
        <v>0</v>
      </c>
      <c r="I192" s="1">
        <v>42880</v>
      </c>
      <c r="J192" t="s">
        <v>334</v>
      </c>
    </row>
    <row r="193" spans="1:10" x14ac:dyDescent="0.2">
      <c r="A193" t="s">
        <v>556</v>
      </c>
      <c r="B193">
        <v>37.81</v>
      </c>
      <c r="C193">
        <v>0</v>
      </c>
      <c r="D193">
        <v>1</v>
      </c>
      <c r="E193">
        <v>0</v>
      </c>
      <c r="F193" s="1">
        <v>42887</v>
      </c>
      <c r="G193">
        <v>0</v>
      </c>
      <c r="I193" s="1">
        <v>42880</v>
      </c>
      <c r="J193" t="s">
        <v>334</v>
      </c>
    </row>
    <row r="194" spans="1:10" x14ac:dyDescent="0.2">
      <c r="A194" t="s">
        <v>557</v>
      </c>
      <c r="B194">
        <v>23.96</v>
      </c>
      <c r="C194">
        <v>0</v>
      </c>
      <c r="D194">
        <v>1</v>
      </c>
      <c r="E194">
        <v>0</v>
      </c>
      <c r="F194" s="1">
        <v>42887</v>
      </c>
      <c r="G194">
        <v>0</v>
      </c>
      <c r="I194" s="1">
        <v>42882</v>
      </c>
      <c r="J194" t="s">
        <v>98</v>
      </c>
    </row>
    <row r="195" spans="1:10" x14ac:dyDescent="0.2">
      <c r="A195" t="s">
        <v>136</v>
      </c>
      <c r="B195">
        <v>177.83</v>
      </c>
      <c r="C195">
        <v>0</v>
      </c>
      <c r="D195">
        <v>1</v>
      </c>
      <c r="E195">
        <v>0</v>
      </c>
      <c r="F195" s="1">
        <v>42887</v>
      </c>
      <c r="G195">
        <v>0</v>
      </c>
      <c r="I195" s="1">
        <v>42884</v>
      </c>
      <c r="J195" t="s">
        <v>251</v>
      </c>
    </row>
    <row r="196" spans="1:10" x14ac:dyDescent="0.2">
      <c r="A196" t="s">
        <v>118</v>
      </c>
      <c r="B196">
        <v>22.9</v>
      </c>
      <c r="C196">
        <v>0</v>
      </c>
      <c r="D196">
        <v>1</v>
      </c>
      <c r="E196">
        <v>0</v>
      </c>
      <c r="F196" s="1">
        <v>42887</v>
      </c>
      <c r="G196">
        <v>0</v>
      </c>
      <c r="I196" s="1">
        <v>42884</v>
      </c>
      <c r="J196" t="s">
        <v>119</v>
      </c>
    </row>
    <row r="197" spans="1:10" x14ac:dyDescent="0.2">
      <c r="A197" t="s">
        <v>558</v>
      </c>
      <c r="B197">
        <v>172.8</v>
      </c>
      <c r="C197">
        <v>0</v>
      </c>
      <c r="D197">
        <v>1</v>
      </c>
      <c r="E197">
        <v>0</v>
      </c>
      <c r="F197" s="1">
        <v>42887</v>
      </c>
      <c r="G197">
        <v>0</v>
      </c>
      <c r="I197" s="1">
        <v>42884</v>
      </c>
      <c r="J197" t="s">
        <v>53</v>
      </c>
    </row>
    <row r="198" spans="1:10" x14ac:dyDescent="0.2">
      <c r="A198" t="s">
        <v>558</v>
      </c>
      <c r="B198">
        <v>158.80000000000001</v>
      </c>
      <c r="C198">
        <v>0</v>
      </c>
      <c r="D198">
        <v>1</v>
      </c>
      <c r="E198">
        <v>0</v>
      </c>
      <c r="F198" s="1">
        <v>42887</v>
      </c>
      <c r="G198">
        <v>0</v>
      </c>
      <c r="I198" s="1">
        <v>42884</v>
      </c>
      <c r="J198" t="s">
        <v>53</v>
      </c>
    </row>
    <row r="199" spans="1:10" x14ac:dyDescent="0.2">
      <c r="A199" t="s">
        <v>549</v>
      </c>
      <c r="B199">
        <v>123.1</v>
      </c>
      <c r="C199">
        <v>0</v>
      </c>
      <c r="D199">
        <v>1</v>
      </c>
      <c r="E199">
        <v>0</v>
      </c>
      <c r="F199" s="1">
        <v>42887</v>
      </c>
      <c r="G199">
        <v>0</v>
      </c>
      <c r="I199" s="1">
        <v>42884</v>
      </c>
      <c r="J199" t="s">
        <v>23</v>
      </c>
    </row>
    <row r="200" spans="1:10" x14ac:dyDescent="0.2">
      <c r="A200" t="s">
        <v>42</v>
      </c>
      <c r="B200">
        <v>0</v>
      </c>
      <c r="C200">
        <v>0</v>
      </c>
      <c r="D200">
        <v>1</v>
      </c>
      <c r="E200">
        <v>0</v>
      </c>
      <c r="F200" s="1">
        <v>42948</v>
      </c>
      <c r="G200">
        <v>1</v>
      </c>
      <c r="I200" s="1">
        <v>42884</v>
      </c>
      <c r="J200" t="s">
        <v>192</v>
      </c>
    </row>
    <row r="201" spans="1:10" x14ac:dyDescent="0.2">
      <c r="A201" t="s">
        <v>547</v>
      </c>
      <c r="B201">
        <v>70.94</v>
      </c>
      <c r="C201">
        <v>0</v>
      </c>
      <c r="D201">
        <v>1</v>
      </c>
      <c r="E201">
        <v>0</v>
      </c>
      <c r="F201" s="1">
        <v>42887</v>
      </c>
      <c r="G201">
        <v>0</v>
      </c>
      <c r="I201" s="1">
        <v>42886</v>
      </c>
      <c r="J201" t="s">
        <v>98</v>
      </c>
    </row>
    <row r="202" spans="1:10" x14ac:dyDescent="0.2">
      <c r="A202" t="s">
        <v>544</v>
      </c>
      <c r="B202">
        <v>81.760000000000005</v>
      </c>
      <c r="C202">
        <v>0</v>
      </c>
      <c r="D202">
        <v>1</v>
      </c>
      <c r="E202">
        <v>0</v>
      </c>
      <c r="F202" s="1">
        <v>42887</v>
      </c>
      <c r="G202">
        <v>0</v>
      </c>
      <c r="I202" s="1">
        <v>42888</v>
      </c>
      <c r="J202" t="s">
        <v>98</v>
      </c>
    </row>
    <row r="203" spans="1:10" x14ac:dyDescent="0.2">
      <c r="A203" t="s">
        <v>559</v>
      </c>
      <c r="B203">
        <v>4</v>
      </c>
      <c r="C203">
        <v>0</v>
      </c>
      <c r="D203">
        <v>1</v>
      </c>
      <c r="E203">
        <v>0</v>
      </c>
      <c r="F203" s="1">
        <v>42887</v>
      </c>
      <c r="G203">
        <v>0</v>
      </c>
      <c r="I203" s="1">
        <v>42888</v>
      </c>
      <c r="J203" t="s">
        <v>53</v>
      </c>
    </row>
    <row r="204" spans="1:10" x14ac:dyDescent="0.2">
      <c r="A204" t="s">
        <v>224</v>
      </c>
      <c r="B204">
        <v>83.08</v>
      </c>
      <c r="C204">
        <v>0</v>
      </c>
      <c r="D204">
        <v>1</v>
      </c>
      <c r="E204">
        <v>0</v>
      </c>
      <c r="F204" s="1">
        <v>42887</v>
      </c>
      <c r="G204">
        <v>0</v>
      </c>
      <c r="I204" s="1">
        <v>42890</v>
      </c>
      <c r="J204" t="s">
        <v>23</v>
      </c>
    </row>
    <row r="205" spans="1:10" x14ac:dyDescent="0.2">
      <c r="A205" s="6" t="s">
        <v>116</v>
      </c>
      <c r="B205" s="7">
        <v>89.8</v>
      </c>
      <c r="C205">
        <v>0</v>
      </c>
      <c r="D205">
        <v>1</v>
      </c>
      <c r="E205">
        <v>0</v>
      </c>
      <c r="F205" s="1">
        <v>42887</v>
      </c>
      <c r="G205">
        <v>0</v>
      </c>
      <c r="I205" s="8">
        <v>42896</v>
      </c>
      <c r="J205" t="s">
        <v>117</v>
      </c>
    </row>
    <row r="206" spans="1:10" x14ac:dyDescent="0.2">
      <c r="A206" s="6" t="s">
        <v>118</v>
      </c>
      <c r="B206" s="7">
        <v>0</v>
      </c>
      <c r="C206">
        <v>0</v>
      </c>
      <c r="D206">
        <v>1</v>
      </c>
      <c r="E206">
        <v>0</v>
      </c>
      <c r="F206" s="1">
        <v>42887</v>
      </c>
      <c r="G206">
        <v>0</v>
      </c>
      <c r="I206" s="8">
        <v>42896</v>
      </c>
      <c r="J206" t="s">
        <v>119</v>
      </c>
    </row>
    <row r="207" spans="1:10" x14ac:dyDescent="0.2">
      <c r="A207" s="6" t="s">
        <v>534</v>
      </c>
      <c r="B207">
        <v>33</v>
      </c>
      <c r="C207">
        <v>0</v>
      </c>
      <c r="D207">
        <v>1</v>
      </c>
      <c r="E207">
        <v>0</v>
      </c>
      <c r="F207" s="1">
        <v>42887</v>
      </c>
      <c r="G207">
        <v>0</v>
      </c>
      <c r="I207" s="8">
        <v>42896</v>
      </c>
      <c r="J207" t="s">
        <v>64</v>
      </c>
    </row>
    <row r="208" spans="1:10" x14ac:dyDescent="0.2">
      <c r="A208" s="6" t="s">
        <v>560</v>
      </c>
      <c r="B208">
        <v>121.59</v>
      </c>
      <c r="C208">
        <v>0</v>
      </c>
      <c r="D208">
        <v>1</v>
      </c>
      <c r="E208">
        <v>0</v>
      </c>
      <c r="F208" s="1">
        <v>42948</v>
      </c>
      <c r="G208">
        <v>1</v>
      </c>
      <c r="I208" s="1">
        <v>42896</v>
      </c>
      <c r="J208" t="s">
        <v>23</v>
      </c>
    </row>
    <row r="209" spans="1:10" x14ac:dyDescent="0.2">
      <c r="A209" s="6" t="s">
        <v>561</v>
      </c>
      <c r="B209">
        <v>1567.22</v>
      </c>
      <c r="C209">
        <v>0</v>
      </c>
      <c r="D209">
        <v>1</v>
      </c>
      <c r="E209">
        <v>0</v>
      </c>
      <c r="F209" s="1">
        <v>42887</v>
      </c>
      <c r="G209">
        <v>0</v>
      </c>
      <c r="I209" s="1">
        <v>42903</v>
      </c>
      <c r="J209" t="s">
        <v>194</v>
      </c>
    </row>
    <row r="210" spans="1:10" x14ac:dyDescent="0.2">
      <c r="A210" t="s">
        <v>562</v>
      </c>
      <c r="B210">
        <v>91.44</v>
      </c>
      <c r="C210">
        <v>0</v>
      </c>
      <c r="D210">
        <v>1</v>
      </c>
      <c r="E210">
        <v>0</v>
      </c>
      <c r="F210" s="1">
        <v>42948</v>
      </c>
      <c r="G210">
        <v>1</v>
      </c>
      <c r="I210" s="1">
        <v>42911</v>
      </c>
      <c r="J210" t="s">
        <v>23</v>
      </c>
    </row>
    <row r="211" spans="1:10" x14ac:dyDescent="0.2">
      <c r="A211" s="6" t="s">
        <v>116</v>
      </c>
      <c r="B211" s="7">
        <v>89.8</v>
      </c>
      <c r="C211">
        <v>0</v>
      </c>
      <c r="D211">
        <v>1</v>
      </c>
      <c r="E211">
        <v>0</v>
      </c>
      <c r="F211" s="1">
        <v>42856</v>
      </c>
      <c r="G211">
        <v>0</v>
      </c>
      <c r="I211" s="8">
        <v>42926</v>
      </c>
      <c r="J211" t="s">
        <v>117</v>
      </c>
    </row>
    <row r="212" spans="1:10" x14ac:dyDescent="0.2">
      <c r="A212" s="6" t="s">
        <v>118</v>
      </c>
      <c r="B212" s="7">
        <v>22.9</v>
      </c>
      <c r="C212">
        <v>0</v>
      </c>
      <c r="D212">
        <v>1</v>
      </c>
      <c r="E212">
        <v>0</v>
      </c>
      <c r="F212" s="1">
        <v>42856</v>
      </c>
      <c r="G212">
        <v>0</v>
      </c>
      <c r="I212" s="8">
        <v>42926</v>
      </c>
      <c r="J212" t="s">
        <v>119</v>
      </c>
    </row>
    <row r="213" spans="1:10" x14ac:dyDescent="0.2">
      <c r="A213" s="6" t="s">
        <v>116</v>
      </c>
      <c r="B213" s="7">
        <v>89.8</v>
      </c>
      <c r="C213">
        <v>0</v>
      </c>
      <c r="D213">
        <v>1</v>
      </c>
      <c r="E213">
        <v>0</v>
      </c>
      <c r="F213" s="1">
        <v>42948</v>
      </c>
      <c r="G213">
        <v>1</v>
      </c>
      <c r="I213" s="8">
        <v>42957</v>
      </c>
      <c r="J213" t="s">
        <v>117</v>
      </c>
    </row>
    <row r="214" spans="1:10" x14ac:dyDescent="0.2">
      <c r="A214" s="6" t="s">
        <v>118</v>
      </c>
      <c r="B214" s="7">
        <v>27.9</v>
      </c>
      <c r="C214">
        <v>0</v>
      </c>
      <c r="D214">
        <v>1</v>
      </c>
      <c r="E214">
        <v>0</v>
      </c>
      <c r="F214" s="1">
        <v>42948</v>
      </c>
      <c r="G214">
        <v>1</v>
      </c>
      <c r="I214" s="8">
        <v>42957</v>
      </c>
      <c r="J214" t="s">
        <v>119</v>
      </c>
    </row>
    <row r="215" spans="1:10" x14ac:dyDescent="0.2">
      <c r="A215" s="6" t="s">
        <v>534</v>
      </c>
      <c r="B215">
        <v>33</v>
      </c>
      <c r="C215">
        <v>0</v>
      </c>
      <c r="D215">
        <v>1</v>
      </c>
      <c r="E215">
        <v>0</v>
      </c>
      <c r="F215" s="1">
        <v>42948</v>
      </c>
      <c r="G215">
        <v>1</v>
      </c>
      <c r="I215" s="8">
        <v>42957</v>
      </c>
      <c r="J215" t="s">
        <v>64</v>
      </c>
    </row>
    <row r="216" spans="1:10" x14ac:dyDescent="0.2">
      <c r="A216" s="6" t="s">
        <v>563</v>
      </c>
      <c r="B216">
        <v>1567.22</v>
      </c>
      <c r="C216">
        <v>0</v>
      </c>
      <c r="D216">
        <v>1</v>
      </c>
      <c r="E216">
        <v>0</v>
      </c>
      <c r="F216" s="1">
        <v>42948</v>
      </c>
      <c r="G216">
        <v>1</v>
      </c>
      <c r="I216" s="1">
        <v>42964</v>
      </c>
      <c r="J216" t="s">
        <v>194</v>
      </c>
    </row>
    <row r="217" spans="1:10" x14ac:dyDescent="0.2">
      <c r="A217" s="6" t="s">
        <v>116</v>
      </c>
      <c r="B217" s="7">
        <v>89.8</v>
      </c>
      <c r="C217">
        <v>0</v>
      </c>
      <c r="D217">
        <v>1</v>
      </c>
      <c r="E217">
        <v>0</v>
      </c>
      <c r="F217" s="1">
        <v>42979</v>
      </c>
      <c r="G217">
        <v>1</v>
      </c>
      <c r="I217" s="8">
        <v>42988</v>
      </c>
      <c r="J217" t="s">
        <v>117</v>
      </c>
    </row>
    <row r="218" spans="1:10" x14ac:dyDescent="0.2">
      <c r="A218" s="6" t="s">
        <v>118</v>
      </c>
      <c r="B218" s="7">
        <v>22.9</v>
      </c>
      <c r="C218">
        <v>0</v>
      </c>
      <c r="D218">
        <v>1</v>
      </c>
      <c r="E218">
        <v>0</v>
      </c>
      <c r="F218" s="1">
        <v>42979</v>
      </c>
      <c r="G218">
        <v>1</v>
      </c>
      <c r="I218" s="8">
        <v>42988</v>
      </c>
      <c r="J218" t="s">
        <v>119</v>
      </c>
    </row>
    <row r="219" spans="1:10" x14ac:dyDescent="0.2">
      <c r="A219" s="6" t="s">
        <v>534</v>
      </c>
      <c r="B219">
        <v>33</v>
      </c>
      <c r="C219">
        <v>0</v>
      </c>
      <c r="D219">
        <v>1</v>
      </c>
      <c r="E219">
        <v>0</v>
      </c>
      <c r="F219" s="1">
        <v>42979</v>
      </c>
      <c r="G219">
        <v>1</v>
      </c>
      <c r="I219" s="8">
        <v>42988</v>
      </c>
      <c r="J219" t="s">
        <v>64</v>
      </c>
    </row>
    <row r="220" spans="1:10" x14ac:dyDescent="0.2">
      <c r="A220" t="s">
        <v>564</v>
      </c>
      <c r="B220" s="38">
        <v>1567.22</v>
      </c>
      <c r="C220">
        <v>0</v>
      </c>
      <c r="D220">
        <v>1</v>
      </c>
      <c r="E220">
        <v>0</v>
      </c>
      <c r="F220" s="1">
        <v>42917</v>
      </c>
      <c r="G220">
        <v>0</v>
      </c>
      <c r="I220" s="1">
        <v>42811</v>
      </c>
      <c r="J220" t="s">
        <v>194</v>
      </c>
    </row>
    <row r="221" spans="1:10" x14ac:dyDescent="0.2">
      <c r="A221" t="s">
        <v>558</v>
      </c>
      <c r="B221">
        <v>-172.8</v>
      </c>
      <c r="C221">
        <v>0</v>
      </c>
      <c r="D221">
        <v>1</v>
      </c>
      <c r="E221">
        <v>0</v>
      </c>
      <c r="F221" s="1">
        <v>42917</v>
      </c>
      <c r="G221">
        <v>0</v>
      </c>
      <c r="I221" s="1">
        <v>42884</v>
      </c>
      <c r="J221" t="s">
        <v>53</v>
      </c>
    </row>
    <row r="222" spans="1:10" x14ac:dyDescent="0.2">
      <c r="A222" t="s">
        <v>565</v>
      </c>
      <c r="B222">
        <v>11</v>
      </c>
      <c r="C222">
        <v>0</v>
      </c>
      <c r="D222">
        <v>1</v>
      </c>
      <c r="E222">
        <v>0</v>
      </c>
      <c r="F222" s="1">
        <v>42917</v>
      </c>
      <c r="G222">
        <v>0</v>
      </c>
      <c r="I222" s="1">
        <v>42893</v>
      </c>
      <c r="J222" t="s">
        <v>66</v>
      </c>
    </row>
    <row r="223" spans="1:10" x14ac:dyDescent="0.2">
      <c r="A223" t="s">
        <v>557</v>
      </c>
      <c r="B223">
        <v>23.79</v>
      </c>
      <c r="C223">
        <v>0</v>
      </c>
      <c r="D223">
        <v>1</v>
      </c>
      <c r="E223">
        <v>0</v>
      </c>
      <c r="F223" s="1">
        <v>42917</v>
      </c>
      <c r="G223">
        <v>0</v>
      </c>
      <c r="I223" s="1">
        <v>42893</v>
      </c>
      <c r="J223" t="s">
        <v>98</v>
      </c>
    </row>
    <row r="224" spans="1:10" x14ac:dyDescent="0.2">
      <c r="A224" t="s">
        <v>566</v>
      </c>
      <c r="B224">
        <v>16.899999999999999</v>
      </c>
      <c r="C224">
        <v>0</v>
      </c>
      <c r="D224">
        <v>1</v>
      </c>
      <c r="E224">
        <v>0</v>
      </c>
      <c r="F224" s="1">
        <v>42917</v>
      </c>
      <c r="G224">
        <v>0</v>
      </c>
      <c r="I224" s="1">
        <v>42893</v>
      </c>
      <c r="J224" t="s">
        <v>53</v>
      </c>
    </row>
    <row r="225" spans="1:10" x14ac:dyDescent="0.2">
      <c r="A225" t="s">
        <v>567</v>
      </c>
      <c r="B225">
        <v>10.1</v>
      </c>
      <c r="C225">
        <v>0</v>
      </c>
      <c r="D225">
        <v>1</v>
      </c>
      <c r="E225">
        <v>0</v>
      </c>
      <c r="F225" s="1">
        <v>42917</v>
      </c>
      <c r="G225">
        <v>0</v>
      </c>
      <c r="I225" s="1">
        <v>42894</v>
      </c>
      <c r="J225" t="s">
        <v>53</v>
      </c>
    </row>
    <row r="226" spans="1:10" x14ac:dyDescent="0.2">
      <c r="A226" t="s">
        <v>568</v>
      </c>
      <c r="B226">
        <v>23.8</v>
      </c>
      <c r="C226">
        <v>0</v>
      </c>
      <c r="D226">
        <v>1</v>
      </c>
      <c r="E226">
        <v>0</v>
      </c>
      <c r="F226" s="1">
        <v>42917</v>
      </c>
      <c r="G226">
        <v>0</v>
      </c>
      <c r="I226" s="1">
        <v>42894</v>
      </c>
      <c r="J226" t="s">
        <v>334</v>
      </c>
    </row>
    <row r="227" spans="1:10" x14ac:dyDescent="0.2">
      <c r="A227" t="s">
        <v>136</v>
      </c>
      <c r="B227">
        <v>173.01</v>
      </c>
      <c r="C227">
        <v>0</v>
      </c>
      <c r="D227">
        <v>1</v>
      </c>
      <c r="E227">
        <v>0</v>
      </c>
      <c r="F227" s="1">
        <v>42917</v>
      </c>
      <c r="G227">
        <v>0</v>
      </c>
      <c r="I227" s="1">
        <v>42896</v>
      </c>
      <c r="J227" t="s">
        <v>251</v>
      </c>
    </row>
    <row r="228" spans="1:10" x14ac:dyDescent="0.2">
      <c r="A228" t="s">
        <v>163</v>
      </c>
      <c r="B228">
        <v>22.09</v>
      </c>
      <c r="C228">
        <v>0</v>
      </c>
      <c r="D228">
        <v>1</v>
      </c>
      <c r="E228">
        <v>0</v>
      </c>
      <c r="F228" s="1">
        <v>42917</v>
      </c>
      <c r="G228">
        <v>0</v>
      </c>
      <c r="I228" s="1">
        <v>42896</v>
      </c>
      <c r="J228" t="s">
        <v>66</v>
      </c>
    </row>
    <row r="229" spans="1:10" x14ac:dyDescent="0.2">
      <c r="A229" t="s">
        <v>569</v>
      </c>
      <c r="B229" s="38">
        <v>1476.3</v>
      </c>
      <c r="C229">
        <v>0</v>
      </c>
      <c r="D229">
        <v>1</v>
      </c>
      <c r="E229">
        <v>0</v>
      </c>
      <c r="F229" s="1">
        <v>42917</v>
      </c>
      <c r="G229">
        <v>0</v>
      </c>
      <c r="I229" s="1">
        <v>42902</v>
      </c>
      <c r="J229" t="s">
        <v>36</v>
      </c>
    </row>
    <row r="230" spans="1:10" x14ac:dyDescent="0.2">
      <c r="A230" t="s">
        <v>570</v>
      </c>
      <c r="B230">
        <v>121.59</v>
      </c>
      <c r="C230">
        <v>0</v>
      </c>
      <c r="D230">
        <v>1</v>
      </c>
      <c r="E230">
        <v>0</v>
      </c>
      <c r="F230" s="1">
        <v>42917</v>
      </c>
      <c r="G230">
        <v>0</v>
      </c>
      <c r="I230" s="1">
        <v>42904</v>
      </c>
      <c r="J230" t="s">
        <v>23</v>
      </c>
    </row>
    <row r="231" spans="1:10" x14ac:dyDescent="0.2">
      <c r="A231" t="s">
        <v>569</v>
      </c>
      <c r="B231">
        <v>470.66</v>
      </c>
      <c r="C231">
        <v>0</v>
      </c>
      <c r="D231">
        <v>1</v>
      </c>
      <c r="E231">
        <v>0</v>
      </c>
      <c r="F231" s="1">
        <v>42917</v>
      </c>
      <c r="G231">
        <v>0</v>
      </c>
      <c r="I231" s="1">
        <v>42904</v>
      </c>
      <c r="J231" t="s">
        <v>27</v>
      </c>
    </row>
    <row r="232" spans="1:10" x14ac:dyDescent="0.2">
      <c r="A232" t="s">
        <v>131</v>
      </c>
      <c r="B232">
        <v>50</v>
      </c>
      <c r="C232">
        <v>0</v>
      </c>
      <c r="D232">
        <v>1</v>
      </c>
      <c r="E232">
        <v>0</v>
      </c>
      <c r="F232" s="1">
        <v>42917</v>
      </c>
      <c r="G232">
        <v>0</v>
      </c>
      <c r="I232" s="1">
        <v>42905</v>
      </c>
      <c r="J232" t="s">
        <v>27</v>
      </c>
    </row>
    <row r="233" spans="1:10" x14ac:dyDescent="0.2">
      <c r="A233" t="s">
        <v>571</v>
      </c>
      <c r="B233">
        <v>89.8</v>
      </c>
      <c r="C233">
        <v>0</v>
      </c>
      <c r="D233">
        <v>1</v>
      </c>
      <c r="E233">
        <v>0</v>
      </c>
      <c r="F233" s="1">
        <v>42917</v>
      </c>
      <c r="G233">
        <v>0</v>
      </c>
      <c r="I233" s="1">
        <v>42906</v>
      </c>
      <c r="J233" t="s">
        <v>117</v>
      </c>
    </row>
    <row r="234" spans="1:10" x14ac:dyDescent="0.2">
      <c r="A234" t="s">
        <v>557</v>
      </c>
      <c r="B234">
        <v>19.989999999999998</v>
      </c>
      <c r="C234">
        <v>0</v>
      </c>
      <c r="D234">
        <v>1</v>
      </c>
      <c r="E234">
        <v>0</v>
      </c>
      <c r="F234" s="1">
        <v>42917</v>
      </c>
      <c r="G234">
        <v>0</v>
      </c>
      <c r="I234" s="1">
        <v>42907</v>
      </c>
      <c r="J234" t="s">
        <v>98</v>
      </c>
    </row>
    <row r="235" spans="1:10" x14ac:dyDescent="0.2">
      <c r="A235" t="s">
        <v>568</v>
      </c>
      <c r="B235">
        <v>15</v>
      </c>
      <c r="C235">
        <v>0</v>
      </c>
      <c r="D235">
        <v>1</v>
      </c>
      <c r="E235">
        <v>0</v>
      </c>
      <c r="F235" s="1">
        <v>42917</v>
      </c>
      <c r="G235">
        <v>0</v>
      </c>
      <c r="I235" s="1">
        <v>42908</v>
      </c>
      <c r="J235" t="s">
        <v>334</v>
      </c>
    </row>
    <row r="236" spans="1:10" x14ac:dyDescent="0.2">
      <c r="A236" t="s">
        <v>549</v>
      </c>
      <c r="B236">
        <v>125.14</v>
      </c>
      <c r="C236">
        <v>0</v>
      </c>
      <c r="D236">
        <v>1</v>
      </c>
      <c r="E236">
        <v>0</v>
      </c>
      <c r="F236" s="1">
        <v>42917</v>
      </c>
      <c r="G236">
        <v>0</v>
      </c>
      <c r="I236" s="1">
        <v>42909</v>
      </c>
      <c r="J236" t="s">
        <v>23</v>
      </c>
    </row>
    <row r="237" spans="1:10" x14ac:dyDescent="0.2">
      <c r="A237" t="s">
        <v>572</v>
      </c>
      <c r="B237">
        <v>155</v>
      </c>
      <c r="C237">
        <v>0</v>
      </c>
      <c r="D237">
        <v>1</v>
      </c>
      <c r="E237">
        <v>0</v>
      </c>
      <c r="F237" s="1">
        <v>42917</v>
      </c>
      <c r="G237">
        <v>0</v>
      </c>
      <c r="I237" s="1">
        <v>42910</v>
      </c>
      <c r="J237" t="s">
        <v>27</v>
      </c>
    </row>
    <row r="238" spans="1:10" x14ac:dyDescent="0.2">
      <c r="A238" t="s">
        <v>573</v>
      </c>
      <c r="B238">
        <v>50</v>
      </c>
      <c r="C238">
        <v>0</v>
      </c>
      <c r="D238">
        <v>1</v>
      </c>
      <c r="E238">
        <v>0</v>
      </c>
      <c r="F238" s="1">
        <v>42917</v>
      </c>
      <c r="G238">
        <v>0</v>
      </c>
      <c r="I238" s="1">
        <v>42910</v>
      </c>
      <c r="J238" t="s">
        <v>27</v>
      </c>
    </row>
    <row r="239" spans="1:10" x14ac:dyDescent="0.2">
      <c r="A239" t="s">
        <v>570</v>
      </c>
      <c r="B239">
        <v>91.44</v>
      </c>
      <c r="C239">
        <v>0</v>
      </c>
      <c r="D239">
        <v>1</v>
      </c>
      <c r="E239">
        <v>0</v>
      </c>
      <c r="F239" s="1">
        <v>42917</v>
      </c>
      <c r="G239">
        <v>0</v>
      </c>
      <c r="I239" s="1">
        <v>42911</v>
      </c>
      <c r="J239" t="s">
        <v>23</v>
      </c>
    </row>
    <row r="240" spans="1:10" x14ac:dyDescent="0.2">
      <c r="A240" t="s">
        <v>574</v>
      </c>
      <c r="B240">
        <v>23.98</v>
      </c>
      <c r="C240">
        <v>0</v>
      </c>
      <c r="D240">
        <v>1</v>
      </c>
      <c r="E240">
        <v>0</v>
      </c>
      <c r="F240" s="1">
        <v>42917</v>
      </c>
      <c r="G240">
        <v>0</v>
      </c>
      <c r="I240" s="1">
        <v>42911</v>
      </c>
      <c r="J240" t="s">
        <v>98</v>
      </c>
    </row>
    <row r="241" spans="1:10" x14ac:dyDescent="0.2">
      <c r="A241" t="s">
        <v>163</v>
      </c>
      <c r="B241">
        <v>28</v>
      </c>
      <c r="C241">
        <v>0</v>
      </c>
      <c r="D241">
        <v>1</v>
      </c>
      <c r="E241">
        <v>0</v>
      </c>
      <c r="F241" s="1">
        <v>42917</v>
      </c>
      <c r="G241">
        <v>0</v>
      </c>
      <c r="I241" s="1">
        <v>42912</v>
      </c>
      <c r="J241" t="s">
        <v>66</v>
      </c>
    </row>
    <row r="242" spans="1:10" x14ac:dyDescent="0.2">
      <c r="A242" t="s">
        <v>549</v>
      </c>
      <c r="B242">
        <v>40.28</v>
      </c>
      <c r="C242">
        <v>0</v>
      </c>
      <c r="D242">
        <v>1</v>
      </c>
      <c r="E242">
        <v>0</v>
      </c>
      <c r="F242" s="1">
        <v>42917</v>
      </c>
      <c r="G242">
        <v>0</v>
      </c>
      <c r="I242" s="1">
        <v>42913</v>
      </c>
      <c r="J242" t="s">
        <v>23</v>
      </c>
    </row>
    <row r="243" spans="1:10" x14ac:dyDescent="0.2">
      <c r="A243" t="s">
        <v>118</v>
      </c>
      <c r="B243">
        <v>22.9</v>
      </c>
      <c r="C243">
        <v>0</v>
      </c>
      <c r="D243">
        <v>1</v>
      </c>
      <c r="E243">
        <v>0</v>
      </c>
      <c r="F243" s="1">
        <v>42917</v>
      </c>
      <c r="G243">
        <v>0</v>
      </c>
      <c r="I243" s="1">
        <v>42915</v>
      </c>
      <c r="J243" t="s">
        <v>119</v>
      </c>
    </row>
    <row r="244" spans="1:10" x14ac:dyDescent="0.2">
      <c r="A244" t="s">
        <v>155</v>
      </c>
      <c r="B244">
        <v>33</v>
      </c>
      <c r="C244">
        <v>0</v>
      </c>
      <c r="D244">
        <v>1</v>
      </c>
      <c r="E244">
        <v>0</v>
      </c>
      <c r="F244" s="1">
        <v>42917</v>
      </c>
      <c r="G244">
        <v>0</v>
      </c>
      <c r="I244" s="1">
        <v>42919</v>
      </c>
      <c r="J244" t="s">
        <v>64</v>
      </c>
    </row>
    <row r="245" spans="1:10" x14ac:dyDescent="0.2">
      <c r="A245" t="s">
        <v>575</v>
      </c>
      <c r="B245">
        <v>45.72</v>
      </c>
      <c r="C245">
        <v>0</v>
      </c>
      <c r="D245">
        <v>1</v>
      </c>
      <c r="E245">
        <v>0</v>
      </c>
      <c r="F245" s="1">
        <v>42917</v>
      </c>
      <c r="G245">
        <v>0</v>
      </c>
      <c r="I245" s="1">
        <v>42902</v>
      </c>
      <c r="J245" t="s">
        <v>236</v>
      </c>
    </row>
    <row r="246" spans="1:10" x14ac:dyDescent="0.2">
      <c r="A246" t="s">
        <v>575</v>
      </c>
      <c r="B246">
        <v>13.64</v>
      </c>
      <c r="C246">
        <v>0</v>
      </c>
      <c r="D246">
        <v>1</v>
      </c>
      <c r="E246">
        <v>0</v>
      </c>
      <c r="F246" s="1">
        <v>42917</v>
      </c>
      <c r="G246">
        <v>0</v>
      </c>
      <c r="I246" s="1">
        <v>42904</v>
      </c>
      <c r="J246" t="s">
        <v>236</v>
      </c>
    </row>
    <row r="247" spans="1:10" x14ac:dyDescent="0.2">
      <c r="A247" t="s">
        <v>576</v>
      </c>
      <c r="B247">
        <v>9.7100000000000009</v>
      </c>
      <c r="C247">
        <v>0</v>
      </c>
      <c r="D247">
        <v>1</v>
      </c>
      <c r="E247">
        <v>0</v>
      </c>
      <c r="F247" s="1">
        <v>42917</v>
      </c>
      <c r="G247">
        <v>0</v>
      </c>
      <c r="I247" s="1">
        <v>42917</v>
      </c>
      <c r="J247" t="s">
        <v>236</v>
      </c>
    </row>
    <row r="248" spans="1:10" x14ac:dyDescent="0.2">
      <c r="A248" t="s">
        <v>577</v>
      </c>
      <c r="B248">
        <v>2074.44</v>
      </c>
      <c r="C248">
        <v>0</v>
      </c>
      <c r="D248">
        <v>1</v>
      </c>
      <c r="E248">
        <v>0</v>
      </c>
      <c r="F248" s="1">
        <v>42917</v>
      </c>
      <c r="G248">
        <v>1</v>
      </c>
      <c r="I248" s="1">
        <v>42926</v>
      </c>
      <c r="J248" t="s">
        <v>578</v>
      </c>
    </row>
    <row r="249" spans="1:10" x14ac:dyDescent="0.2">
      <c r="A249" t="s">
        <v>569</v>
      </c>
      <c r="B249">
        <v>470.66</v>
      </c>
      <c r="C249">
        <v>0</v>
      </c>
      <c r="D249">
        <v>1</v>
      </c>
      <c r="E249">
        <v>0</v>
      </c>
      <c r="F249" s="1">
        <v>42948</v>
      </c>
      <c r="G249">
        <v>1</v>
      </c>
      <c r="I249" s="1">
        <v>42931</v>
      </c>
      <c r="J249" t="s">
        <v>27</v>
      </c>
    </row>
    <row r="250" spans="1:10" x14ac:dyDescent="0.2">
      <c r="A250" t="s">
        <v>569</v>
      </c>
      <c r="B250" s="38">
        <v>1484.26</v>
      </c>
      <c r="C250">
        <v>0</v>
      </c>
      <c r="D250">
        <v>1</v>
      </c>
      <c r="E250">
        <v>0</v>
      </c>
      <c r="F250" s="1">
        <v>42948</v>
      </c>
      <c r="G250">
        <v>1</v>
      </c>
      <c r="I250" s="1">
        <v>42931</v>
      </c>
      <c r="J250" t="s">
        <v>36</v>
      </c>
    </row>
    <row r="251" spans="1:10" x14ac:dyDescent="0.2">
      <c r="A251" s="6" t="s">
        <v>579</v>
      </c>
      <c r="B251">
        <v>16.899999999999999</v>
      </c>
      <c r="C251">
        <v>0</v>
      </c>
      <c r="D251">
        <v>1</v>
      </c>
      <c r="E251">
        <v>0</v>
      </c>
      <c r="F251" s="1">
        <v>42948</v>
      </c>
      <c r="G251">
        <v>1</v>
      </c>
      <c r="I251" s="1">
        <v>42923</v>
      </c>
      <c r="J251" t="s">
        <v>53</v>
      </c>
    </row>
    <row r="252" spans="1:10" x14ac:dyDescent="0.2">
      <c r="A252" s="6" t="s">
        <v>580</v>
      </c>
      <c r="B252">
        <v>50</v>
      </c>
      <c r="C252">
        <v>0</v>
      </c>
      <c r="D252">
        <v>1</v>
      </c>
      <c r="E252">
        <v>0</v>
      </c>
      <c r="F252" s="1">
        <v>42948</v>
      </c>
      <c r="G252">
        <v>1</v>
      </c>
      <c r="I252" s="1">
        <v>42934</v>
      </c>
      <c r="J252" t="s">
        <v>23</v>
      </c>
    </row>
    <row r="253" spans="1:10" x14ac:dyDescent="0.2">
      <c r="A253" s="6" t="s">
        <v>291</v>
      </c>
      <c r="B253">
        <v>39.159999999999997</v>
      </c>
      <c r="C253">
        <v>0</v>
      </c>
      <c r="D253">
        <v>1</v>
      </c>
      <c r="E253">
        <v>0</v>
      </c>
      <c r="F253" s="1">
        <v>42948</v>
      </c>
      <c r="G253">
        <v>1</v>
      </c>
      <c r="I253" s="1">
        <v>42934</v>
      </c>
      <c r="J253" t="s">
        <v>23</v>
      </c>
    </row>
    <row r="254" spans="1:10" x14ac:dyDescent="0.2">
      <c r="A254" s="6" t="s">
        <v>581</v>
      </c>
      <c r="B254">
        <v>274.68</v>
      </c>
      <c r="C254">
        <v>0</v>
      </c>
      <c r="D254">
        <v>1</v>
      </c>
      <c r="E254">
        <v>0</v>
      </c>
      <c r="F254" s="1">
        <v>42948</v>
      </c>
      <c r="G254">
        <v>1</v>
      </c>
      <c r="I254" s="1">
        <v>42934</v>
      </c>
      <c r="J254" t="s">
        <v>36</v>
      </c>
    </row>
    <row r="255" spans="1:10" x14ac:dyDescent="0.2">
      <c r="A255" s="6" t="s">
        <v>582</v>
      </c>
      <c r="B255">
        <v>274.68</v>
      </c>
      <c r="C255">
        <v>0</v>
      </c>
      <c r="D255">
        <v>1</v>
      </c>
      <c r="E255">
        <v>0</v>
      </c>
      <c r="F255" s="1">
        <v>42979</v>
      </c>
      <c r="G255">
        <v>0</v>
      </c>
      <c r="I255" s="1">
        <v>42934</v>
      </c>
      <c r="J255" t="s">
        <v>36</v>
      </c>
    </row>
    <row r="256" spans="1:10" x14ac:dyDescent="0.2">
      <c r="A256" s="6" t="s">
        <v>583</v>
      </c>
      <c r="B256">
        <v>274.68</v>
      </c>
      <c r="C256">
        <v>0</v>
      </c>
      <c r="D256">
        <v>1</v>
      </c>
      <c r="E256">
        <v>0</v>
      </c>
      <c r="F256" s="1">
        <v>43009</v>
      </c>
      <c r="G256">
        <v>0</v>
      </c>
      <c r="I256" s="1">
        <v>42934</v>
      </c>
      <c r="J256" t="s">
        <v>36</v>
      </c>
    </row>
    <row r="257" spans="1:10" x14ac:dyDescent="0.2">
      <c r="A257" s="6" t="s">
        <v>584</v>
      </c>
      <c r="B257">
        <v>-1.41</v>
      </c>
      <c r="C257">
        <v>0</v>
      </c>
      <c r="D257">
        <v>1</v>
      </c>
      <c r="E257">
        <v>0</v>
      </c>
      <c r="F257" s="1">
        <v>42948</v>
      </c>
      <c r="G257">
        <v>1</v>
      </c>
      <c r="I257" s="1">
        <v>42931</v>
      </c>
      <c r="J257" t="s">
        <v>236</v>
      </c>
    </row>
    <row r="258" spans="1:10" x14ac:dyDescent="0.2">
      <c r="A258" s="6" t="s">
        <v>584</v>
      </c>
      <c r="B258">
        <v>-4.43</v>
      </c>
      <c r="C258">
        <v>0</v>
      </c>
      <c r="D258">
        <v>1</v>
      </c>
      <c r="E258">
        <v>0</v>
      </c>
      <c r="F258" s="1">
        <v>42948</v>
      </c>
      <c r="G258">
        <v>1</v>
      </c>
      <c r="I258" s="1">
        <v>42917</v>
      </c>
      <c r="J258" t="s">
        <v>236</v>
      </c>
    </row>
    <row r="259" spans="1:10" x14ac:dyDescent="0.2">
      <c r="A259" s="6" t="s">
        <v>576</v>
      </c>
      <c r="B259">
        <v>12.22</v>
      </c>
      <c r="C259">
        <v>0</v>
      </c>
      <c r="D259">
        <v>1</v>
      </c>
      <c r="E259">
        <v>0</v>
      </c>
      <c r="F259" s="1">
        <v>42948</v>
      </c>
      <c r="G259">
        <v>1</v>
      </c>
      <c r="I259" s="1">
        <v>42917</v>
      </c>
      <c r="J259" t="s">
        <v>236</v>
      </c>
    </row>
    <row r="260" spans="1:10" x14ac:dyDescent="0.2">
      <c r="A260" s="6" t="s">
        <v>585</v>
      </c>
      <c r="B260">
        <v>-0.04</v>
      </c>
      <c r="C260">
        <v>0</v>
      </c>
      <c r="D260">
        <v>1</v>
      </c>
      <c r="E260">
        <v>0</v>
      </c>
      <c r="F260" s="1">
        <v>42979</v>
      </c>
      <c r="G260">
        <v>0</v>
      </c>
      <c r="I260" s="1">
        <v>42950</v>
      </c>
      <c r="J260" t="s">
        <v>585</v>
      </c>
    </row>
    <row r="261" spans="1:10" x14ac:dyDescent="0.2">
      <c r="A261" s="6" t="s">
        <v>428</v>
      </c>
      <c r="B261">
        <v>900</v>
      </c>
      <c r="C261">
        <v>0</v>
      </c>
      <c r="D261">
        <v>1</v>
      </c>
      <c r="E261">
        <v>0</v>
      </c>
      <c r="F261" s="1">
        <v>42948</v>
      </c>
      <c r="G261">
        <v>1</v>
      </c>
      <c r="I261" s="1">
        <v>42950</v>
      </c>
      <c r="J261" t="s">
        <v>192</v>
      </c>
    </row>
    <row r="262" spans="1:10" x14ac:dyDescent="0.2">
      <c r="A262" s="6" t="s">
        <v>429</v>
      </c>
      <c r="B262">
        <v>22</v>
      </c>
      <c r="C262">
        <v>0</v>
      </c>
      <c r="D262">
        <v>1</v>
      </c>
      <c r="E262">
        <v>0</v>
      </c>
      <c r="F262" s="1">
        <v>42948</v>
      </c>
      <c r="G262">
        <v>1</v>
      </c>
      <c r="I262" s="1">
        <v>42950</v>
      </c>
      <c r="J262" t="s">
        <v>192</v>
      </c>
    </row>
    <row r="263" spans="1:10" x14ac:dyDescent="0.2">
      <c r="A263" s="6" t="s">
        <v>430</v>
      </c>
      <c r="B263">
        <v>461.12</v>
      </c>
      <c r="C263">
        <v>0</v>
      </c>
      <c r="D263">
        <v>1</v>
      </c>
      <c r="E263">
        <v>0</v>
      </c>
      <c r="F263" s="1">
        <v>42948</v>
      </c>
      <c r="G263">
        <v>1</v>
      </c>
      <c r="I263" s="1">
        <v>42950</v>
      </c>
      <c r="J263" t="s">
        <v>192</v>
      </c>
    </row>
    <row r="264" spans="1:10" x14ac:dyDescent="0.2">
      <c r="A264" s="6" t="s">
        <v>586</v>
      </c>
      <c r="B264">
        <v>83.5</v>
      </c>
      <c r="C264">
        <v>0</v>
      </c>
      <c r="D264">
        <v>1</v>
      </c>
      <c r="E264">
        <v>0</v>
      </c>
      <c r="F264" s="1">
        <v>42948</v>
      </c>
      <c r="G264">
        <v>1</v>
      </c>
      <c r="I264" s="1">
        <v>42952</v>
      </c>
      <c r="J264" t="s">
        <v>53</v>
      </c>
    </row>
    <row r="265" spans="1:10" x14ac:dyDescent="0.2">
      <c r="A265" s="6" t="s">
        <v>587</v>
      </c>
      <c r="B265">
        <v>13.5</v>
      </c>
      <c r="C265">
        <v>0</v>
      </c>
      <c r="D265">
        <v>1</v>
      </c>
      <c r="E265">
        <v>0</v>
      </c>
      <c r="F265" s="1">
        <v>42948</v>
      </c>
      <c r="G265">
        <v>1</v>
      </c>
      <c r="I265" s="1">
        <v>42952</v>
      </c>
      <c r="J265" t="s">
        <v>334</v>
      </c>
    </row>
    <row r="266" spans="1:10" x14ac:dyDescent="0.2">
      <c r="A266" s="6" t="s">
        <v>588</v>
      </c>
      <c r="B266">
        <v>9</v>
      </c>
      <c r="C266">
        <v>0</v>
      </c>
      <c r="D266">
        <v>1</v>
      </c>
      <c r="E266">
        <v>0</v>
      </c>
      <c r="F266" s="1">
        <v>42948</v>
      </c>
      <c r="G266">
        <v>1</v>
      </c>
      <c r="I266" s="1">
        <v>42949</v>
      </c>
      <c r="J266" t="s">
        <v>53</v>
      </c>
    </row>
    <row r="267" spans="1:10" x14ac:dyDescent="0.2">
      <c r="A267" s="6" t="s">
        <v>573</v>
      </c>
      <c r="B267">
        <v>158.5</v>
      </c>
      <c r="C267">
        <v>0</v>
      </c>
      <c r="D267">
        <v>1</v>
      </c>
      <c r="E267">
        <v>0</v>
      </c>
      <c r="F267" s="1">
        <v>42948</v>
      </c>
      <c r="G267">
        <v>1</v>
      </c>
      <c r="I267" s="1">
        <v>42949</v>
      </c>
      <c r="J267" t="s">
        <v>27</v>
      </c>
    </row>
    <row r="268" spans="1:10" x14ac:dyDescent="0.2">
      <c r="A268" s="6" t="s">
        <v>575</v>
      </c>
      <c r="B268">
        <v>15.05</v>
      </c>
      <c r="C268">
        <v>0</v>
      </c>
      <c r="D268">
        <v>1</v>
      </c>
      <c r="E268">
        <v>0</v>
      </c>
      <c r="F268" s="1">
        <v>42948</v>
      </c>
      <c r="G268">
        <v>1</v>
      </c>
      <c r="I268" s="1">
        <v>42932</v>
      </c>
      <c r="J268" t="s">
        <v>236</v>
      </c>
    </row>
    <row r="269" spans="1:10" x14ac:dyDescent="0.2">
      <c r="A269" s="6" t="s">
        <v>575</v>
      </c>
      <c r="B269">
        <v>47.45</v>
      </c>
      <c r="C269">
        <v>0</v>
      </c>
      <c r="D269">
        <v>1</v>
      </c>
      <c r="E269">
        <v>0</v>
      </c>
      <c r="F269" s="1">
        <v>42948</v>
      </c>
      <c r="G269">
        <v>1</v>
      </c>
      <c r="I269" s="1">
        <v>42932</v>
      </c>
      <c r="J269" t="s">
        <v>236</v>
      </c>
    </row>
    <row r="270" spans="1:10" x14ac:dyDescent="0.2">
      <c r="A270" s="6" t="s">
        <v>575</v>
      </c>
      <c r="B270">
        <v>19.3</v>
      </c>
      <c r="C270">
        <v>0</v>
      </c>
      <c r="D270">
        <v>1</v>
      </c>
      <c r="E270">
        <v>0</v>
      </c>
      <c r="F270" s="1">
        <v>42948</v>
      </c>
      <c r="G270">
        <v>1</v>
      </c>
      <c r="I270" s="1">
        <v>42950</v>
      </c>
      <c r="J270" t="s">
        <v>236</v>
      </c>
    </row>
    <row r="271" spans="1:10" x14ac:dyDescent="0.2">
      <c r="A271" s="6" t="s">
        <v>589</v>
      </c>
      <c r="B271">
        <v>1708.45</v>
      </c>
      <c r="C271">
        <v>0</v>
      </c>
      <c r="D271">
        <v>1</v>
      </c>
      <c r="E271">
        <v>0</v>
      </c>
      <c r="F271" s="1">
        <v>42948</v>
      </c>
      <c r="G271">
        <v>0</v>
      </c>
      <c r="I271" s="1">
        <v>42963</v>
      </c>
      <c r="J271" t="s">
        <v>194</v>
      </c>
    </row>
    <row r="272" spans="1:10" x14ac:dyDescent="0.2">
      <c r="A272" s="6" t="s">
        <v>561</v>
      </c>
      <c r="B272">
        <v>1708.45</v>
      </c>
      <c r="C272">
        <v>0</v>
      </c>
      <c r="D272">
        <v>1</v>
      </c>
      <c r="E272">
        <v>0</v>
      </c>
      <c r="F272" s="1">
        <v>42979</v>
      </c>
      <c r="G272">
        <v>0</v>
      </c>
      <c r="I272" s="1">
        <v>42963</v>
      </c>
      <c r="J272" t="s">
        <v>194</v>
      </c>
    </row>
    <row r="273" spans="1:10" x14ac:dyDescent="0.2">
      <c r="A273" s="6" t="s">
        <v>590</v>
      </c>
      <c r="B273">
        <v>1708.45</v>
      </c>
      <c r="C273">
        <v>0</v>
      </c>
      <c r="D273">
        <v>1</v>
      </c>
      <c r="E273">
        <v>0</v>
      </c>
      <c r="F273" s="1">
        <v>43009</v>
      </c>
      <c r="G273">
        <v>0</v>
      </c>
      <c r="I273" s="1">
        <v>42963</v>
      </c>
      <c r="J273" t="s">
        <v>194</v>
      </c>
    </row>
    <row r="274" spans="1:10" x14ac:dyDescent="0.2">
      <c r="A274" s="6" t="s">
        <v>563</v>
      </c>
      <c r="B274">
        <v>1708.45</v>
      </c>
      <c r="C274">
        <v>0</v>
      </c>
      <c r="D274">
        <v>1</v>
      </c>
      <c r="E274">
        <v>0</v>
      </c>
      <c r="F274" s="1">
        <v>43040</v>
      </c>
      <c r="G274">
        <v>0</v>
      </c>
      <c r="I274" s="1">
        <v>42963</v>
      </c>
      <c r="J274" t="s">
        <v>194</v>
      </c>
    </row>
    <row r="275" spans="1:10" x14ac:dyDescent="0.2">
      <c r="A275" s="6" t="s">
        <v>116</v>
      </c>
      <c r="B275" s="7">
        <v>89.8</v>
      </c>
      <c r="C275">
        <v>0</v>
      </c>
      <c r="D275">
        <v>1</v>
      </c>
      <c r="E275">
        <v>0</v>
      </c>
      <c r="F275" s="1">
        <v>43009</v>
      </c>
      <c r="G275">
        <v>0</v>
      </c>
      <c r="I275" s="8">
        <v>42988</v>
      </c>
      <c r="J275" t="s">
        <v>117</v>
      </c>
    </row>
    <row r="276" spans="1:10" x14ac:dyDescent="0.2">
      <c r="A276" s="6" t="s">
        <v>118</v>
      </c>
      <c r="B276" s="7">
        <v>22.9</v>
      </c>
      <c r="C276">
        <v>0</v>
      </c>
      <c r="D276">
        <v>1</v>
      </c>
      <c r="E276">
        <v>0</v>
      </c>
      <c r="F276" s="1">
        <v>43009</v>
      </c>
      <c r="G276">
        <v>1</v>
      </c>
      <c r="I276" s="8">
        <v>42988</v>
      </c>
      <c r="J276" t="s">
        <v>119</v>
      </c>
    </row>
    <row r="277" spans="1:10" x14ac:dyDescent="0.2">
      <c r="A277" t="s">
        <v>155</v>
      </c>
      <c r="B277">
        <v>33</v>
      </c>
      <c r="C277">
        <v>0</v>
      </c>
      <c r="D277">
        <v>1</v>
      </c>
      <c r="E277">
        <v>0</v>
      </c>
      <c r="F277" s="1">
        <v>43009</v>
      </c>
      <c r="G277">
        <v>0</v>
      </c>
      <c r="I277" s="8">
        <v>42988</v>
      </c>
      <c r="J277" t="s">
        <v>64</v>
      </c>
    </row>
    <row r="278" spans="1:10" x14ac:dyDescent="0.2">
      <c r="A278" s="6" t="s">
        <v>116</v>
      </c>
      <c r="B278" s="7">
        <v>89.8</v>
      </c>
      <c r="C278">
        <v>0</v>
      </c>
      <c r="D278">
        <v>1</v>
      </c>
      <c r="E278">
        <v>0</v>
      </c>
      <c r="F278" s="1">
        <v>43040</v>
      </c>
      <c r="G278">
        <v>0</v>
      </c>
      <c r="I278" s="8">
        <v>42988</v>
      </c>
      <c r="J278" t="s">
        <v>117</v>
      </c>
    </row>
    <row r="279" spans="1:10" x14ac:dyDescent="0.2">
      <c r="A279" s="6" t="s">
        <v>118</v>
      </c>
      <c r="B279" s="7">
        <v>22.9</v>
      </c>
      <c r="C279">
        <v>0</v>
      </c>
      <c r="D279">
        <v>1</v>
      </c>
      <c r="E279">
        <v>0</v>
      </c>
      <c r="F279" s="1">
        <v>43040</v>
      </c>
      <c r="G279">
        <v>1</v>
      </c>
      <c r="I279" s="8">
        <v>42988</v>
      </c>
      <c r="J279" t="s">
        <v>119</v>
      </c>
    </row>
    <row r="280" spans="1:10" x14ac:dyDescent="0.2">
      <c r="A280" t="s">
        <v>155</v>
      </c>
      <c r="B280">
        <v>33</v>
      </c>
      <c r="C280">
        <v>0</v>
      </c>
      <c r="D280">
        <v>1</v>
      </c>
      <c r="E280">
        <v>0</v>
      </c>
      <c r="F280" s="1">
        <v>43040</v>
      </c>
      <c r="G280">
        <v>1</v>
      </c>
      <c r="I280" s="8">
        <v>42988</v>
      </c>
      <c r="J280" t="s">
        <v>64</v>
      </c>
    </row>
    <row r="281" spans="1:10" x14ac:dyDescent="0.2">
      <c r="A281" s="6" t="s">
        <v>116</v>
      </c>
      <c r="B281" s="7">
        <v>89.8</v>
      </c>
      <c r="C281">
        <v>0</v>
      </c>
      <c r="D281">
        <v>1</v>
      </c>
      <c r="E281">
        <v>0</v>
      </c>
      <c r="F281" s="1">
        <v>43070</v>
      </c>
      <c r="G281">
        <v>1</v>
      </c>
      <c r="I281" s="8">
        <v>42988</v>
      </c>
      <c r="J281" t="s">
        <v>117</v>
      </c>
    </row>
    <row r="282" spans="1:10" x14ac:dyDescent="0.2">
      <c r="A282" s="6" t="s">
        <v>118</v>
      </c>
      <c r="B282" s="7">
        <v>22.9</v>
      </c>
      <c r="C282">
        <v>0</v>
      </c>
      <c r="D282">
        <v>1</v>
      </c>
      <c r="E282">
        <v>0</v>
      </c>
      <c r="F282" s="1">
        <v>43070</v>
      </c>
      <c r="G282">
        <v>1</v>
      </c>
      <c r="I282" s="8">
        <v>42988</v>
      </c>
      <c r="J282" t="s">
        <v>119</v>
      </c>
    </row>
    <row r="283" spans="1:10" x14ac:dyDescent="0.2">
      <c r="A283" t="s">
        <v>155</v>
      </c>
      <c r="B283">
        <v>33</v>
      </c>
      <c r="C283">
        <v>0</v>
      </c>
      <c r="D283">
        <v>1</v>
      </c>
      <c r="E283">
        <v>0</v>
      </c>
      <c r="F283" s="1">
        <v>43070</v>
      </c>
      <c r="G283">
        <v>0</v>
      </c>
      <c r="I283" s="8">
        <v>43070</v>
      </c>
      <c r="J283" t="s">
        <v>64</v>
      </c>
    </row>
    <row r="284" spans="1:10" x14ac:dyDescent="0.2">
      <c r="A284" s="6" t="s">
        <v>591</v>
      </c>
      <c r="B284" s="7">
        <v>83.5</v>
      </c>
      <c r="C284">
        <v>0</v>
      </c>
      <c r="D284">
        <v>1</v>
      </c>
      <c r="E284">
        <v>0</v>
      </c>
      <c r="F284" s="1">
        <v>42979</v>
      </c>
      <c r="G284">
        <v>0</v>
      </c>
      <c r="I284" s="8">
        <v>42952</v>
      </c>
      <c r="J284" t="s">
        <v>53</v>
      </c>
    </row>
    <row r="285" spans="1:10" x14ac:dyDescent="0.2">
      <c r="A285" s="6" t="s">
        <v>592</v>
      </c>
      <c r="B285" s="7">
        <v>16.899999999999999</v>
      </c>
      <c r="C285">
        <v>0</v>
      </c>
      <c r="D285">
        <v>1</v>
      </c>
      <c r="E285">
        <v>0</v>
      </c>
      <c r="F285" s="1">
        <v>42979</v>
      </c>
      <c r="G285">
        <v>0</v>
      </c>
      <c r="I285" s="8">
        <v>42954</v>
      </c>
      <c r="J285" t="s">
        <v>53</v>
      </c>
    </row>
    <row r="286" spans="1:10" x14ac:dyDescent="0.2">
      <c r="A286" s="6" t="s">
        <v>593</v>
      </c>
      <c r="B286" s="7">
        <v>2.99</v>
      </c>
      <c r="C286">
        <v>0</v>
      </c>
      <c r="D286">
        <v>1</v>
      </c>
      <c r="E286">
        <v>0</v>
      </c>
      <c r="F286" s="1">
        <v>42979</v>
      </c>
      <c r="G286">
        <v>0</v>
      </c>
      <c r="I286" s="8">
        <v>42962</v>
      </c>
      <c r="J286" t="s">
        <v>334</v>
      </c>
    </row>
    <row r="287" spans="1:10" x14ac:dyDescent="0.2">
      <c r="A287" s="6" t="s">
        <v>49</v>
      </c>
      <c r="B287" s="7">
        <v>10</v>
      </c>
      <c r="C287">
        <v>0</v>
      </c>
      <c r="D287">
        <v>1</v>
      </c>
      <c r="E287">
        <v>0</v>
      </c>
      <c r="F287" s="1">
        <v>42979</v>
      </c>
      <c r="G287">
        <v>0</v>
      </c>
      <c r="I287" s="8">
        <v>42963</v>
      </c>
      <c r="J287" t="s">
        <v>334</v>
      </c>
    </row>
    <row r="288" spans="1:10" x14ac:dyDescent="0.2">
      <c r="A288" s="6" t="s">
        <v>594</v>
      </c>
      <c r="B288" s="7">
        <v>45.05</v>
      </c>
      <c r="C288">
        <v>0</v>
      </c>
      <c r="D288">
        <v>1</v>
      </c>
      <c r="E288">
        <v>0</v>
      </c>
      <c r="F288" s="1">
        <v>42979</v>
      </c>
      <c r="G288">
        <v>0</v>
      </c>
      <c r="I288" s="8">
        <v>42967</v>
      </c>
      <c r="J288" t="s">
        <v>236</v>
      </c>
    </row>
    <row r="289" spans="1:10" x14ac:dyDescent="0.2">
      <c r="A289" s="6" t="s">
        <v>576</v>
      </c>
      <c r="B289" s="7">
        <v>9.41</v>
      </c>
      <c r="C289">
        <v>0</v>
      </c>
      <c r="D289">
        <v>1</v>
      </c>
      <c r="E289">
        <v>0</v>
      </c>
      <c r="F289" s="1">
        <v>42979</v>
      </c>
      <c r="G289">
        <v>0</v>
      </c>
      <c r="I289" s="8">
        <v>42979</v>
      </c>
      <c r="J289" t="s">
        <v>236</v>
      </c>
    </row>
    <row r="290" spans="1:10" x14ac:dyDescent="0.2">
      <c r="A290" t="s">
        <v>135</v>
      </c>
      <c r="B290">
        <v>16.899999999999999</v>
      </c>
      <c r="C290">
        <v>0</v>
      </c>
      <c r="D290">
        <v>1</v>
      </c>
      <c r="E290">
        <v>0</v>
      </c>
      <c r="F290" s="1">
        <v>43009</v>
      </c>
      <c r="G290">
        <v>0</v>
      </c>
      <c r="I290" s="14">
        <v>42985</v>
      </c>
      <c r="J290" t="s">
        <v>595</v>
      </c>
    </row>
    <row r="291" spans="1:10" x14ac:dyDescent="0.2">
      <c r="A291" t="s">
        <v>596</v>
      </c>
      <c r="B291">
        <v>10</v>
      </c>
      <c r="C291">
        <v>0</v>
      </c>
      <c r="D291">
        <v>1</v>
      </c>
      <c r="E291">
        <v>0</v>
      </c>
      <c r="F291" s="1">
        <v>43009</v>
      </c>
      <c r="G291">
        <v>0</v>
      </c>
      <c r="I291" s="14">
        <v>42994</v>
      </c>
      <c r="J291" t="s">
        <v>53</v>
      </c>
    </row>
    <row r="292" spans="1:10" x14ac:dyDescent="0.2">
      <c r="A292" t="s">
        <v>596</v>
      </c>
      <c r="B292">
        <v>5</v>
      </c>
      <c r="C292">
        <v>0</v>
      </c>
      <c r="D292">
        <v>1</v>
      </c>
      <c r="E292">
        <v>0</v>
      </c>
      <c r="F292" s="1">
        <v>43009</v>
      </c>
      <c r="G292">
        <v>0</v>
      </c>
      <c r="I292" s="14">
        <v>42996</v>
      </c>
      <c r="J292" t="s">
        <v>53</v>
      </c>
    </row>
    <row r="293" spans="1:10" x14ac:dyDescent="0.2">
      <c r="A293" t="s">
        <v>596</v>
      </c>
      <c r="B293">
        <v>5</v>
      </c>
      <c r="C293">
        <v>0</v>
      </c>
      <c r="D293">
        <v>1</v>
      </c>
      <c r="E293">
        <v>0</v>
      </c>
      <c r="F293" s="1">
        <v>43009</v>
      </c>
      <c r="G293">
        <v>0</v>
      </c>
      <c r="I293" s="14">
        <v>42996</v>
      </c>
      <c r="J293" t="s">
        <v>53</v>
      </c>
    </row>
    <row r="294" spans="1:10" x14ac:dyDescent="0.2">
      <c r="A294" t="s">
        <v>597</v>
      </c>
      <c r="B294">
        <v>11.9</v>
      </c>
      <c r="C294">
        <v>0</v>
      </c>
      <c r="D294">
        <v>1</v>
      </c>
      <c r="E294">
        <v>0</v>
      </c>
      <c r="F294" s="1">
        <v>43009</v>
      </c>
      <c r="G294">
        <v>0</v>
      </c>
      <c r="I294" s="14">
        <v>42996</v>
      </c>
      <c r="J294" t="s">
        <v>53</v>
      </c>
    </row>
    <row r="295" spans="1:10" x14ac:dyDescent="0.2">
      <c r="A295" t="s">
        <v>598</v>
      </c>
      <c r="B295">
        <v>84.55</v>
      </c>
      <c r="C295">
        <v>0</v>
      </c>
      <c r="D295">
        <v>1</v>
      </c>
      <c r="E295">
        <v>0</v>
      </c>
      <c r="F295" s="1">
        <v>43009</v>
      </c>
      <c r="G295">
        <v>0</v>
      </c>
      <c r="I295" s="14">
        <v>42996</v>
      </c>
      <c r="J295" t="s">
        <v>53</v>
      </c>
    </row>
    <row r="296" spans="1:10" x14ac:dyDescent="0.2">
      <c r="A296" t="s">
        <v>599</v>
      </c>
      <c r="B296">
        <v>6.36</v>
      </c>
      <c r="C296">
        <v>0</v>
      </c>
      <c r="D296">
        <v>1</v>
      </c>
      <c r="E296">
        <v>0</v>
      </c>
      <c r="F296" s="1">
        <v>43009</v>
      </c>
      <c r="G296">
        <v>0</v>
      </c>
      <c r="I296" s="14">
        <v>42998</v>
      </c>
      <c r="J296" t="s">
        <v>334</v>
      </c>
    </row>
    <row r="297" spans="1:10" x14ac:dyDescent="0.2">
      <c r="A297" t="s">
        <v>600</v>
      </c>
      <c r="B297">
        <v>4</v>
      </c>
      <c r="C297">
        <v>0</v>
      </c>
      <c r="D297">
        <v>1</v>
      </c>
      <c r="E297">
        <v>0</v>
      </c>
      <c r="F297" s="1">
        <v>43009</v>
      </c>
      <c r="G297">
        <v>0</v>
      </c>
      <c r="I297" s="14">
        <v>42998</v>
      </c>
      <c r="J297" t="s">
        <v>334</v>
      </c>
    </row>
    <row r="298" spans="1:10" x14ac:dyDescent="0.2">
      <c r="A298" t="s">
        <v>601</v>
      </c>
      <c r="B298">
        <v>2.4900000000000002</v>
      </c>
      <c r="C298">
        <v>0</v>
      </c>
      <c r="D298">
        <v>1</v>
      </c>
      <c r="E298">
        <v>0</v>
      </c>
      <c r="F298" s="1">
        <v>43009</v>
      </c>
      <c r="G298">
        <v>0</v>
      </c>
      <c r="I298" s="14">
        <v>43000</v>
      </c>
      <c r="J298" t="s">
        <v>334</v>
      </c>
    </row>
    <row r="299" spans="1:10" x14ac:dyDescent="0.2">
      <c r="A299" t="s">
        <v>602</v>
      </c>
      <c r="B299">
        <v>35.75</v>
      </c>
      <c r="C299">
        <v>0</v>
      </c>
      <c r="D299">
        <v>1</v>
      </c>
      <c r="E299">
        <v>0</v>
      </c>
      <c r="F299" s="1">
        <v>43009</v>
      </c>
      <c r="G299">
        <v>0</v>
      </c>
      <c r="I299" s="14">
        <v>43000</v>
      </c>
      <c r="J299" t="s">
        <v>23</v>
      </c>
    </row>
    <row r="300" spans="1:10" x14ac:dyDescent="0.2">
      <c r="A300" t="s">
        <v>603</v>
      </c>
      <c r="B300">
        <v>11.07</v>
      </c>
      <c r="C300">
        <v>0</v>
      </c>
      <c r="D300">
        <v>1</v>
      </c>
      <c r="E300">
        <v>0</v>
      </c>
      <c r="F300" s="1">
        <v>43009</v>
      </c>
      <c r="G300">
        <v>0</v>
      </c>
      <c r="I300" s="14">
        <v>43000</v>
      </c>
      <c r="J300" t="s">
        <v>53</v>
      </c>
    </row>
    <row r="301" spans="1:10" x14ac:dyDescent="0.2">
      <c r="A301" t="s">
        <v>603</v>
      </c>
      <c r="B301">
        <v>74.790000000000006</v>
      </c>
      <c r="C301">
        <v>0</v>
      </c>
      <c r="D301">
        <v>1</v>
      </c>
      <c r="E301">
        <v>0</v>
      </c>
      <c r="F301" s="1">
        <v>43009</v>
      </c>
      <c r="G301">
        <v>0</v>
      </c>
      <c r="I301" s="14">
        <v>43000</v>
      </c>
      <c r="J301" t="s">
        <v>53</v>
      </c>
    </row>
    <row r="302" spans="1:10" x14ac:dyDescent="0.2">
      <c r="A302" t="s">
        <v>599</v>
      </c>
      <c r="B302">
        <v>4.7699999999999996</v>
      </c>
      <c r="C302">
        <v>0</v>
      </c>
      <c r="D302">
        <v>1</v>
      </c>
      <c r="E302">
        <v>0</v>
      </c>
      <c r="F302" s="1">
        <v>43009</v>
      </c>
      <c r="G302">
        <v>0</v>
      </c>
      <c r="I302" s="14">
        <v>43004</v>
      </c>
      <c r="J302" t="s">
        <v>334</v>
      </c>
    </row>
    <row r="303" spans="1:10" x14ac:dyDescent="0.2">
      <c r="A303" t="s">
        <v>604</v>
      </c>
      <c r="B303">
        <v>5.5</v>
      </c>
      <c r="C303">
        <v>0</v>
      </c>
      <c r="D303">
        <v>1</v>
      </c>
      <c r="E303">
        <v>0</v>
      </c>
      <c r="F303" s="1">
        <v>43009</v>
      </c>
      <c r="G303">
        <v>0</v>
      </c>
      <c r="I303" s="14">
        <v>43004</v>
      </c>
      <c r="J303" t="s">
        <v>334</v>
      </c>
    </row>
    <row r="304" spans="1:10" x14ac:dyDescent="0.2">
      <c r="A304" t="s">
        <v>605</v>
      </c>
      <c r="B304">
        <v>11.07</v>
      </c>
      <c r="C304">
        <v>0</v>
      </c>
      <c r="D304">
        <v>1</v>
      </c>
      <c r="E304">
        <v>0</v>
      </c>
      <c r="F304" s="1">
        <v>43040</v>
      </c>
      <c r="G304">
        <v>0</v>
      </c>
      <c r="I304" s="14">
        <v>43000</v>
      </c>
      <c r="J304" t="s">
        <v>53</v>
      </c>
    </row>
    <row r="305" spans="1:10" x14ac:dyDescent="0.2">
      <c r="A305" t="s">
        <v>605</v>
      </c>
      <c r="B305">
        <v>74.790000000000006</v>
      </c>
      <c r="C305">
        <v>0</v>
      </c>
      <c r="D305">
        <v>1</v>
      </c>
      <c r="E305">
        <v>0</v>
      </c>
      <c r="F305" s="1">
        <v>43040</v>
      </c>
      <c r="G305">
        <v>0</v>
      </c>
      <c r="I305" s="14">
        <v>43000</v>
      </c>
      <c r="J305" t="s">
        <v>53</v>
      </c>
    </row>
    <row r="306" spans="1:10" x14ac:dyDescent="0.2">
      <c r="A306" t="s">
        <v>606</v>
      </c>
      <c r="B306">
        <v>11.9</v>
      </c>
      <c r="C306">
        <v>0</v>
      </c>
      <c r="D306">
        <v>1</v>
      </c>
      <c r="E306">
        <v>0</v>
      </c>
      <c r="F306" s="1">
        <v>43040</v>
      </c>
      <c r="G306">
        <v>0</v>
      </c>
      <c r="I306" s="14">
        <v>42996</v>
      </c>
      <c r="J306" t="s">
        <v>53</v>
      </c>
    </row>
    <row r="307" spans="1:10" x14ac:dyDescent="0.2">
      <c r="A307" t="s">
        <v>607</v>
      </c>
      <c r="B307">
        <v>84.55</v>
      </c>
      <c r="C307">
        <v>0</v>
      </c>
      <c r="D307">
        <v>1</v>
      </c>
      <c r="E307">
        <v>0</v>
      </c>
      <c r="F307" s="1">
        <v>43040</v>
      </c>
      <c r="G307">
        <v>0</v>
      </c>
      <c r="I307" s="14">
        <v>42996</v>
      </c>
      <c r="J307" t="s">
        <v>53</v>
      </c>
    </row>
    <row r="308" spans="1:10" x14ac:dyDescent="0.2">
      <c r="A308" t="s">
        <v>155</v>
      </c>
      <c r="B308">
        <v>33</v>
      </c>
      <c r="C308">
        <v>0</v>
      </c>
      <c r="D308">
        <v>1</v>
      </c>
      <c r="E308">
        <v>0</v>
      </c>
      <c r="F308" s="1">
        <v>43009</v>
      </c>
      <c r="G308">
        <v>0</v>
      </c>
      <c r="I308" s="8">
        <v>42988</v>
      </c>
      <c r="J308" t="s">
        <v>64</v>
      </c>
    </row>
    <row r="309" spans="1:10" x14ac:dyDescent="0.2">
      <c r="A309" t="s">
        <v>135</v>
      </c>
      <c r="B309">
        <v>16.899999999999999</v>
      </c>
      <c r="C309">
        <v>0</v>
      </c>
      <c r="D309">
        <v>1</v>
      </c>
      <c r="E309">
        <v>0</v>
      </c>
      <c r="F309" s="1">
        <v>43040</v>
      </c>
      <c r="G309">
        <v>0</v>
      </c>
      <c r="I309" s="1">
        <v>43015</v>
      </c>
      <c r="J309" t="s">
        <v>537</v>
      </c>
    </row>
    <row r="310" spans="1:10" x14ac:dyDescent="0.2">
      <c r="A310" t="s">
        <v>608</v>
      </c>
      <c r="B310">
        <v>30</v>
      </c>
      <c r="C310">
        <v>0</v>
      </c>
      <c r="D310">
        <v>1</v>
      </c>
      <c r="E310">
        <v>0</v>
      </c>
      <c r="F310" s="1">
        <v>43040</v>
      </c>
      <c r="G310">
        <v>0</v>
      </c>
      <c r="I310" s="1">
        <v>43017</v>
      </c>
      <c r="J310" t="s">
        <v>40</v>
      </c>
    </row>
    <row r="311" spans="1:10" x14ac:dyDescent="0.2">
      <c r="A311" t="s">
        <v>609</v>
      </c>
      <c r="B311">
        <v>116.95</v>
      </c>
      <c r="C311">
        <v>0</v>
      </c>
      <c r="D311">
        <v>1</v>
      </c>
      <c r="E311">
        <v>0</v>
      </c>
      <c r="F311" s="1">
        <v>43040</v>
      </c>
      <c r="G311">
        <v>0</v>
      </c>
      <c r="I311" s="1">
        <v>43018</v>
      </c>
      <c r="J311" t="s">
        <v>36</v>
      </c>
    </row>
    <row r="312" spans="1:10" x14ac:dyDescent="0.2">
      <c r="A312" t="s">
        <v>610</v>
      </c>
      <c r="B312">
        <v>118.69</v>
      </c>
      <c r="C312">
        <v>0</v>
      </c>
      <c r="D312">
        <v>1</v>
      </c>
      <c r="E312">
        <v>0</v>
      </c>
      <c r="F312" s="1">
        <v>43040</v>
      </c>
      <c r="G312">
        <v>0</v>
      </c>
      <c r="I312" s="1">
        <v>43018</v>
      </c>
      <c r="J312" t="s">
        <v>23</v>
      </c>
    </row>
    <row r="313" spans="1:10" x14ac:dyDescent="0.2">
      <c r="A313" t="s">
        <v>611</v>
      </c>
      <c r="B313">
        <v>118</v>
      </c>
      <c r="C313">
        <v>0</v>
      </c>
      <c r="D313">
        <v>1</v>
      </c>
      <c r="E313">
        <v>0</v>
      </c>
      <c r="F313" s="1">
        <v>43040</v>
      </c>
      <c r="G313">
        <v>0</v>
      </c>
      <c r="I313" s="1">
        <v>43021</v>
      </c>
      <c r="J313" t="s">
        <v>138</v>
      </c>
    </row>
    <row r="314" spans="1:10" x14ac:dyDescent="0.2">
      <c r="A314" t="s">
        <v>612</v>
      </c>
      <c r="B314">
        <v>2</v>
      </c>
      <c r="C314">
        <v>0</v>
      </c>
      <c r="D314">
        <v>1</v>
      </c>
      <c r="E314">
        <v>0</v>
      </c>
      <c r="F314" s="1">
        <v>43040</v>
      </c>
      <c r="G314">
        <v>0</v>
      </c>
      <c r="I314" s="1">
        <v>43024</v>
      </c>
      <c r="J314" t="s">
        <v>334</v>
      </c>
    </row>
    <row r="315" spans="1:10" x14ac:dyDescent="0.2">
      <c r="A315" t="s">
        <v>613</v>
      </c>
      <c r="B315">
        <v>10</v>
      </c>
      <c r="C315">
        <v>0</v>
      </c>
      <c r="D315">
        <v>1</v>
      </c>
      <c r="E315">
        <v>0</v>
      </c>
      <c r="F315" s="1">
        <v>43040</v>
      </c>
      <c r="G315">
        <v>0</v>
      </c>
      <c r="I315" s="1">
        <v>43024</v>
      </c>
      <c r="J315" t="s">
        <v>334</v>
      </c>
    </row>
    <row r="316" spans="1:10" x14ac:dyDescent="0.2">
      <c r="A316" t="s">
        <v>614</v>
      </c>
      <c r="B316">
        <v>10</v>
      </c>
      <c r="C316">
        <v>0</v>
      </c>
      <c r="D316">
        <v>1</v>
      </c>
      <c r="E316">
        <v>0</v>
      </c>
      <c r="F316" s="1">
        <v>43040</v>
      </c>
      <c r="G316">
        <v>0</v>
      </c>
      <c r="I316" s="1">
        <v>43024</v>
      </c>
      <c r="J316" t="s">
        <v>334</v>
      </c>
    </row>
    <row r="317" spans="1:10" x14ac:dyDescent="0.2">
      <c r="A317" t="s">
        <v>608</v>
      </c>
      <c r="B317">
        <v>5</v>
      </c>
      <c r="C317">
        <v>0</v>
      </c>
      <c r="D317">
        <v>1</v>
      </c>
      <c r="E317">
        <v>0</v>
      </c>
      <c r="F317" s="1">
        <v>43040</v>
      </c>
      <c r="G317">
        <v>0</v>
      </c>
      <c r="I317" s="1">
        <v>43025</v>
      </c>
      <c r="J317" t="s">
        <v>40</v>
      </c>
    </row>
    <row r="318" spans="1:10" x14ac:dyDescent="0.2">
      <c r="A318" t="s">
        <v>604</v>
      </c>
      <c r="B318">
        <v>3</v>
      </c>
      <c r="C318">
        <v>0</v>
      </c>
      <c r="D318">
        <v>1</v>
      </c>
      <c r="E318">
        <v>0</v>
      </c>
      <c r="F318" s="1">
        <v>43040</v>
      </c>
      <c r="G318">
        <v>0</v>
      </c>
      <c r="I318" s="1">
        <v>43025</v>
      </c>
      <c r="J318" t="s">
        <v>334</v>
      </c>
    </row>
    <row r="319" spans="1:10" x14ac:dyDescent="0.2">
      <c r="A319" t="s">
        <v>615</v>
      </c>
      <c r="B319">
        <v>75</v>
      </c>
      <c r="C319">
        <v>0</v>
      </c>
      <c r="D319">
        <v>1</v>
      </c>
      <c r="E319">
        <v>0</v>
      </c>
      <c r="F319" s="1">
        <v>43040</v>
      </c>
      <c r="G319">
        <v>0</v>
      </c>
      <c r="I319" s="1">
        <v>43028</v>
      </c>
      <c r="J319" t="s">
        <v>53</v>
      </c>
    </row>
    <row r="320" spans="1:10" x14ac:dyDescent="0.2">
      <c r="A320" t="s">
        <v>602</v>
      </c>
      <c r="B320">
        <v>36.93</v>
      </c>
      <c r="C320">
        <v>0</v>
      </c>
      <c r="D320">
        <v>1</v>
      </c>
      <c r="E320">
        <v>0</v>
      </c>
      <c r="F320" s="1">
        <v>43040</v>
      </c>
      <c r="G320">
        <v>0</v>
      </c>
      <c r="I320" s="1">
        <v>43028</v>
      </c>
      <c r="J320" t="s">
        <v>23</v>
      </c>
    </row>
    <row r="321" spans="1:10" x14ac:dyDescent="0.2">
      <c r="A321" t="s">
        <v>616</v>
      </c>
      <c r="B321">
        <v>6.5</v>
      </c>
      <c r="C321">
        <v>0</v>
      </c>
      <c r="D321">
        <v>1</v>
      </c>
      <c r="E321">
        <v>0</v>
      </c>
      <c r="F321" s="1">
        <v>43040</v>
      </c>
      <c r="G321">
        <v>0</v>
      </c>
      <c r="I321" s="1">
        <v>43029</v>
      </c>
      <c r="J321" t="s">
        <v>334</v>
      </c>
    </row>
    <row r="322" spans="1:10" x14ac:dyDescent="0.2">
      <c r="A322" t="s">
        <v>617</v>
      </c>
      <c r="B322">
        <v>152.18</v>
      </c>
      <c r="C322">
        <v>0</v>
      </c>
      <c r="D322">
        <v>1</v>
      </c>
      <c r="E322">
        <v>0</v>
      </c>
      <c r="F322" s="1">
        <v>43040</v>
      </c>
      <c r="G322">
        <v>0</v>
      </c>
      <c r="I322" s="1">
        <v>43031</v>
      </c>
      <c r="J322" t="s">
        <v>23</v>
      </c>
    </row>
    <row r="323" spans="1:10" x14ac:dyDescent="0.2">
      <c r="A323" t="s">
        <v>618</v>
      </c>
      <c r="B323">
        <v>18.5</v>
      </c>
      <c r="C323">
        <v>0</v>
      </c>
      <c r="D323">
        <v>1</v>
      </c>
      <c r="E323">
        <v>0</v>
      </c>
      <c r="F323" s="1">
        <v>43040</v>
      </c>
      <c r="G323">
        <v>0</v>
      </c>
      <c r="I323" s="1">
        <v>43031</v>
      </c>
      <c r="J323" t="s">
        <v>334</v>
      </c>
    </row>
    <row r="324" spans="1:10" x14ac:dyDescent="0.2">
      <c r="A324" t="s">
        <v>618</v>
      </c>
      <c r="B324">
        <v>7.5</v>
      </c>
      <c r="C324">
        <v>0</v>
      </c>
      <c r="D324">
        <v>1</v>
      </c>
      <c r="E324">
        <v>0</v>
      </c>
      <c r="F324" s="1">
        <v>43040</v>
      </c>
      <c r="G324">
        <v>0</v>
      </c>
      <c r="I324" s="1">
        <v>43031</v>
      </c>
      <c r="J324" t="s">
        <v>334</v>
      </c>
    </row>
    <row r="325" spans="1:10" x14ac:dyDescent="0.2">
      <c r="A325" t="s">
        <v>618</v>
      </c>
      <c r="B325">
        <v>6.5</v>
      </c>
      <c r="C325">
        <v>0</v>
      </c>
      <c r="D325">
        <v>1</v>
      </c>
      <c r="E325">
        <v>0</v>
      </c>
      <c r="F325" s="1">
        <v>43040</v>
      </c>
      <c r="G325">
        <v>0</v>
      </c>
      <c r="I325" s="1">
        <v>43031</v>
      </c>
      <c r="J325" t="s">
        <v>334</v>
      </c>
    </row>
    <row r="326" spans="1:10" x14ac:dyDescent="0.2">
      <c r="A326" t="s">
        <v>619</v>
      </c>
      <c r="B326">
        <v>59.99</v>
      </c>
      <c r="C326">
        <v>0</v>
      </c>
      <c r="D326">
        <v>1</v>
      </c>
      <c r="E326">
        <v>0</v>
      </c>
      <c r="F326" s="1">
        <v>43040</v>
      </c>
      <c r="G326">
        <v>0</v>
      </c>
      <c r="I326" s="1">
        <v>43035</v>
      </c>
      <c r="J326" t="s">
        <v>53</v>
      </c>
    </row>
    <row r="327" spans="1:10" x14ac:dyDescent="0.2">
      <c r="A327" t="s">
        <v>620</v>
      </c>
      <c r="B327">
        <v>11.5</v>
      </c>
      <c r="C327">
        <v>0</v>
      </c>
      <c r="D327">
        <v>1</v>
      </c>
      <c r="E327">
        <v>0</v>
      </c>
      <c r="F327" s="1">
        <v>43040</v>
      </c>
      <c r="G327">
        <v>0</v>
      </c>
      <c r="I327" s="1">
        <v>43035</v>
      </c>
      <c r="J327" t="s">
        <v>98</v>
      </c>
    </row>
    <row r="328" spans="1:10" x14ac:dyDescent="0.2">
      <c r="A328" t="s">
        <v>621</v>
      </c>
      <c r="B328">
        <v>24.47</v>
      </c>
      <c r="C328">
        <v>0</v>
      </c>
      <c r="D328">
        <v>1</v>
      </c>
      <c r="E328">
        <v>0</v>
      </c>
      <c r="F328" s="1">
        <v>43040</v>
      </c>
      <c r="G328">
        <v>0</v>
      </c>
      <c r="I328" s="1">
        <v>43037</v>
      </c>
      <c r="J328" t="s">
        <v>98</v>
      </c>
    </row>
    <row r="329" spans="1:10" x14ac:dyDescent="0.2">
      <c r="A329" t="s">
        <v>223</v>
      </c>
      <c r="B329">
        <v>46.91</v>
      </c>
      <c r="C329">
        <v>0</v>
      </c>
      <c r="D329">
        <v>1</v>
      </c>
      <c r="E329">
        <v>0</v>
      </c>
      <c r="F329" s="1">
        <v>43040</v>
      </c>
      <c r="G329">
        <v>0</v>
      </c>
      <c r="I329" s="1">
        <v>43037</v>
      </c>
      <c r="J329" t="s">
        <v>98</v>
      </c>
    </row>
    <row r="330" spans="1:10" x14ac:dyDescent="0.2">
      <c r="A330" t="s">
        <v>550</v>
      </c>
      <c r="B330">
        <v>66.89</v>
      </c>
      <c r="C330">
        <v>0</v>
      </c>
      <c r="D330">
        <v>1</v>
      </c>
      <c r="E330">
        <v>0</v>
      </c>
      <c r="F330" s="1">
        <v>43040</v>
      </c>
      <c r="G330">
        <v>0</v>
      </c>
      <c r="I330" s="1">
        <v>43040</v>
      </c>
      <c r="J330" t="s">
        <v>53</v>
      </c>
    </row>
    <row r="331" spans="1:10" x14ac:dyDescent="0.2">
      <c r="A331" t="s">
        <v>549</v>
      </c>
      <c r="B331">
        <v>31.57</v>
      </c>
      <c r="C331">
        <v>0</v>
      </c>
      <c r="D331">
        <v>1</v>
      </c>
      <c r="E331">
        <v>0</v>
      </c>
      <c r="F331" s="1">
        <v>43040</v>
      </c>
      <c r="G331">
        <v>0</v>
      </c>
      <c r="I331" s="1">
        <v>43040</v>
      </c>
      <c r="J331" t="s">
        <v>23</v>
      </c>
    </row>
    <row r="332" spans="1:10" x14ac:dyDescent="0.2">
      <c r="A332" t="s">
        <v>155</v>
      </c>
      <c r="B332">
        <v>33</v>
      </c>
      <c r="C332">
        <v>0</v>
      </c>
      <c r="D332">
        <v>1</v>
      </c>
      <c r="E332">
        <v>0</v>
      </c>
      <c r="F332" s="1">
        <v>43040</v>
      </c>
      <c r="G332">
        <v>0</v>
      </c>
      <c r="I332" s="1">
        <v>43040</v>
      </c>
      <c r="J332" t="s">
        <v>64</v>
      </c>
    </row>
    <row r="333" spans="1:10" x14ac:dyDescent="0.2">
      <c r="A333" t="s">
        <v>588</v>
      </c>
      <c r="B333">
        <v>5</v>
      </c>
      <c r="C333">
        <v>0</v>
      </c>
      <c r="D333">
        <v>1</v>
      </c>
      <c r="E333">
        <v>0</v>
      </c>
      <c r="F333" s="1">
        <v>43040</v>
      </c>
      <c r="G333">
        <v>0</v>
      </c>
      <c r="I333" s="1">
        <v>43040</v>
      </c>
      <c r="J333" t="s">
        <v>334</v>
      </c>
    </row>
    <row r="334" spans="1:10" x14ac:dyDescent="0.2">
      <c r="A334" s="39" t="s">
        <v>622</v>
      </c>
      <c r="B334" s="39">
        <v>56.97</v>
      </c>
      <c r="C334">
        <v>0</v>
      </c>
      <c r="D334">
        <v>1</v>
      </c>
      <c r="E334">
        <v>0</v>
      </c>
      <c r="F334" s="1">
        <v>43040</v>
      </c>
      <c r="G334">
        <v>0</v>
      </c>
      <c r="I334" s="1">
        <v>43040</v>
      </c>
      <c r="J334" t="s">
        <v>53</v>
      </c>
    </row>
    <row r="335" spans="1:10" x14ac:dyDescent="0.2">
      <c r="A335" s="39" t="s">
        <v>183</v>
      </c>
      <c r="B335" s="39">
        <v>13</v>
      </c>
      <c r="C335" s="39">
        <v>0</v>
      </c>
      <c r="D335" s="39">
        <v>1</v>
      </c>
      <c r="E335" s="39">
        <v>0</v>
      </c>
      <c r="F335" s="40">
        <v>43040</v>
      </c>
      <c r="G335" s="39">
        <v>0</v>
      </c>
      <c r="H335" s="39"/>
      <c r="I335" s="40">
        <v>43041</v>
      </c>
      <c r="J335" s="39" t="s">
        <v>334</v>
      </c>
    </row>
    <row r="336" spans="1:10" x14ac:dyDescent="0.2">
      <c r="A336" s="41" t="s">
        <v>623</v>
      </c>
      <c r="B336" s="42">
        <v>104.02</v>
      </c>
      <c r="C336" s="42">
        <v>0</v>
      </c>
      <c r="D336" s="42">
        <v>1</v>
      </c>
      <c r="E336" s="42">
        <v>0</v>
      </c>
      <c r="F336" s="43">
        <v>43040</v>
      </c>
      <c r="G336" s="42">
        <v>0</v>
      </c>
      <c r="H336" s="42"/>
      <c r="I336" s="44">
        <v>43042</v>
      </c>
      <c r="J336" s="39" t="s">
        <v>138</v>
      </c>
    </row>
    <row r="337" spans="1:10" x14ac:dyDescent="0.2">
      <c r="A337" s="45" t="s">
        <v>624</v>
      </c>
      <c r="B337" s="46">
        <v>11.9</v>
      </c>
      <c r="C337" s="42">
        <v>0</v>
      </c>
      <c r="D337" s="42">
        <v>1</v>
      </c>
      <c r="E337" s="42">
        <v>0</v>
      </c>
      <c r="F337" s="43">
        <v>43070</v>
      </c>
      <c r="G337" s="42">
        <v>0</v>
      </c>
      <c r="H337" s="42"/>
      <c r="I337" s="47">
        <v>42996</v>
      </c>
      <c r="J337" s="39" t="s">
        <v>53</v>
      </c>
    </row>
    <row r="338" spans="1:10" x14ac:dyDescent="0.2">
      <c r="A338" s="48" t="s">
        <v>625</v>
      </c>
      <c r="B338" s="46">
        <v>84.55</v>
      </c>
      <c r="C338" s="42">
        <v>0</v>
      </c>
      <c r="D338" s="42">
        <v>1</v>
      </c>
      <c r="E338" s="42">
        <v>0</v>
      </c>
      <c r="F338" s="43">
        <v>43070</v>
      </c>
      <c r="G338" s="42">
        <v>0</v>
      </c>
      <c r="H338" s="42"/>
      <c r="I338" s="47">
        <v>42996</v>
      </c>
      <c r="J338" s="39" t="s">
        <v>27</v>
      </c>
    </row>
    <row r="339" spans="1:10" x14ac:dyDescent="0.2">
      <c r="A339" s="48" t="s">
        <v>626</v>
      </c>
      <c r="B339" s="46">
        <v>118</v>
      </c>
      <c r="C339" s="42">
        <v>0</v>
      </c>
      <c r="D339" s="42">
        <v>1</v>
      </c>
      <c r="E339" s="42">
        <v>0</v>
      </c>
      <c r="F339" s="43">
        <v>43070</v>
      </c>
      <c r="G339" s="42">
        <v>0</v>
      </c>
      <c r="H339" s="42"/>
      <c r="I339" s="47">
        <v>43021</v>
      </c>
      <c r="J339" s="39" t="s">
        <v>138</v>
      </c>
    </row>
    <row r="340" spans="1:10" x14ac:dyDescent="0.2">
      <c r="A340" s="45" t="s">
        <v>571</v>
      </c>
      <c r="B340" s="46">
        <v>89.8</v>
      </c>
      <c r="C340" s="39">
        <v>0</v>
      </c>
      <c r="D340" s="39">
        <v>1</v>
      </c>
      <c r="E340" s="39">
        <v>0</v>
      </c>
      <c r="F340" s="40">
        <v>43070</v>
      </c>
      <c r="G340" s="39">
        <v>0</v>
      </c>
      <c r="H340" s="39"/>
      <c r="I340" s="47">
        <v>43041</v>
      </c>
      <c r="J340" s="39" t="s">
        <v>627</v>
      </c>
    </row>
    <row r="341" spans="1:10" x14ac:dyDescent="0.2">
      <c r="A341" s="48" t="s">
        <v>557</v>
      </c>
      <c r="B341" s="46">
        <v>19.940000000000001</v>
      </c>
      <c r="C341" s="39">
        <v>0</v>
      </c>
      <c r="D341" s="39">
        <v>1</v>
      </c>
      <c r="E341" s="39">
        <v>0</v>
      </c>
      <c r="F341" s="40">
        <v>43070</v>
      </c>
      <c r="G341" s="39">
        <v>0</v>
      </c>
      <c r="H341" s="39"/>
      <c r="I341" s="47">
        <v>43045</v>
      </c>
      <c r="J341" s="39" t="s">
        <v>98</v>
      </c>
    </row>
    <row r="342" spans="1:10" x14ac:dyDescent="0.2">
      <c r="A342" s="48" t="s">
        <v>135</v>
      </c>
      <c r="B342" s="46">
        <v>16.899999999999999</v>
      </c>
      <c r="C342" s="39">
        <v>0</v>
      </c>
      <c r="D342" s="39">
        <v>1</v>
      </c>
      <c r="E342" s="39">
        <v>0</v>
      </c>
      <c r="F342" s="40">
        <v>43070</v>
      </c>
      <c r="G342" s="39">
        <v>0</v>
      </c>
      <c r="H342" s="39"/>
      <c r="I342" s="47">
        <v>43046</v>
      </c>
      <c r="J342" s="39" t="s">
        <v>537</v>
      </c>
    </row>
    <row r="343" spans="1:10" x14ac:dyDescent="0.2">
      <c r="A343" s="48" t="s">
        <v>602</v>
      </c>
      <c r="B343" s="46">
        <v>7.5</v>
      </c>
      <c r="C343" s="39">
        <v>0</v>
      </c>
      <c r="D343" s="39">
        <v>1</v>
      </c>
      <c r="E343" s="39">
        <v>0</v>
      </c>
      <c r="F343" s="40">
        <v>43070</v>
      </c>
      <c r="G343" s="39">
        <v>0</v>
      </c>
      <c r="H343" s="39"/>
      <c r="I343" s="47">
        <v>43046</v>
      </c>
      <c r="J343" s="39" t="s">
        <v>23</v>
      </c>
    </row>
    <row r="344" spans="1:10" x14ac:dyDescent="0.2">
      <c r="A344" s="48" t="s">
        <v>628</v>
      </c>
      <c r="B344" s="46">
        <v>42.99</v>
      </c>
      <c r="C344" s="39">
        <v>0</v>
      </c>
      <c r="D344" s="39">
        <v>1</v>
      </c>
      <c r="E344" s="39">
        <v>0</v>
      </c>
      <c r="F344" s="40">
        <v>43070</v>
      </c>
      <c r="G344" s="39">
        <v>0</v>
      </c>
      <c r="H344" s="39"/>
      <c r="I344" s="47">
        <v>43047</v>
      </c>
      <c r="J344" s="39" t="s">
        <v>53</v>
      </c>
    </row>
    <row r="345" spans="1:10" x14ac:dyDescent="0.2">
      <c r="A345" s="48" t="s">
        <v>558</v>
      </c>
      <c r="B345" s="46">
        <v>34.9</v>
      </c>
      <c r="C345" s="39">
        <v>0</v>
      </c>
      <c r="D345" s="39">
        <v>1</v>
      </c>
      <c r="E345" s="39">
        <v>0</v>
      </c>
      <c r="F345" s="40">
        <v>43070</v>
      </c>
      <c r="G345" s="39">
        <v>0</v>
      </c>
      <c r="H345" s="39"/>
      <c r="I345" s="47">
        <v>43047</v>
      </c>
      <c r="J345" s="39" t="s">
        <v>53</v>
      </c>
    </row>
    <row r="346" spans="1:10" x14ac:dyDescent="0.2">
      <c r="A346" s="39" t="s">
        <v>629</v>
      </c>
      <c r="B346" s="39">
        <v>46.68</v>
      </c>
      <c r="C346" s="39">
        <v>0</v>
      </c>
      <c r="D346" s="39">
        <v>1</v>
      </c>
      <c r="E346" s="39">
        <v>0</v>
      </c>
      <c r="F346" s="40">
        <v>43070</v>
      </c>
      <c r="G346" s="39">
        <v>0</v>
      </c>
      <c r="H346" s="39"/>
      <c r="I346" s="40">
        <v>43049</v>
      </c>
      <c r="J346" s="39" t="s">
        <v>53</v>
      </c>
    </row>
    <row r="347" spans="1:10" x14ac:dyDescent="0.2">
      <c r="A347" s="39" t="s">
        <v>630</v>
      </c>
      <c r="B347" s="39">
        <v>46.68</v>
      </c>
      <c r="C347" s="39">
        <v>0</v>
      </c>
      <c r="D347" s="39">
        <v>1</v>
      </c>
      <c r="E347" s="39">
        <v>0</v>
      </c>
      <c r="F347" s="40">
        <v>43101</v>
      </c>
      <c r="G347" s="39">
        <v>0</v>
      </c>
      <c r="H347" s="39"/>
      <c r="I347" s="40">
        <v>43049</v>
      </c>
      <c r="J347" s="39" t="s">
        <v>53</v>
      </c>
    </row>
    <row r="348" spans="1:10" x14ac:dyDescent="0.2">
      <c r="A348" s="39" t="s">
        <v>631</v>
      </c>
      <c r="B348" s="39">
        <v>46.68</v>
      </c>
      <c r="C348" s="39">
        <v>0</v>
      </c>
      <c r="D348" s="39">
        <v>1</v>
      </c>
      <c r="E348" s="39">
        <v>0</v>
      </c>
      <c r="F348" s="40">
        <v>43132</v>
      </c>
      <c r="G348" s="39">
        <v>0</v>
      </c>
      <c r="H348" s="39"/>
      <c r="I348" s="40">
        <v>43049</v>
      </c>
      <c r="J348" s="39" t="s">
        <v>53</v>
      </c>
    </row>
    <row r="349" spans="1:10" x14ac:dyDescent="0.2">
      <c r="A349" s="39" t="s">
        <v>632</v>
      </c>
      <c r="B349" s="39">
        <v>117.67</v>
      </c>
      <c r="C349" s="39">
        <v>0</v>
      </c>
      <c r="D349" s="39">
        <v>1</v>
      </c>
      <c r="E349" s="39">
        <v>0</v>
      </c>
      <c r="F349" s="40">
        <v>43070</v>
      </c>
      <c r="G349" s="39">
        <v>0</v>
      </c>
      <c r="H349" s="39"/>
      <c r="I349" s="40">
        <v>43050</v>
      </c>
      <c r="J349" s="39" t="s">
        <v>251</v>
      </c>
    </row>
    <row r="350" spans="1:10" x14ac:dyDescent="0.2">
      <c r="A350" s="39" t="s">
        <v>633</v>
      </c>
      <c r="B350" s="39">
        <v>8.9</v>
      </c>
      <c r="C350" s="39">
        <v>0</v>
      </c>
      <c r="D350" s="39">
        <v>1</v>
      </c>
      <c r="E350" s="39">
        <v>0</v>
      </c>
      <c r="F350" s="40">
        <v>43070</v>
      </c>
      <c r="G350" s="39">
        <v>0</v>
      </c>
      <c r="H350" s="39"/>
      <c r="I350" s="40">
        <v>43050</v>
      </c>
      <c r="J350" s="39" t="s">
        <v>53</v>
      </c>
    </row>
    <row r="351" spans="1:10" x14ac:dyDescent="0.2">
      <c r="A351" s="39" t="s">
        <v>634</v>
      </c>
      <c r="B351" s="39">
        <v>2.5</v>
      </c>
      <c r="C351" s="39">
        <v>0</v>
      </c>
      <c r="D351" s="39">
        <v>1</v>
      </c>
      <c r="E351" s="39">
        <v>0</v>
      </c>
      <c r="F351" s="40">
        <v>43070</v>
      </c>
      <c r="G351" s="39">
        <v>0</v>
      </c>
      <c r="H351" s="39"/>
      <c r="I351" s="40">
        <v>43050</v>
      </c>
      <c r="J351" s="39" t="s">
        <v>66</v>
      </c>
    </row>
    <row r="352" spans="1:10" x14ac:dyDescent="0.2">
      <c r="A352" s="39" t="s">
        <v>635</v>
      </c>
      <c r="B352" s="39">
        <v>29.9</v>
      </c>
      <c r="C352" s="39">
        <v>0</v>
      </c>
      <c r="D352" s="39">
        <v>1</v>
      </c>
      <c r="E352" s="39">
        <v>0</v>
      </c>
      <c r="F352" s="40">
        <v>43070</v>
      </c>
      <c r="G352" s="39">
        <v>0</v>
      </c>
      <c r="H352" s="39"/>
      <c r="I352" s="40">
        <v>43050</v>
      </c>
      <c r="J352" s="39" t="s">
        <v>636</v>
      </c>
    </row>
    <row r="353" spans="1:10" x14ac:dyDescent="0.2">
      <c r="A353" s="39" t="s">
        <v>635</v>
      </c>
      <c r="B353" s="39">
        <v>0.3</v>
      </c>
      <c r="C353" s="39">
        <v>0</v>
      </c>
      <c r="D353" s="39">
        <v>1</v>
      </c>
      <c r="E353" s="39">
        <v>0</v>
      </c>
      <c r="F353" s="40">
        <v>43070</v>
      </c>
      <c r="G353" s="39">
        <v>0</v>
      </c>
      <c r="H353" s="39"/>
      <c r="I353" s="40">
        <v>43050</v>
      </c>
      <c r="J353" s="39" t="s">
        <v>636</v>
      </c>
    </row>
    <row r="354" spans="1:10" x14ac:dyDescent="0.2">
      <c r="A354" s="39" t="s">
        <v>637</v>
      </c>
      <c r="B354" s="39">
        <v>56</v>
      </c>
      <c r="C354" s="39">
        <v>0</v>
      </c>
      <c r="D354" s="39">
        <v>1</v>
      </c>
      <c r="E354" s="39">
        <v>0</v>
      </c>
      <c r="F354" s="40">
        <v>43070</v>
      </c>
      <c r="G354" s="39">
        <v>0</v>
      </c>
      <c r="H354" s="39"/>
      <c r="I354" s="40">
        <v>43050</v>
      </c>
      <c r="J354" s="39" t="s">
        <v>53</v>
      </c>
    </row>
    <row r="355" spans="1:10" x14ac:dyDescent="0.2">
      <c r="A355" s="39" t="s">
        <v>638</v>
      </c>
      <c r="B355" s="39">
        <v>5</v>
      </c>
      <c r="C355" s="39">
        <v>0</v>
      </c>
      <c r="D355" s="39">
        <v>1</v>
      </c>
      <c r="E355" s="39">
        <v>0</v>
      </c>
      <c r="F355" s="40">
        <v>43070</v>
      </c>
      <c r="G355" s="39">
        <v>0</v>
      </c>
      <c r="H355" s="39"/>
      <c r="I355" s="40">
        <v>43050</v>
      </c>
      <c r="J355" s="39" t="s">
        <v>53</v>
      </c>
    </row>
    <row r="356" spans="1:10" x14ac:dyDescent="0.2">
      <c r="A356" s="39" t="s">
        <v>639</v>
      </c>
      <c r="B356" s="39">
        <v>44.65</v>
      </c>
      <c r="C356" s="39">
        <v>0</v>
      </c>
      <c r="D356" s="39">
        <v>1</v>
      </c>
      <c r="E356" s="39">
        <v>0</v>
      </c>
      <c r="F356" s="40">
        <v>43070</v>
      </c>
      <c r="G356" s="39">
        <v>0</v>
      </c>
      <c r="H356" s="39"/>
      <c r="I356" s="40">
        <v>43050</v>
      </c>
      <c r="J356" s="39" t="s">
        <v>53</v>
      </c>
    </row>
    <row r="357" spans="1:10" x14ac:dyDescent="0.2">
      <c r="A357" s="39" t="s">
        <v>617</v>
      </c>
      <c r="B357" s="39">
        <v>67.569999999999993</v>
      </c>
      <c r="C357" s="39">
        <v>0</v>
      </c>
      <c r="D357" s="39">
        <v>1</v>
      </c>
      <c r="E357" s="39">
        <v>0</v>
      </c>
      <c r="F357" s="40">
        <v>43070</v>
      </c>
      <c r="G357" s="39">
        <v>0</v>
      </c>
      <c r="H357" s="39"/>
      <c r="I357" s="40">
        <v>43053</v>
      </c>
      <c r="J357" s="39" t="s">
        <v>23</v>
      </c>
    </row>
    <row r="358" spans="1:10" x14ac:dyDescent="0.2">
      <c r="A358" s="41" t="s">
        <v>179</v>
      </c>
      <c r="B358" s="42">
        <v>25</v>
      </c>
      <c r="C358" s="42">
        <v>0</v>
      </c>
      <c r="D358" s="42">
        <v>1</v>
      </c>
      <c r="E358" s="42">
        <v>0</v>
      </c>
      <c r="F358" s="43">
        <v>43070</v>
      </c>
      <c r="G358" s="42">
        <v>0</v>
      </c>
      <c r="H358" s="42"/>
      <c r="I358" s="43">
        <v>43053</v>
      </c>
      <c r="J358" s="39" t="s">
        <v>53</v>
      </c>
    </row>
    <row r="359" spans="1:10" x14ac:dyDescent="0.2">
      <c r="A359" s="48" t="s">
        <v>640</v>
      </c>
      <c r="B359" s="46">
        <v>36.15</v>
      </c>
      <c r="C359" s="42">
        <v>0</v>
      </c>
      <c r="D359" s="42">
        <v>1</v>
      </c>
      <c r="E359" s="42">
        <v>0</v>
      </c>
      <c r="F359" s="43">
        <v>43070</v>
      </c>
      <c r="G359" s="42">
        <v>0</v>
      </c>
      <c r="H359" s="42"/>
      <c r="I359" s="47">
        <v>43054</v>
      </c>
      <c r="J359" s="39" t="s">
        <v>23</v>
      </c>
    </row>
    <row r="360" spans="1:10" x14ac:dyDescent="0.2">
      <c r="A360" s="48" t="s">
        <v>573</v>
      </c>
      <c r="B360" s="46">
        <v>113.32</v>
      </c>
      <c r="C360" s="42">
        <v>0</v>
      </c>
      <c r="D360" s="42">
        <v>1</v>
      </c>
      <c r="E360" s="42">
        <v>0</v>
      </c>
      <c r="F360" s="43">
        <v>43070</v>
      </c>
      <c r="G360" s="42">
        <v>0</v>
      </c>
      <c r="H360" s="42"/>
      <c r="I360" s="47">
        <v>43054</v>
      </c>
      <c r="J360" s="39" t="s">
        <v>27</v>
      </c>
    </row>
    <row r="361" spans="1:10" x14ac:dyDescent="0.2">
      <c r="A361" s="48" t="s">
        <v>641</v>
      </c>
      <c r="B361" s="46">
        <v>34.130000000000003</v>
      </c>
      <c r="C361" s="42">
        <v>0</v>
      </c>
      <c r="D361" s="42">
        <v>1</v>
      </c>
      <c r="E361" s="42">
        <v>0</v>
      </c>
      <c r="F361" s="43">
        <v>43070</v>
      </c>
      <c r="G361" s="42">
        <v>0</v>
      </c>
      <c r="H361" s="42"/>
      <c r="I361" s="47">
        <v>43057</v>
      </c>
      <c r="J361" s="39" t="s">
        <v>334</v>
      </c>
    </row>
    <row r="362" spans="1:10" x14ac:dyDescent="0.2">
      <c r="A362" s="48" t="s">
        <v>642</v>
      </c>
      <c r="B362" s="46">
        <v>23</v>
      </c>
      <c r="C362" s="42">
        <v>0</v>
      </c>
      <c r="D362" s="42">
        <v>1</v>
      </c>
      <c r="E362" s="42">
        <v>0</v>
      </c>
      <c r="F362" s="43">
        <v>43070</v>
      </c>
      <c r="G362" s="42">
        <v>0</v>
      </c>
      <c r="H362" s="42"/>
      <c r="I362" s="47">
        <v>43057</v>
      </c>
      <c r="J362" s="39" t="s">
        <v>334</v>
      </c>
    </row>
    <row r="363" spans="1:10" x14ac:dyDescent="0.2">
      <c r="A363" s="48" t="s">
        <v>140</v>
      </c>
      <c r="B363" s="46">
        <v>18.11</v>
      </c>
      <c r="C363" s="42">
        <v>0</v>
      </c>
      <c r="D363" s="42">
        <v>1</v>
      </c>
      <c r="E363" s="42">
        <v>0</v>
      </c>
      <c r="F363" s="43">
        <v>43070</v>
      </c>
      <c r="G363" s="42">
        <v>0</v>
      </c>
      <c r="H363" s="42"/>
      <c r="I363" s="47">
        <v>43058</v>
      </c>
      <c r="J363" s="39" t="s">
        <v>23</v>
      </c>
    </row>
    <row r="364" spans="1:10" x14ac:dyDescent="0.2">
      <c r="A364" s="48" t="s">
        <v>643</v>
      </c>
      <c r="B364" s="46">
        <v>61.4</v>
      </c>
      <c r="C364" s="42">
        <v>0</v>
      </c>
      <c r="D364" s="42">
        <v>1</v>
      </c>
      <c r="E364" s="42">
        <v>0</v>
      </c>
      <c r="F364" s="43">
        <v>43070</v>
      </c>
      <c r="G364" s="42">
        <v>0</v>
      </c>
      <c r="H364" s="42"/>
      <c r="I364" s="47">
        <v>43059</v>
      </c>
      <c r="J364" s="39" t="s">
        <v>334</v>
      </c>
    </row>
    <row r="365" spans="1:10" x14ac:dyDescent="0.2">
      <c r="A365" s="48" t="s">
        <v>643</v>
      </c>
      <c r="B365" s="46">
        <v>7</v>
      </c>
      <c r="C365" s="42">
        <v>0</v>
      </c>
      <c r="D365" s="42">
        <v>1</v>
      </c>
      <c r="E365" s="42">
        <v>0</v>
      </c>
      <c r="F365" s="43">
        <v>43070</v>
      </c>
      <c r="G365" s="42">
        <v>0</v>
      </c>
      <c r="H365" s="42"/>
      <c r="I365" s="47">
        <v>43059</v>
      </c>
      <c r="J365" s="39" t="s">
        <v>334</v>
      </c>
    </row>
    <row r="366" spans="1:10" x14ac:dyDescent="0.2">
      <c r="A366" s="48" t="s">
        <v>643</v>
      </c>
      <c r="B366" s="46">
        <v>3.5</v>
      </c>
      <c r="C366" s="42">
        <v>0</v>
      </c>
      <c r="D366" s="42">
        <v>1</v>
      </c>
      <c r="E366" s="42">
        <v>0</v>
      </c>
      <c r="F366" s="43">
        <v>43070</v>
      </c>
      <c r="G366" s="42">
        <v>0</v>
      </c>
      <c r="H366" s="42"/>
      <c r="I366" s="47">
        <v>43059</v>
      </c>
      <c r="J366" s="39" t="s">
        <v>334</v>
      </c>
    </row>
    <row r="367" spans="1:10" x14ac:dyDescent="0.2">
      <c r="A367" s="48" t="s">
        <v>602</v>
      </c>
      <c r="B367" s="46">
        <v>30.84</v>
      </c>
      <c r="C367" s="42">
        <v>0</v>
      </c>
      <c r="D367" s="42">
        <v>1</v>
      </c>
      <c r="E367" s="42">
        <v>0</v>
      </c>
      <c r="F367" s="43">
        <v>43070</v>
      </c>
      <c r="G367" s="42">
        <v>0</v>
      </c>
      <c r="H367" s="42"/>
      <c r="I367" s="47">
        <v>43059</v>
      </c>
      <c r="J367" s="39" t="s">
        <v>23</v>
      </c>
    </row>
    <row r="368" spans="1:10" x14ac:dyDescent="0.2">
      <c r="A368" s="48" t="s">
        <v>644</v>
      </c>
      <c r="B368" s="46">
        <v>278.05</v>
      </c>
      <c r="C368" s="42">
        <v>0</v>
      </c>
      <c r="D368" s="42">
        <v>1</v>
      </c>
      <c r="E368" s="42">
        <v>0</v>
      </c>
      <c r="F368" s="43">
        <v>43070</v>
      </c>
      <c r="G368" s="42">
        <v>0</v>
      </c>
      <c r="H368" s="42"/>
      <c r="I368" s="47">
        <v>43060</v>
      </c>
      <c r="J368" s="39" t="s">
        <v>23</v>
      </c>
    </row>
    <row r="369" spans="1:10" x14ac:dyDescent="0.2">
      <c r="A369" s="39" t="s">
        <v>645</v>
      </c>
      <c r="B369" s="39">
        <v>175</v>
      </c>
      <c r="C369" s="42">
        <v>0</v>
      </c>
      <c r="D369" s="42">
        <v>1</v>
      </c>
      <c r="E369" s="42">
        <v>0</v>
      </c>
      <c r="F369" s="43">
        <v>43070</v>
      </c>
      <c r="G369" s="42">
        <v>0</v>
      </c>
      <c r="H369" s="42"/>
      <c r="I369" s="47">
        <v>43062</v>
      </c>
      <c r="J369" s="39" t="s">
        <v>23</v>
      </c>
    </row>
    <row r="370" spans="1:10" x14ac:dyDescent="0.2">
      <c r="A370" s="39" t="s">
        <v>573</v>
      </c>
      <c r="B370" s="39">
        <v>152.44</v>
      </c>
      <c r="C370" s="42">
        <v>0</v>
      </c>
      <c r="D370" s="42">
        <v>1</v>
      </c>
      <c r="E370" s="42">
        <v>0</v>
      </c>
      <c r="F370" s="43">
        <v>43070</v>
      </c>
      <c r="G370" s="42">
        <v>0</v>
      </c>
      <c r="H370" s="42"/>
      <c r="I370" s="47">
        <v>43064</v>
      </c>
      <c r="J370" s="39" t="s">
        <v>27</v>
      </c>
    </row>
    <row r="371" spans="1:10" x14ac:dyDescent="0.2">
      <c r="A371" s="48" t="s">
        <v>92</v>
      </c>
      <c r="B371" s="46">
        <v>226.93</v>
      </c>
      <c r="C371" s="42">
        <v>0</v>
      </c>
      <c r="D371" s="42">
        <v>1</v>
      </c>
      <c r="E371" s="42">
        <v>0</v>
      </c>
      <c r="F371" s="43">
        <v>43070</v>
      </c>
      <c r="G371" s="42">
        <v>0</v>
      </c>
      <c r="H371" s="42"/>
      <c r="I371" s="47">
        <v>43065</v>
      </c>
      <c r="J371" s="39" t="s">
        <v>29</v>
      </c>
    </row>
    <row r="372" spans="1:10" x14ac:dyDescent="0.2">
      <c r="A372" s="48" t="s">
        <v>646</v>
      </c>
      <c r="B372" s="46">
        <v>89.5</v>
      </c>
      <c r="C372" s="42">
        <v>0</v>
      </c>
      <c r="D372" s="42">
        <v>1</v>
      </c>
      <c r="E372" s="42">
        <v>0</v>
      </c>
      <c r="F372" s="43">
        <v>43070</v>
      </c>
      <c r="G372" s="42">
        <v>0</v>
      </c>
      <c r="H372" s="42"/>
      <c r="I372" s="47">
        <v>43065</v>
      </c>
      <c r="J372" s="39" t="s">
        <v>53</v>
      </c>
    </row>
    <row r="373" spans="1:10" x14ac:dyDescent="0.2">
      <c r="A373" s="48" t="s">
        <v>23</v>
      </c>
      <c r="B373" s="46">
        <v>44.15</v>
      </c>
      <c r="C373" s="42">
        <v>0</v>
      </c>
      <c r="D373" s="42">
        <v>1</v>
      </c>
      <c r="E373" s="42">
        <v>0</v>
      </c>
      <c r="F373" s="43">
        <v>43070</v>
      </c>
      <c r="G373" s="42">
        <v>0</v>
      </c>
      <c r="H373" s="42"/>
      <c r="I373" s="47">
        <v>43065</v>
      </c>
      <c r="J373" s="39" t="s">
        <v>23</v>
      </c>
    </row>
    <row r="374" spans="1:10" x14ac:dyDescent="0.2">
      <c r="A374" s="48" t="s">
        <v>413</v>
      </c>
      <c r="B374" s="46">
        <v>33.76</v>
      </c>
      <c r="C374" s="42">
        <v>0</v>
      </c>
      <c r="D374" s="42">
        <v>1</v>
      </c>
      <c r="E374" s="42">
        <v>0</v>
      </c>
      <c r="F374" s="43">
        <v>43070</v>
      </c>
      <c r="G374" s="42">
        <v>0</v>
      </c>
      <c r="H374" s="42"/>
      <c r="I374" s="47">
        <v>43066</v>
      </c>
      <c r="J374" s="39" t="s">
        <v>23</v>
      </c>
    </row>
    <row r="375" spans="1:10" x14ac:dyDescent="0.2">
      <c r="A375" s="48" t="s">
        <v>647</v>
      </c>
      <c r="B375" s="46">
        <v>16.5</v>
      </c>
      <c r="C375" s="42">
        <v>0</v>
      </c>
      <c r="D375" s="42">
        <v>1</v>
      </c>
      <c r="E375" s="42">
        <v>0</v>
      </c>
      <c r="F375" s="43">
        <v>43070</v>
      </c>
      <c r="G375" s="42">
        <v>0</v>
      </c>
      <c r="H375" s="42"/>
      <c r="I375" s="47">
        <v>43066</v>
      </c>
      <c r="J375" s="39" t="s">
        <v>29</v>
      </c>
    </row>
    <row r="376" spans="1:10" x14ac:dyDescent="0.2">
      <c r="A376" s="48" t="s">
        <v>648</v>
      </c>
      <c r="B376" s="46">
        <v>19.989999999999998</v>
      </c>
      <c r="C376" s="42">
        <v>0</v>
      </c>
      <c r="D376" s="42">
        <v>1</v>
      </c>
      <c r="E376" s="42">
        <v>0</v>
      </c>
      <c r="F376" s="43">
        <v>43070</v>
      </c>
      <c r="G376" s="42">
        <v>0</v>
      </c>
      <c r="H376" s="42"/>
      <c r="I376" s="47">
        <v>43066</v>
      </c>
      <c r="J376" s="39" t="s">
        <v>98</v>
      </c>
    </row>
    <row r="377" spans="1:10" x14ac:dyDescent="0.2">
      <c r="A377" s="48" t="s">
        <v>649</v>
      </c>
      <c r="B377" s="46">
        <v>119.7</v>
      </c>
      <c r="C377" s="42">
        <v>0</v>
      </c>
      <c r="D377" s="42">
        <v>1</v>
      </c>
      <c r="E377" s="42">
        <v>0</v>
      </c>
      <c r="F377" s="43">
        <v>43101</v>
      </c>
      <c r="G377" s="42">
        <v>0</v>
      </c>
      <c r="H377" s="42"/>
      <c r="I377" s="47">
        <v>43071</v>
      </c>
      <c r="J377" s="39" t="s">
        <v>53</v>
      </c>
    </row>
    <row r="378" spans="1:10" x14ac:dyDescent="0.2">
      <c r="A378" s="48" t="s">
        <v>649</v>
      </c>
      <c r="B378" s="46">
        <v>269.39999999999998</v>
      </c>
      <c r="C378" s="42">
        <v>0</v>
      </c>
      <c r="D378" s="42">
        <v>1</v>
      </c>
      <c r="E378" s="42">
        <v>0</v>
      </c>
      <c r="F378" s="43">
        <v>43101</v>
      </c>
      <c r="G378" s="42">
        <v>0</v>
      </c>
      <c r="H378" s="42"/>
      <c r="I378" s="47">
        <v>43071</v>
      </c>
      <c r="J378" s="39" t="s">
        <v>53</v>
      </c>
    </row>
    <row r="379" spans="1:10" x14ac:dyDescent="0.2">
      <c r="A379" s="48" t="s">
        <v>224</v>
      </c>
      <c r="B379" s="46">
        <v>165.78</v>
      </c>
      <c r="C379" s="42">
        <v>0</v>
      </c>
      <c r="D379" s="42">
        <v>1</v>
      </c>
      <c r="E379" s="42">
        <v>0</v>
      </c>
      <c r="F379" s="43">
        <v>43070</v>
      </c>
      <c r="G379" s="42">
        <v>0</v>
      </c>
      <c r="H379" s="42"/>
      <c r="I379" s="47">
        <v>43072</v>
      </c>
      <c r="J379" s="39" t="s">
        <v>23</v>
      </c>
    </row>
  </sheetData>
  <autoFilter ref="A1:K159" xr:uid="{00000000-0009-0000-0000-000004000000}"/>
  <pageMargins left="0.51180555555555496" right="0.51180555555555496" top="0.78749999999999998" bottom="0.78749999999999998" header="0.51180555555555496" footer="0.51180555555555496"/>
  <pageSetup paperSize="9" firstPageNumber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6"/>
  <dimension ref="A1:N16"/>
  <sheetViews>
    <sheetView zoomScale="78" zoomScaleNormal="78" workbookViewId="0">
      <selection activeCell="B9" sqref="B9"/>
    </sheetView>
  </sheetViews>
  <sheetFormatPr defaultRowHeight="12.75" x14ac:dyDescent="0.2"/>
  <cols>
    <col min="1" max="1" width="12.28515625"/>
    <col min="2" max="2" width="25"/>
    <col min="3" max="3" width="25.140625"/>
    <col min="4" max="4" width="21.5703125"/>
    <col min="5" max="5" width="23.28515625"/>
    <col min="6" max="6" width="28.28515625"/>
    <col min="7" max="8" width="22"/>
    <col min="9" max="9" width="26.42578125"/>
    <col min="10" max="10" width="21.5703125"/>
    <col min="11" max="13" width="19.42578125"/>
  </cols>
  <sheetData>
    <row r="1" spans="1:14" x14ac:dyDescent="0.2">
      <c r="A1" s="50" t="s">
        <v>654</v>
      </c>
      <c r="B1" s="51" t="s">
        <v>228</v>
      </c>
      <c r="C1" s="52" t="s">
        <v>229</v>
      </c>
      <c r="D1" s="52" t="s">
        <v>3</v>
      </c>
      <c r="E1" s="52" t="s">
        <v>230</v>
      </c>
      <c r="F1" s="53" t="s">
        <v>231</v>
      </c>
      <c r="G1" s="54" t="s">
        <v>232</v>
      </c>
      <c r="H1" s="55" t="s">
        <v>655</v>
      </c>
      <c r="I1" s="54" t="s">
        <v>656</v>
      </c>
      <c r="J1" s="56" t="s">
        <v>657</v>
      </c>
      <c r="K1" s="57" t="s">
        <v>658</v>
      </c>
      <c r="L1" s="58" t="s">
        <v>659</v>
      </c>
      <c r="M1" s="59" t="s">
        <v>660</v>
      </c>
      <c r="N1" s="60" t="s">
        <v>661</v>
      </c>
    </row>
    <row r="2" spans="1:14" x14ac:dyDescent="0.2">
      <c r="A2" s="61">
        <v>42736</v>
      </c>
      <c r="B2" s="62">
        <v>10646.25</v>
      </c>
      <c r="C2" s="63">
        <v>7216.99</v>
      </c>
      <c r="D2" s="64">
        <v>2325.8500000000004</v>
      </c>
      <c r="E2" s="63">
        <v>0</v>
      </c>
      <c r="F2" s="65">
        <f t="shared" ref="F2:F13" si="0">C2+D2+E2</f>
        <v>9542.84</v>
      </c>
      <c r="G2" s="66">
        <f t="shared" ref="G2:G13" si="1">B2-F2</f>
        <v>1103.4099999999999</v>
      </c>
      <c r="H2" s="67">
        <v>9320</v>
      </c>
      <c r="I2" s="66">
        <f>G2+H2</f>
        <v>10423.41</v>
      </c>
      <c r="J2" s="56">
        <v>2100</v>
      </c>
      <c r="K2" s="68">
        <f>((C2+E2+J2))</f>
        <v>9316.99</v>
      </c>
      <c r="L2" s="69">
        <f t="shared" ref="L2:L13" si="2">B2-K2</f>
        <v>1329.2600000000002</v>
      </c>
      <c r="M2" s="70">
        <f t="shared" ref="M2:M13" si="3">L2+H2</f>
        <v>10649.26</v>
      </c>
      <c r="N2" s="71">
        <f>G2-L2</f>
        <v>-225.85000000000036</v>
      </c>
    </row>
    <row r="3" spans="1:14" x14ac:dyDescent="0.2">
      <c r="A3" s="61">
        <v>42767</v>
      </c>
      <c r="B3" s="62">
        <v>7835.66</v>
      </c>
      <c r="C3" s="63">
        <v>4994.3099999999995</v>
      </c>
      <c r="D3" s="64">
        <v>2411.0299999999997</v>
      </c>
      <c r="E3" s="63">
        <v>0</v>
      </c>
      <c r="F3" s="65">
        <f t="shared" si="0"/>
        <v>7405.3399999999992</v>
      </c>
      <c r="G3" s="66">
        <f t="shared" si="1"/>
        <v>430.32000000000062</v>
      </c>
      <c r="H3" s="67">
        <v>9320</v>
      </c>
      <c r="I3" s="66">
        <f t="shared" ref="I3:I13" si="4">G3+H3</f>
        <v>9750.32</v>
      </c>
      <c r="J3" s="56">
        <v>2100</v>
      </c>
      <c r="K3" s="68">
        <f t="shared" ref="K3:K13" si="5">((C3+D3+E3)-D3)+J3</f>
        <v>7094.3099999999995</v>
      </c>
      <c r="L3" s="69">
        <f t="shared" si="2"/>
        <v>741.35000000000036</v>
      </c>
      <c r="M3" s="70">
        <f t="shared" si="3"/>
        <v>10061.35</v>
      </c>
      <c r="N3" s="71">
        <f t="shared" ref="N3:N13" si="6">G3-L3</f>
        <v>-311.02999999999975</v>
      </c>
    </row>
    <row r="4" spans="1:14" x14ac:dyDescent="0.2">
      <c r="A4" s="61">
        <v>42795</v>
      </c>
      <c r="B4" s="62">
        <v>17071.29</v>
      </c>
      <c r="C4" s="63">
        <v>5941.1</v>
      </c>
      <c r="D4" s="64">
        <v>1340.1899999999998</v>
      </c>
      <c r="E4" s="63">
        <v>0</v>
      </c>
      <c r="F4" s="65">
        <f t="shared" si="0"/>
        <v>7281.29</v>
      </c>
      <c r="G4" s="66">
        <f t="shared" si="1"/>
        <v>9790</v>
      </c>
      <c r="H4" s="67">
        <v>9320</v>
      </c>
      <c r="I4" s="66">
        <f t="shared" si="4"/>
        <v>19110</v>
      </c>
      <c r="J4" s="56">
        <v>2100</v>
      </c>
      <c r="K4" s="68">
        <f t="shared" si="5"/>
        <v>8041.1</v>
      </c>
      <c r="L4" s="69">
        <f t="shared" si="2"/>
        <v>9030.19</v>
      </c>
      <c r="M4" s="70">
        <f t="shared" si="3"/>
        <v>18350.190000000002</v>
      </c>
      <c r="N4" s="71">
        <f t="shared" si="6"/>
        <v>759.80999999999949</v>
      </c>
    </row>
    <row r="5" spans="1:14" x14ac:dyDescent="0.2">
      <c r="A5" s="61">
        <v>42826</v>
      </c>
      <c r="B5" s="62">
        <v>12708.73</v>
      </c>
      <c r="C5" s="63">
        <v>6895.0700000000006</v>
      </c>
      <c r="D5" s="64">
        <v>2499.81</v>
      </c>
      <c r="E5" s="63">
        <v>0</v>
      </c>
      <c r="F5" s="65">
        <f t="shared" si="0"/>
        <v>9394.880000000001</v>
      </c>
      <c r="G5" s="66">
        <f t="shared" si="1"/>
        <v>3313.8499999999985</v>
      </c>
      <c r="H5" s="67">
        <v>9320</v>
      </c>
      <c r="I5" s="66">
        <f t="shared" si="4"/>
        <v>12633.849999999999</v>
      </c>
      <c r="J5" s="56">
        <v>2100</v>
      </c>
      <c r="K5" s="68">
        <f t="shared" si="5"/>
        <v>8995.0700000000015</v>
      </c>
      <c r="L5" s="69">
        <f t="shared" si="2"/>
        <v>3713.659999999998</v>
      </c>
      <c r="M5" s="70">
        <f t="shared" si="3"/>
        <v>13033.659999999998</v>
      </c>
      <c r="N5" s="71">
        <f t="shared" si="6"/>
        <v>-399.80999999999949</v>
      </c>
    </row>
    <row r="6" spans="1:14" x14ac:dyDescent="0.2">
      <c r="A6" s="61">
        <v>42856</v>
      </c>
      <c r="B6" s="62">
        <v>9963.4299999999985</v>
      </c>
      <c r="C6" s="63">
        <v>7620.7000000000016</v>
      </c>
      <c r="D6" s="64">
        <v>1971.7400000000002</v>
      </c>
      <c r="E6" s="63">
        <v>0</v>
      </c>
      <c r="F6" s="65">
        <f t="shared" si="0"/>
        <v>9592.4400000000023</v>
      </c>
      <c r="G6" s="66">
        <f t="shared" si="1"/>
        <v>370.98999999999614</v>
      </c>
      <c r="H6" s="67">
        <v>9320</v>
      </c>
      <c r="I6" s="66">
        <f t="shared" si="4"/>
        <v>9690.9899999999961</v>
      </c>
      <c r="J6" s="56">
        <v>2100</v>
      </c>
      <c r="K6" s="68">
        <f t="shared" si="5"/>
        <v>9720.7000000000025</v>
      </c>
      <c r="L6" s="69">
        <f t="shared" si="2"/>
        <v>242.72999999999593</v>
      </c>
      <c r="M6" s="70">
        <f t="shared" si="3"/>
        <v>9562.7299999999959</v>
      </c>
      <c r="N6" s="71">
        <f t="shared" si="6"/>
        <v>128.26000000000022</v>
      </c>
    </row>
    <row r="7" spans="1:14" x14ac:dyDescent="0.2">
      <c r="A7" s="61">
        <v>42887</v>
      </c>
      <c r="B7" s="62">
        <v>11535.379999999996</v>
      </c>
      <c r="C7" s="63">
        <v>7152.6600000000017</v>
      </c>
      <c r="D7" s="64">
        <v>2107.67</v>
      </c>
      <c r="E7" s="63">
        <v>0</v>
      </c>
      <c r="F7" s="65">
        <f t="shared" si="0"/>
        <v>9260.3300000000017</v>
      </c>
      <c r="G7" s="66">
        <f t="shared" si="1"/>
        <v>2275.0499999999938</v>
      </c>
      <c r="H7" s="67">
        <v>9320</v>
      </c>
      <c r="I7" s="66">
        <f t="shared" si="4"/>
        <v>11595.049999999994</v>
      </c>
      <c r="J7" s="56">
        <v>2100</v>
      </c>
      <c r="K7" s="68">
        <f t="shared" si="5"/>
        <v>9252.6600000000017</v>
      </c>
      <c r="L7" s="69">
        <f t="shared" si="2"/>
        <v>2282.7199999999939</v>
      </c>
      <c r="M7" s="70">
        <f t="shared" si="3"/>
        <v>11602.719999999994</v>
      </c>
      <c r="N7" s="71">
        <f t="shared" si="6"/>
        <v>-7.6700000000000728</v>
      </c>
    </row>
    <row r="8" spans="1:14" x14ac:dyDescent="0.2">
      <c r="A8" s="61">
        <v>42917</v>
      </c>
      <c r="B8" s="62">
        <v>9179.6599999999944</v>
      </c>
      <c r="C8" s="63">
        <v>5531.6100000000006</v>
      </c>
      <c r="D8" s="64">
        <v>2871.3999999999996</v>
      </c>
      <c r="E8" s="63">
        <v>0</v>
      </c>
      <c r="F8" s="65">
        <f t="shared" si="0"/>
        <v>8403.01</v>
      </c>
      <c r="G8" s="66">
        <f t="shared" si="1"/>
        <v>776.64999999999418</v>
      </c>
      <c r="H8" s="67">
        <v>9320</v>
      </c>
      <c r="I8" s="66">
        <f t="shared" si="4"/>
        <v>10096.649999999994</v>
      </c>
      <c r="J8" s="56">
        <v>2100</v>
      </c>
      <c r="K8" s="68">
        <f t="shared" si="5"/>
        <v>7631.6100000000006</v>
      </c>
      <c r="L8" s="69">
        <f t="shared" si="2"/>
        <v>1548.0499999999938</v>
      </c>
      <c r="M8" s="70">
        <f t="shared" si="3"/>
        <v>10868.049999999994</v>
      </c>
      <c r="N8" s="71">
        <f t="shared" si="6"/>
        <v>-771.39999999999964</v>
      </c>
    </row>
    <row r="9" spans="1:14" x14ac:dyDescent="0.2">
      <c r="A9" s="61">
        <v>42948</v>
      </c>
      <c r="B9" s="62">
        <v>7495.1299999999937</v>
      </c>
      <c r="C9" s="63">
        <v>7150.260000000002</v>
      </c>
      <c r="D9" s="64">
        <v>1808.9800000000005</v>
      </c>
      <c r="E9" s="63">
        <v>0</v>
      </c>
      <c r="F9" s="65">
        <f t="shared" si="0"/>
        <v>8959.2400000000016</v>
      </c>
      <c r="G9" s="66">
        <f t="shared" si="1"/>
        <v>-1464.1100000000079</v>
      </c>
      <c r="H9" s="67">
        <v>9320</v>
      </c>
      <c r="I9" s="66">
        <f t="shared" si="4"/>
        <v>7855.8899999999921</v>
      </c>
      <c r="J9" s="56">
        <v>2100</v>
      </c>
      <c r="K9" s="68">
        <f t="shared" si="5"/>
        <v>9250.260000000002</v>
      </c>
      <c r="L9" s="69">
        <f t="shared" si="2"/>
        <v>-1755.1300000000083</v>
      </c>
      <c r="M9" s="70">
        <f t="shared" si="3"/>
        <v>7564.8699999999917</v>
      </c>
      <c r="N9" s="71">
        <f t="shared" si="6"/>
        <v>291.02000000000044</v>
      </c>
    </row>
    <row r="10" spans="1:14" x14ac:dyDescent="0.2">
      <c r="A10" s="61">
        <v>42979</v>
      </c>
      <c r="B10" s="62">
        <v>5063.4099999999926</v>
      </c>
      <c r="C10" s="63">
        <v>5226.2500000000009</v>
      </c>
      <c r="D10" s="64">
        <v>1695.1000000000001</v>
      </c>
      <c r="E10" s="63">
        <v>0</v>
      </c>
      <c r="F10" s="65">
        <f t="shared" si="0"/>
        <v>6921.3500000000013</v>
      </c>
      <c r="G10" s="66">
        <f t="shared" si="1"/>
        <v>-1857.9400000000087</v>
      </c>
      <c r="H10" s="67">
        <v>9320</v>
      </c>
      <c r="I10" s="66">
        <f t="shared" si="4"/>
        <v>7462.0599999999913</v>
      </c>
      <c r="J10" s="56">
        <v>2100</v>
      </c>
      <c r="K10" s="68">
        <f t="shared" si="5"/>
        <v>7326.2500000000009</v>
      </c>
      <c r="L10" s="69">
        <f t="shared" si="2"/>
        <v>-2262.8400000000083</v>
      </c>
      <c r="M10" s="70">
        <f t="shared" si="3"/>
        <v>7057.1599999999917</v>
      </c>
      <c r="N10" s="71">
        <f t="shared" si="6"/>
        <v>404.89999999999964</v>
      </c>
    </row>
    <row r="11" spans="1:14" x14ac:dyDescent="0.2">
      <c r="A11" s="61">
        <v>43009</v>
      </c>
      <c r="B11" s="62">
        <v>4746.0799999999908</v>
      </c>
      <c r="C11" s="63">
        <v>7918.0800000000008</v>
      </c>
      <c r="D11" s="64">
        <v>3433.6700000000005</v>
      </c>
      <c r="E11" s="63">
        <v>0</v>
      </c>
      <c r="F11" s="65">
        <f t="shared" si="0"/>
        <v>11351.750000000002</v>
      </c>
      <c r="G11" s="66">
        <f t="shared" si="1"/>
        <v>-6605.670000000011</v>
      </c>
      <c r="H11" s="67">
        <v>9320</v>
      </c>
      <c r="I11" s="66">
        <f t="shared" si="4"/>
        <v>2714.329999999989</v>
      </c>
      <c r="J11" s="56">
        <v>2100</v>
      </c>
      <c r="K11" s="68">
        <f t="shared" si="5"/>
        <v>10018.080000000002</v>
      </c>
      <c r="L11" s="69">
        <f t="shared" si="2"/>
        <v>-5272.0000000000109</v>
      </c>
      <c r="M11" s="70">
        <f t="shared" si="3"/>
        <v>4047.9999999999891</v>
      </c>
      <c r="N11" s="71">
        <f t="shared" si="6"/>
        <v>-1333.67</v>
      </c>
    </row>
    <row r="12" spans="1:14" x14ac:dyDescent="0.2">
      <c r="A12" s="61">
        <v>43040</v>
      </c>
      <c r="B12" s="62">
        <v>663.42999999998892</v>
      </c>
      <c r="C12" s="63">
        <v>2852.3300000000004</v>
      </c>
      <c r="D12" s="64">
        <v>2797.5899999999997</v>
      </c>
      <c r="E12" s="63">
        <v>0</v>
      </c>
      <c r="F12" s="65">
        <f t="shared" si="0"/>
        <v>5649.92</v>
      </c>
      <c r="G12" s="66">
        <f t="shared" si="1"/>
        <v>-4986.4900000000107</v>
      </c>
      <c r="H12" s="67">
        <v>9320</v>
      </c>
      <c r="I12" s="66">
        <f t="shared" si="4"/>
        <v>4333.5099999999893</v>
      </c>
      <c r="J12" s="56">
        <v>2000</v>
      </c>
      <c r="K12" s="68">
        <f t="shared" si="5"/>
        <v>4852.33</v>
      </c>
      <c r="L12" s="69">
        <f t="shared" si="2"/>
        <v>-4188.9000000000106</v>
      </c>
      <c r="M12" s="70">
        <f t="shared" si="3"/>
        <v>5131.0999999999894</v>
      </c>
      <c r="N12" s="71">
        <f t="shared" si="6"/>
        <v>-797.59000000000015</v>
      </c>
    </row>
    <row r="13" spans="1:14" ht="13.5" thickBot="1" x14ac:dyDescent="0.25">
      <c r="A13" s="61">
        <v>43070</v>
      </c>
      <c r="B13" s="72">
        <v>5693.3399999999892</v>
      </c>
      <c r="C13" s="73">
        <v>4081.150000000001</v>
      </c>
      <c r="D13" s="74">
        <v>4943.21</v>
      </c>
      <c r="E13" s="73">
        <v>2191.08</v>
      </c>
      <c r="F13" s="75">
        <f t="shared" si="0"/>
        <v>11215.44</v>
      </c>
      <c r="G13" s="76">
        <f t="shared" si="1"/>
        <v>-5522.1000000000113</v>
      </c>
      <c r="H13" s="67">
        <v>9320</v>
      </c>
      <c r="I13" s="66">
        <f t="shared" si="4"/>
        <v>3797.8999999999887</v>
      </c>
      <c r="J13" s="77">
        <v>2300</v>
      </c>
      <c r="K13" s="68">
        <f t="shared" si="5"/>
        <v>8572.23</v>
      </c>
      <c r="L13" s="69">
        <f t="shared" si="2"/>
        <v>-2878.8900000000103</v>
      </c>
      <c r="M13" s="70">
        <f t="shared" si="3"/>
        <v>6441.1099999999897</v>
      </c>
      <c r="N13" s="71">
        <f t="shared" si="6"/>
        <v>-2643.2100000000009</v>
      </c>
    </row>
    <row r="14" spans="1:14" x14ac:dyDescent="0.2">
      <c r="A14" s="78" t="s">
        <v>662</v>
      </c>
      <c r="B14" s="79">
        <f>SUM(B2:B13)</f>
        <v>102601.78999999992</v>
      </c>
      <c r="C14" s="80">
        <f t="shared" ref="C14:F14" si="7">SUM(C2:C13)</f>
        <v>72580.509999999995</v>
      </c>
      <c r="D14" s="80">
        <f t="shared" si="7"/>
        <v>30206.239999999998</v>
      </c>
      <c r="E14" s="80">
        <f t="shared" si="7"/>
        <v>2191.08</v>
      </c>
      <c r="F14" s="81">
        <f t="shared" si="7"/>
        <v>104977.83000000002</v>
      </c>
      <c r="G14" s="82">
        <f>SUM(G2:G13)</f>
        <v>-2376.0400000000682</v>
      </c>
      <c r="H14" s="81"/>
      <c r="I14" s="79">
        <f t="shared" ref="I14:N14" si="8">SUM(I2:I13)</f>
        <v>109463.95999999995</v>
      </c>
      <c r="J14" s="80">
        <f t="shared" si="8"/>
        <v>25300</v>
      </c>
      <c r="K14" s="80">
        <f t="shared" si="8"/>
        <v>100071.59000000001</v>
      </c>
      <c r="L14" s="82">
        <f t="shared" si="8"/>
        <v>2530.1999999999371</v>
      </c>
      <c r="M14" s="83">
        <f t="shared" si="8"/>
        <v>114370.19999999992</v>
      </c>
      <c r="N14" s="84">
        <f t="shared" si="8"/>
        <v>-4906.2400000000007</v>
      </c>
    </row>
    <row r="15" spans="1:14" ht="13.5" thickBot="1" x14ac:dyDescent="0.25">
      <c r="A15" s="85" t="s">
        <v>663</v>
      </c>
      <c r="B15" s="86">
        <f>B14/12</f>
        <v>8550.1491666666607</v>
      </c>
      <c r="C15" s="87">
        <f>C14/11</f>
        <v>6598.2281818181809</v>
      </c>
      <c r="D15" s="87">
        <f t="shared" ref="D15:E15" si="9">D14/11</f>
        <v>2746.0218181818182</v>
      </c>
      <c r="E15" s="87">
        <f t="shared" si="9"/>
        <v>199.18909090909091</v>
      </c>
      <c r="F15" s="88">
        <f>F14/12</f>
        <v>8748.152500000002</v>
      </c>
      <c r="G15" s="86">
        <f t="shared" ref="G15:I15" si="10">G14/12</f>
        <v>-198.00333333333901</v>
      </c>
      <c r="H15" s="88"/>
      <c r="I15" s="86">
        <f t="shared" si="10"/>
        <v>9121.9966666666623</v>
      </c>
      <c r="J15" s="87">
        <f t="shared" ref="J15" si="11">J14/11</f>
        <v>2300</v>
      </c>
      <c r="K15" s="87">
        <f>K14/11</f>
        <v>9097.4172727272744</v>
      </c>
      <c r="L15" s="86">
        <f>L14/11</f>
        <v>230.01818181817609</v>
      </c>
      <c r="M15" s="89">
        <f t="shared" ref="M15:N15" si="12">M14/12</f>
        <v>9530.8499999999931</v>
      </c>
      <c r="N15" s="90">
        <f t="shared" si="12"/>
        <v>-408.85333333333341</v>
      </c>
    </row>
    <row r="16" spans="1:14" x14ac:dyDescent="0.2">
      <c r="G16" s="11"/>
      <c r="H16" s="11"/>
      <c r="I16" s="11"/>
      <c r="N16" s="91"/>
    </row>
  </sheetData>
  <conditionalFormatting sqref="L14">
    <cfRule type="colorScale" priority="5">
      <colorScale>
        <cfvo type="num" val="0"/>
        <cfvo type="num" val="0"/>
        <color rgb="FFFF7128"/>
        <color rgb="FF00B050"/>
      </colorScale>
    </cfRule>
  </conditionalFormatting>
  <conditionalFormatting sqref="G14">
    <cfRule type="colorScale" priority="4">
      <colorScale>
        <cfvo type="formula" val="$L$14"/>
        <cfvo type="formula" val="$L$14"/>
        <color rgb="FFFF0000"/>
        <color rgb="FF00B050"/>
      </colorScale>
    </cfRule>
    <cfRule type="colorScale" priority="6">
      <colorScale>
        <cfvo type="min"/>
        <cfvo type="max"/>
        <color rgb="FFFF0000"/>
        <color rgb="FF00B050"/>
      </colorScale>
    </cfRule>
    <cfRule type="colorScale" priority="7">
      <colorScale>
        <cfvo type="formula" val="$L$14"/>
        <cfvo type="formula" val="$L$14"/>
        <color rgb="FFFF7128"/>
        <color rgb="FFFFEF9C"/>
      </colorScale>
    </cfRule>
  </conditionalFormatting>
  <conditionalFormatting sqref="D2:D13">
    <cfRule type="cellIs" dxfId="2" priority="3" operator="between">
      <formula>0</formula>
      <formula>2100</formula>
    </cfRule>
  </conditionalFormatting>
  <conditionalFormatting sqref="D12">
    <cfRule type="cellIs" dxfId="1" priority="2" operator="between">
      <formula>0</formula>
      <formula>$J$12</formula>
    </cfRule>
  </conditionalFormatting>
  <conditionalFormatting sqref="N2:N13">
    <cfRule type="cellIs" dxfId="0" priority="1" operator="lessThanOrEqual">
      <formula>0</formula>
    </cfRule>
  </conditionalFormatting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107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</vt:i4>
      </vt:variant>
    </vt:vector>
  </HeadingPairs>
  <TitlesOfParts>
    <vt:vector size="9" baseType="lpstr">
      <vt:lpstr>entrada</vt:lpstr>
      <vt:lpstr>desconto_folha</vt:lpstr>
      <vt:lpstr>utilizacao</vt:lpstr>
      <vt:lpstr>debito</vt:lpstr>
      <vt:lpstr>credito</vt:lpstr>
      <vt:lpstr>planilha</vt:lpstr>
      <vt:lpstr>credito!_FilterDatabase_0</vt:lpstr>
      <vt:lpstr>credito!_FilterDatabase_0_0</vt:lpstr>
      <vt:lpstr>debito!_FiltrarBancodeDados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dc:description/>
  <cp:lastModifiedBy>andre</cp:lastModifiedBy>
  <cp:revision>11</cp:revision>
  <cp:lastPrinted>2011-06-01T19:00:57Z</cp:lastPrinted>
  <dcterms:created xsi:type="dcterms:W3CDTF">2011-04-26T13:46:03Z</dcterms:created>
  <dcterms:modified xsi:type="dcterms:W3CDTF">2019-03-02T20:50:53Z</dcterms:modified>
  <dc:language>pt-BR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IBM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</Properties>
</file>
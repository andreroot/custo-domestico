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29" codeName="{FF626003-D37A-9D15-2B65-D2D8C0A508C5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ndre\Documents\custo\parametros\csv\validacao\"/>
    </mc:Choice>
  </mc:AlternateContent>
  <bookViews>
    <workbookView xWindow="0" yWindow="0" windowWidth="9600" windowHeight="2895" tabRatio="985" activeTab="3"/>
  </bookViews>
  <sheets>
    <sheet name="entrada" sheetId="1" r:id="rId1"/>
    <sheet name="debito" sheetId="2" r:id="rId2"/>
    <sheet name="Planilha2" sheetId="8" r:id="rId3"/>
    <sheet name="vr" sheetId="7" r:id="rId4"/>
    <sheet name="credito" sheetId="3" r:id="rId5"/>
    <sheet name="mercado" sheetId="4" r:id="rId6"/>
    <sheet name="Planilha1" sheetId="5" r:id="rId7"/>
    <sheet name="planilha" sheetId="6" r:id="rId8"/>
  </sheets>
  <definedNames>
    <definedName name="_FilterDatabase_0" localSheetId="4">credito!$A$1:$K$1</definedName>
    <definedName name="_FilterDatabase_0_0" localSheetId="4">credito!$A$1:$K$1</definedName>
    <definedName name="_xlnm._FilterDatabase" localSheetId="4" hidden="1">credito!$A$1:$K$159</definedName>
    <definedName name="_xlnm._FilterDatabase" localSheetId="1">debito!$A$1:$J$269</definedName>
    <definedName name="_xlnm._FilterDatabase" localSheetId="5">mercado!$A$1:$J$1118</definedName>
    <definedName name="custos_vr" localSheetId="3">vr!$A$2:$B$41</definedName>
  </definedNames>
  <calcPr calcId="162913"/>
  <fileRecoveryPr autoRecover="0"/>
</workbook>
</file>

<file path=xl/calcChain.xml><?xml version="1.0" encoding="utf-8"?>
<calcChain xmlns="http://schemas.openxmlformats.org/spreadsheetml/2006/main">
  <c r="B262" i="2" l="1"/>
  <c r="B329" i="2" l="1"/>
  <c r="B87" i="8" l="1"/>
  <c r="B20" i="8"/>
  <c r="B158" i="2" l="1"/>
  <c r="G5" i="6" l="1"/>
  <c r="G4" i="6"/>
  <c r="G3" i="6"/>
  <c r="G2" i="6"/>
  <c r="H2" i="6" s="1"/>
  <c r="B95" i="2"/>
  <c r="B11" i="2"/>
  <c r="H3" i="6" l="1"/>
  <c r="H4" i="6"/>
  <c r="H5" i="6" l="1"/>
</calcChain>
</file>

<file path=xl/connections.xml><?xml version="1.0" encoding="utf-8"?>
<connections xmlns="http://schemas.openxmlformats.org/spreadsheetml/2006/main">
  <connection id="1" name="custos_vr" type="6" refreshedVersion="6" background="1" saveData="1">
    <textPr sourceFile="C:\Users\andre\Documents\custo\parametros\csv\custos_vr.csv" decimal="," thousands=".">
      <textFields count="3">
        <textField type="DMY"/>
        <textField/>
        <textField/>
      </textFields>
    </textPr>
  </connection>
</connections>
</file>

<file path=xl/sharedStrings.xml><?xml version="1.0" encoding="utf-8"?>
<sst xmlns="http://schemas.openxmlformats.org/spreadsheetml/2006/main" count="1902" uniqueCount="386">
  <si>
    <t>entrada</t>
  </si>
  <si>
    <t>data referencia</t>
  </si>
  <si>
    <t>origem</t>
  </si>
  <si>
    <t>data entrada</t>
  </si>
  <si>
    <t>saldo 2016</t>
  </si>
  <si>
    <t>salario</t>
  </si>
  <si>
    <t>custo</t>
  </si>
  <si>
    <t>valor debito</t>
  </si>
  <si>
    <t>custo fixo</t>
  </si>
  <si>
    <t>custo variavel</t>
  </si>
  <si>
    <t>pendente</t>
  </si>
  <si>
    <t>data pagto</t>
  </si>
  <si>
    <t>semana</t>
  </si>
  <si>
    <t>data pagamento</t>
  </si>
  <si>
    <t>tipo</t>
  </si>
  <si>
    <t>Contr. INSS Remuner</t>
  </si>
  <si>
    <t>1ª semana</t>
  </si>
  <si>
    <t>folha_pagamento</t>
  </si>
  <si>
    <t>Tributo IRRF</t>
  </si>
  <si>
    <t xml:space="preserve">SEGURO VIDA GRUPO </t>
  </si>
  <si>
    <t>COMPRA DE ASSOC</t>
  </si>
  <si>
    <t>Assist. Medica Fixa</t>
  </si>
  <si>
    <t>Assist. Medica Dept</t>
  </si>
  <si>
    <t>Uti Medica Assoc.</t>
  </si>
  <si>
    <t>CONT. CONFEDERATIVA</t>
  </si>
  <si>
    <t>Part. Vale Alimenta</t>
  </si>
  <si>
    <t>cartão</t>
  </si>
  <si>
    <t>cartão credito</t>
  </si>
  <si>
    <t>carrefour</t>
  </si>
  <si>
    <t>mercado</t>
  </si>
  <si>
    <t>taxa conta corrente</t>
  </si>
  <si>
    <t>banco</t>
  </si>
  <si>
    <t>int ipva sp hoh6396 1/3</t>
  </si>
  <si>
    <t>carro</t>
  </si>
  <si>
    <t>suco varanda</t>
  </si>
  <si>
    <t>alimentação</t>
  </si>
  <si>
    <t>alimand</t>
  </si>
  <si>
    <t>dogstation</t>
  </si>
  <si>
    <t>quero mais</t>
  </si>
  <si>
    <t>sptransp</t>
  </si>
  <si>
    <t>transporte</t>
  </si>
  <si>
    <t>net</t>
  </si>
  <si>
    <t>casa</t>
  </si>
  <si>
    <t>caterine de</t>
  </si>
  <si>
    <t>nakata</t>
  </si>
  <si>
    <t>luz</t>
  </si>
  <si>
    <t>estacionamento</t>
  </si>
  <si>
    <t>feira</t>
  </si>
  <si>
    <t>custo total aluguel</t>
  </si>
  <si>
    <t>2ª semana</t>
  </si>
  <si>
    <t>michelle</t>
  </si>
  <si>
    <t>buro</t>
  </si>
  <si>
    <t>SEGURO RESIDENCIA</t>
  </si>
  <si>
    <t>contador</t>
  </si>
  <si>
    <t>SEGURO CARTÃO</t>
  </si>
  <si>
    <t>lanche</t>
  </si>
  <si>
    <t>agua</t>
  </si>
  <si>
    <t>hot dog / acaraje</t>
  </si>
  <si>
    <t>livro</t>
  </si>
  <si>
    <t>pessoal</t>
  </si>
  <si>
    <t>instalação de rede na janela</t>
  </si>
  <si>
    <t>cabelereiro</t>
  </si>
  <si>
    <t>pedagio</t>
  </si>
  <si>
    <t>consorcio</t>
  </si>
  <si>
    <t>3ª semana</t>
  </si>
  <si>
    <t>investimento</t>
  </si>
  <si>
    <t>UNICEF</t>
  </si>
  <si>
    <t>doação</t>
  </si>
  <si>
    <t>mc donald</t>
  </si>
  <si>
    <t>lanche hospital</t>
  </si>
  <si>
    <t>benção</t>
  </si>
  <si>
    <t>bolacha metro</t>
  </si>
  <si>
    <t>padaria</t>
  </si>
  <si>
    <t>bolacha/agua</t>
  </si>
  <si>
    <t>suco dexo</t>
  </si>
  <si>
    <t>sorvete</t>
  </si>
  <si>
    <t>comgas</t>
  </si>
  <si>
    <t>4ª semana</t>
  </si>
  <si>
    <t>lanche metro</t>
  </si>
  <si>
    <t xml:space="preserve">cafezinho rua </t>
  </si>
  <si>
    <t>pastel</t>
  </si>
  <si>
    <t>divergencia</t>
  </si>
  <si>
    <t>almoço</t>
  </si>
  <si>
    <t>suco</t>
  </si>
  <si>
    <t>café padaria</t>
  </si>
  <si>
    <t>chocolate</t>
  </si>
  <si>
    <t>5ª semana</t>
  </si>
  <si>
    <t>subway</t>
  </si>
  <si>
    <t>int ipva sp hoh6396 2/3</t>
  </si>
  <si>
    <t>pao de queijo</t>
  </si>
  <si>
    <t>alimanda bolacha</t>
  </si>
  <si>
    <t>saque</t>
  </si>
  <si>
    <t>milho</t>
  </si>
  <si>
    <t>queijo</t>
  </si>
  <si>
    <t>perdeu dinheiro</t>
  </si>
  <si>
    <t>biblia</t>
  </si>
  <si>
    <t>agua suco</t>
  </si>
  <si>
    <t>mc donalds</t>
  </si>
  <si>
    <t>outback</t>
  </si>
  <si>
    <t>diferença</t>
  </si>
  <si>
    <t>vitamina</t>
  </si>
  <si>
    <t>sonda</t>
  </si>
  <si>
    <t>brincos</t>
  </si>
  <si>
    <t>deposito na conta</t>
  </si>
  <si>
    <t>farmacia</t>
  </si>
  <si>
    <t>sunny days</t>
  </si>
  <si>
    <t>posto el sh</t>
  </si>
  <si>
    <t>Extra – suco</t>
  </si>
  <si>
    <t>mercado produto de limpeza</t>
  </si>
  <si>
    <t>chuveiro dicico</t>
  </si>
  <si>
    <t>rede mais</t>
  </si>
  <si>
    <t>Emporio – churrasquinho</t>
  </si>
  <si>
    <t>custo_credito</t>
  </si>
  <si>
    <t>valor_credito</t>
  </si>
  <si>
    <t>custo_fixo_credito</t>
  </si>
  <si>
    <t>custo_variavel_credito</t>
  </si>
  <si>
    <t>pendente_credito</t>
  </si>
  <si>
    <t>data_pagto_credito</t>
  </si>
  <si>
    <t>valor_parcelado</t>
  </si>
  <si>
    <t>semana_credito</t>
  </si>
  <si>
    <t>data_pagamento_credito</t>
  </si>
  <si>
    <t>tipo_credito</t>
  </si>
  <si>
    <t>TIM LIBERTY EXPRESS*2v5</t>
  </si>
  <si>
    <t>celular</t>
  </si>
  <si>
    <t>NETFLIX.COM</t>
  </si>
  <si>
    <t>netflix</t>
  </si>
  <si>
    <t>olibone 3/5</t>
  </si>
  <si>
    <t>olibone 4/5</t>
  </si>
  <si>
    <t>olibone 5/5</t>
  </si>
  <si>
    <t>mercadopago*rodov 2/4</t>
  </si>
  <si>
    <t>mercadopago*rodov 3/4</t>
  </si>
  <si>
    <t>mercadopago*rodov 4/4</t>
  </si>
  <si>
    <t>ANDORINHA SUPERMERCADO</t>
  </si>
  <si>
    <t>posto de serviço</t>
  </si>
  <si>
    <t>ascona</t>
  </si>
  <si>
    <t>kik smily</t>
  </si>
  <si>
    <t>momiji cosmetico</t>
  </si>
  <si>
    <t>CENTRO AUTOMOTIVO AGUA</t>
  </si>
  <si>
    <t>DICICO TREMEMBE 01/02</t>
  </si>
  <si>
    <t>DICICO TREMEMBE 02/02</t>
  </si>
  <si>
    <t>MUNDIAL LJ 14</t>
  </si>
  <si>
    <t>EC*SPOTIFY</t>
  </si>
  <si>
    <t>M. G. M. MAGALHAES</t>
  </si>
  <si>
    <t>PIZZA HUT ESTADAO</t>
  </si>
  <si>
    <t>lazer</t>
  </si>
  <si>
    <t>LA FLORESTA</t>
  </si>
  <si>
    <t>SONDA JACANA</t>
  </si>
  <si>
    <t>UNIDOS DA VILA</t>
  </si>
  <si>
    <t>perfurmaria 2000</t>
  </si>
  <si>
    <t>jd modas</t>
  </si>
  <si>
    <t>americanas 01/01 - hd externo</t>
  </si>
  <si>
    <t>americanas 02/02 - hd externo</t>
  </si>
  <si>
    <t>americanas 01/01 - panela eletrica</t>
  </si>
  <si>
    <t>americanas 02/02 - panela eletrica</t>
  </si>
  <si>
    <t>brooksfield 1/2</t>
  </si>
  <si>
    <t>roupa</t>
  </si>
  <si>
    <t>super troca oleo 1/2</t>
  </si>
  <si>
    <t>arizona paes e doces</t>
  </si>
  <si>
    <t xml:space="preserve">linonka coffe </t>
  </si>
  <si>
    <t>super troca oleo 2/2</t>
  </si>
  <si>
    <t>brooksfield 2/2</t>
  </si>
  <si>
    <t>FUNDACAO ABRINQ PELOS</t>
  </si>
  <si>
    <t>restaurante santa julia</t>
  </si>
  <si>
    <t>americanas.com 01/02</t>
  </si>
  <si>
    <t>brinquedo</t>
  </si>
  <si>
    <t>extra</t>
  </si>
  <si>
    <t>kilo kids presentes</t>
  </si>
  <si>
    <t>droga 2000</t>
  </si>
  <si>
    <t>americanas.com 02/02</t>
  </si>
  <si>
    <t>ARIZONA PAES E DOCES</t>
  </si>
  <si>
    <t>sonda tremembe</t>
  </si>
  <si>
    <t>fernando henrique cami</t>
  </si>
  <si>
    <t>PAD CONF JD BRASIL</t>
  </si>
  <si>
    <t>submarino 2/2</t>
  </si>
  <si>
    <t>rpc rede ponto certo</t>
  </si>
  <si>
    <t>enjoy comestico</t>
  </si>
  <si>
    <t>drogaria são paulo</t>
  </si>
  <si>
    <t>fogo de chao</t>
  </si>
  <si>
    <t>estapar shop center</t>
  </si>
  <si>
    <t>mgm magalhoes</t>
  </si>
  <si>
    <t>koi rotisseria</t>
  </si>
  <si>
    <t>mistura</t>
  </si>
  <si>
    <t>submarino 1/2</t>
  </si>
  <si>
    <t>lojas dengo</t>
  </si>
  <si>
    <t>tim viagem</t>
  </si>
  <si>
    <t>mix tudo</t>
  </si>
  <si>
    <t>lj 3009 centernorte</t>
  </si>
  <si>
    <t>maos perfeitas</t>
  </si>
  <si>
    <t>2075 extra</t>
  </si>
  <si>
    <t>auto posto</t>
  </si>
  <si>
    <t>elton</t>
  </si>
  <si>
    <t>haagen-dazs</t>
  </si>
  <si>
    <t>itau seguros 1/3</t>
  </si>
  <si>
    <t>seguro</t>
  </si>
  <si>
    <t>kroki salgados</t>
  </si>
  <si>
    <t>os alquimista</t>
  </si>
  <si>
    <t>auto posto tremembe</t>
  </si>
  <si>
    <t>dib</t>
  </si>
  <si>
    <t>aluguel</t>
  </si>
  <si>
    <t>ourinhos mercado</t>
  </si>
  <si>
    <t>parcelamento</t>
  </si>
  <si>
    <t>carrefour btu</t>
  </si>
  <si>
    <t>mgm magalhoaes</t>
  </si>
  <si>
    <t>andorinha supermercado</t>
  </si>
  <si>
    <t>linka sushi</t>
  </si>
  <si>
    <t>coisas de criança 01/02</t>
  </si>
  <si>
    <t>farmais agua fria</t>
  </si>
  <si>
    <t>perfumaria</t>
  </si>
  <si>
    <t>philip</t>
  </si>
  <si>
    <t>PIZZA HUT 6</t>
  </si>
  <si>
    <t>extra perto tucur</t>
  </si>
  <si>
    <t>mgm magalhoes - posto gasolina</t>
  </si>
  <si>
    <t>rei da carne</t>
  </si>
  <si>
    <t>coisas de criança</t>
  </si>
  <si>
    <t>pagsegurouol</t>
  </si>
  <si>
    <t>confeccoes de roupas</t>
  </si>
  <si>
    <t>hot water 1/2</t>
  </si>
  <si>
    <t>habibs</t>
  </si>
  <si>
    <t>confeccoes roupa</t>
  </si>
  <si>
    <t>anjinhos e pestin</t>
  </si>
  <si>
    <t>lazer-praia</t>
  </si>
  <si>
    <t>mercado-praia</t>
  </si>
  <si>
    <t>supermercado krill</t>
  </si>
  <si>
    <t>pizzaria luar</t>
  </si>
  <si>
    <t>nobre &amp; lacerda</t>
  </si>
  <si>
    <t>quiosque 40 graus</t>
  </si>
  <si>
    <t>atacadista de hortifr</t>
  </si>
  <si>
    <t>auto posto praias - combustivel</t>
  </si>
  <si>
    <t>dona deola</t>
  </si>
  <si>
    <t>promofarma</t>
  </si>
  <si>
    <t>sonda jacana</t>
  </si>
  <si>
    <t>sonda jacana – bebe(lenço umedecido)</t>
  </si>
  <si>
    <t>descricao</t>
  </si>
  <si>
    <t>qtde</t>
  </si>
  <si>
    <t>data_compra</t>
  </si>
  <si>
    <t>valor unitarioa</t>
  </si>
  <si>
    <t>valor</t>
  </si>
  <si>
    <t>departamento</t>
  </si>
  <si>
    <t>fator_calculo</t>
  </si>
  <si>
    <t>data_pagamento</t>
  </si>
  <si>
    <t>forma_pagto</t>
  </si>
  <si>
    <t>iof</t>
  </si>
  <si>
    <t>tx juros mês</t>
  </si>
  <si>
    <t>tx juros ano</t>
  </si>
  <si>
    <t>cet mês</t>
  </si>
  <si>
    <t>cet ano</t>
  </si>
  <si>
    <t>mês</t>
  </si>
  <si>
    <t>saldo inicial</t>
  </si>
  <si>
    <t>custo realizado</t>
  </si>
  <si>
    <t>custo pendente</t>
  </si>
  <si>
    <t>imposto da folha pg</t>
  </si>
  <si>
    <t>custo total</t>
  </si>
  <si>
    <t>saldo</t>
  </si>
  <si>
    <t>parcelamento de cartão</t>
  </si>
  <si>
    <t>pagamento total</t>
  </si>
  <si>
    <t>alu/net no debito</t>
  </si>
  <si>
    <t>pagamento do aluguel / net mês fev no cartão</t>
  </si>
  <si>
    <t>alu/net no cartao</t>
  </si>
  <si>
    <t>madeiro hamburguer</t>
  </si>
  <si>
    <t>posto mgm</t>
  </si>
  <si>
    <t>iof pagamento</t>
  </si>
  <si>
    <t>juros</t>
  </si>
  <si>
    <t>estorno</t>
  </si>
  <si>
    <t>doc/ted</t>
  </si>
  <si>
    <t>lis/juros</t>
  </si>
  <si>
    <t>magna seiva</t>
  </si>
  <si>
    <t>o mocofava</t>
  </si>
  <si>
    <t>ragazzo</t>
  </si>
  <si>
    <t>ARIZONA PAES</t>
  </si>
  <si>
    <t>NAKATA M EMPORIO</t>
  </si>
  <si>
    <t>CAFE E CIA</t>
  </si>
  <si>
    <t>MONTE FUJI</t>
  </si>
  <si>
    <t>DAVVERO GELATO TRADICI</t>
  </si>
  <si>
    <t>OS ALQUIMISTAS</t>
  </si>
  <si>
    <t>BELLA ATALIBA P DOCE</t>
  </si>
  <si>
    <t>MC DONALDS SHOPP VILA</t>
  </si>
  <si>
    <t>CACAU SHOW</t>
  </si>
  <si>
    <t>ANA PAULA MACHADO 2009</t>
  </si>
  <si>
    <t>HAAGEN-DAZS VILA OLIMP</t>
  </si>
  <si>
    <t>AVE MARIA</t>
  </si>
  <si>
    <t>SUBWAY</t>
  </si>
  <si>
    <t>DELICIAS FEFE COM DE A</t>
  </si>
  <si>
    <t>QUERO MAIS BAUDUCO</t>
  </si>
  <si>
    <t>SANTA FE</t>
  </si>
  <si>
    <t>DONA DEOLA</t>
  </si>
  <si>
    <t>VARANDA FRUTAS V OLIMP</t>
  </si>
  <si>
    <t>SHOKITI</t>
  </si>
  <si>
    <t>WENDYS BRASIL RESTAURA</t>
  </si>
  <si>
    <t>A M O GELATO</t>
  </si>
  <si>
    <t>OUTBACK BZ 32 VILA OLI</t>
  </si>
  <si>
    <t>VILLA IMPERIAL PAES E</t>
  </si>
  <si>
    <t>FLOR DE LIS COM E DIST</t>
  </si>
  <si>
    <t>deposito - passeio rio mae igreja</t>
  </si>
  <si>
    <t>starbucks</t>
  </si>
  <si>
    <t>frutas rua</t>
  </si>
  <si>
    <t>rei carne v aurora</t>
  </si>
  <si>
    <t>pizzaria</t>
  </si>
  <si>
    <t>emprestimo rafael</t>
  </si>
  <si>
    <t>bolacha</t>
  </si>
  <si>
    <t>chaveiro</t>
  </si>
  <si>
    <t>sptransp - TBI 0349.11000-7</t>
  </si>
  <si>
    <t>gasolina</t>
  </si>
  <si>
    <t>dentista</t>
  </si>
  <si>
    <t>cofe rua</t>
  </si>
  <si>
    <t>rotisserie</t>
  </si>
  <si>
    <t>almoço celeiro fazenda</t>
  </si>
  <si>
    <t>parcelamento entrada</t>
  </si>
  <si>
    <t>agua / panetone</t>
  </si>
  <si>
    <t>lojas americanas / chocolate</t>
  </si>
  <si>
    <t>padaria arizona</t>
  </si>
  <si>
    <t>farmacia / gillete depila</t>
  </si>
  <si>
    <t>empretimo caio</t>
  </si>
  <si>
    <t>salgado igreja</t>
  </si>
  <si>
    <t>arizona</t>
  </si>
  <si>
    <t>sonda mistura</t>
  </si>
  <si>
    <t>andorinha semanal</t>
  </si>
  <si>
    <t>androinha semanal</t>
  </si>
  <si>
    <t>sorvete wendys</t>
  </si>
  <si>
    <t>remedio</t>
  </si>
  <si>
    <t>fralda</t>
  </si>
  <si>
    <t>café metro</t>
  </si>
  <si>
    <t>cartao proto seguro - seguro do carro</t>
  </si>
  <si>
    <t>roupa pra samuel</t>
  </si>
  <si>
    <t>roupas</t>
  </si>
  <si>
    <t>açai</t>
  </si>
  <si>
    <t>peixaria mercado tucuruvi</t>
  </si>
  <si>
    <t>iof juros</t>
  </si>
  <si>
    <t>mercado car</t>
  </si>
  <si>
    <t>kroki</t>
  </si>
  <si>
    <t>FÉRIAS</t>
  </si>
  <si>
    <t>contrib sindical</t>
  </si>
  <si>
    <t>VR Associados</t>
  </si>
  <si>
    <t>gasolina viagem</t>
  </si>
  <si>
    <t>pedagio viagem</t>
  </si>
  <si>
    <t>viagem</t>
  </si>
  <si>
    <t>outros</t>
  </si>
  <si>
    <t>ferro presente casamento</t>
  </si>
  <si>
    <t>perfume</t>
  </si>
  <si>
    <t>chinelo</t>
  </si>
  <si>
    <t>maquiagem</t>
  </si>
  <si>
    <t>extra suco</t>
  </si>
  <si>
    <t>posto gasolina</t>
  </si>
  <si>
    <t>mercado carrefour</t>
  </si>
  <si>
    <t>magazine luiza - bebe conforto</t>
  </si>
  <si>
    <t>imobiliaria</t>
  </si>
  <si>
    <t>adriana</t>
  </si>
  <si>
    <t>mundo das v</t>
  </si>
  <si>
    <t>pernanbucanas presentes</t>
  </si>
  <si>
    <t>pousada perto guanami</t>
  </si>
  <si>
    <t>café da manha</t>
  </si>
  <si>
    <t>padaria max</t>
  </si>
  <si>
    <t>panilar</t>
  </si>
  <si>
    <t>graal</t>
  </si>
  <si>
    <t>queijo / requeijao / carne de bode</t>
  </si>
  <si>
    <t>almoço bahia</t>
  </si>
  <si>
    <t>minilar</t>
  </si>
  <si>
    <t>restaurante</t>
  </si>
  <si>
    <t>bebe</t>
  </si>
  <si>
    <t>almoco</t>
  </si>
  <si>
    <t>CONTRIB. SINDICAL</t>
  </si>
  <si>
    <t>IRRF férias rec 1</t>
  </si>
  <si>
    <t>provisorio contr inss</t>
  </si>
  <si>
    <t>abono de férias</t>
  </si>
  <si>
    <t>férias</t>
  </si>
  <si>
    <t>férias 1/3</t>
  </si>
  <si>
    <t xml:space="preserve">1590 COMPRA DE ASSOC                                                    45,88 </t>
  </si>
  <si>
    <t xml:space="preserve">1610 Assist. Medica Fixa                                                36,96 </t>
  </si>
  <si>
    <t xml:space="preserve">1611 Assist. Medica Dept            2,00                               121,62 </t>
  </si>
  <si>
    <t xml:space="preserve">1612 Util Medica Assoc.                                                463,53 </t>
  </si>
  <si>
    <t xml:space="preserve">9VRF VR Associado                                                        3,65 </t>
  </si>
  <si>
    <t xml:space="preserve">M388 Provisão Contr. INS                                                60,84 </t>
  </si>
  <si>
    <t xml:space="preserve">MC20 Abono de férias imp           10,00                            2.839,00 </t>
  </si>
  <si>
    <t xml:space="preserve">MC22 Abono de férias - 1           10,00                               946,33 </t>
  </si>
  <si>
    <t xml:space="preserve">MO00 Férias - imp                  20,00                             5.678,00 </t>
  </si>
  <si>
    <t xml:space="preserve">MO02 Férias 1/3 - imp              20,00                             1.892,67 </t>
  </si>
  <si>
    <t xml:space="preserve">/314 Contr. INSS Remuner           11,00                               608,44 </t>
  </si>
  <si>
    <t xml:space="preserve">/385 IRRF - Férias recál           27,50                               194,99 </t>
  </si>
  <si>
    <t>/401 Tributo IRRF                  27,50                               447,66</t>
  </si>
  <si>
    <t>vestuario 2/2</t>
  </si>
  <si>
    <t>spotfy</t>
  </si>
  <si>
    <t>abrinq</t>
  </si>
  <si>
    <t>BERGAMAIS SUPERMERCADO</t>
  </si>
  <si>
    <t>BAR E LANCHES TOLEZANO</t>
  </si>
  <si>
    <t>HIP.BERGAMINI LJ 2</t>
  </si>
  <si>
    <t>BK SHOP VILA OLIMPIA</t>
  </si>
  <si>
    <t>PADARIA PEDRA BRANCA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</si>
</sst>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8" formatCode="&quot;R$&quot;#,##0.00;[Red]\-&quot;R$&quot;#,##0.00"/>
    <numFmt numFmtId="43" formatCode="_-* #,##0.00_-;\-* #,##0.00_-;_-* &quot;-&quot;??_-;_-@_-"/>
    <numFmt numFmtId="164" formatCode="d/m/yyyy"/>
    <numFmt numFmtId="165" formatCode="d/mmm"/>
    <numFmt numFmtId="166" formatCode="_(&quot;R$ &quot;* #,##0.00_);_(&quot;R$ &quot;* \(#,##0.00\);_(&quot;R$ &quot;* \-??_);_(@_)"/>
    <numFmt numFmtId="167" formatCode="_-* #,##0.00_-;\-* #,##0.00_-;_-* \-??_-;_-@_-"/>
    <numFmt numFmtId="168" formatCode="[$-416]mmmm\-yy;@"/>
  </numFmts>
  <fonts count="8" x14ac:knownFonts="1">
    <font>
      <sz val="10"/>
      <name val="Arial"/>
      <family val="2"/>
      <charset val="1"/>
    </font>
    <font>
      <sz val="10"/>
      <color rgb="FFFF0000"/>
      <name val="Arial"/>
      <family val="2"/>
      <charset val="1"/>
    </font>
    <font>
      <sz val="8"/>
      <name val="Arial"/>
      <family val="2"/>
      <charset val="1"/>
    </font>
    <font>
      <sz val="10"/>
      <name val="Arial"/>
      <family val="2"/>
      <charset val="1"/>
    </font>
    <font>
      <b/>
      <sz val="10"/>
      <name val="Arial"/>
      <family val="2"/>
    </font>
    <font>
      <sz val="10"/>
      <name val="Arial"/>
      <family val="2"/>
      <charset val="1"/>
    </font>
    <font>
      <sz val="10"/>
      <color rgb="FFFF0000"/>
      <name val="Arial"/>
      <family val="2"/>
      <charset val="1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D9D9D9"/>
        <bgColor rgb="FFC0C0C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C0C0C0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6" fontId="3" fillId="0" borderId="0" applyBorder="0" applyProtection="0"/>
  </cellStyleXfs>
  <cellXfs count="83">
    <xf numFmtId="0" fontId="0" fillId="0" borderId="0" xfId="0"/>
    <xf numFmtId="164" fontId="0" fillId="0" borderId="0" xfId="0" applyNumberFormat="1"/>
    <xf numFmtId="0" fontId="0" fillId="0" borderId="0" xfId="0"/>
    <xf numFmtId="0" fontId="1" fillId="0" borderId="0" xfId="0" applyFont="1"/>
    <xf numFmtId="164" fontId="0" fillId="0" borderId="0" xfId="0" applyNumberFormat="1" applyFont="1"/>
    <xf numFmtId="0" fontId="0" fillId="0" borderId="0" xfId="0" applyFont="1"/>
    <xf numFmtId="2" fontId="0" fillId="0" borderId="0" xfId="0" applyNumberFormat="1" applyFont="1"/>
    <xf numFmtId="2" fontId="0" fillId="0" borderId="0" xfId="0" applyNumberFormat="1"/>
    <xf numFmtId="0" fontId="1" fillId="0" borderId="0" xfId="0" applyFont="1"/>
    <xf numFmtId="0" fontId="0" fillId="3" borderId="0" xfId="0" applyFont="1" applyFill="1"/>
    <xf numFmtId="0" fontId="1" fillId="3" borderId="0" xfId="0" applyFont="1" applyFill="1"/>
    <xf numFmtId="164" fontId="0" fillId="0" borderId="0" xfId="0" applyNumberFormat="1" applyAlignment="1"/>
    <xf numFmtId="0" fontId="0" fillId="0" borderId="0" xfId="0" applyFont="1" applyBorder="1"/>
    <xf numFmtId="164" fontId="0" fillId="0" borderId="0" xfId="0" applyNumberFormat="1" applyFont="1" applyBorder="1"/>
    <xf numFmtId="164" fontId="0" fillId="0" borderId="0" xfId="0" applyNumberFormat="1" applyFont="1" applyBorder="1" applyAlignment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horizontal="right" vertical="center" wrapText="1"/>
    </xf>
    <xf numFmtId="0" fontId="0" fillId="0" borderId="0" xfId="0" applyFont="1" applyBorder="1"/>
    <xf numFmtId="164" fontId="0" fillId="0" borderId="0" xfId="0" applyNumberFormat="1" applyFont="1" applyBorder="1"/>
    <xf numFmtId="164" fontId="0" fillId="0" borderId="0" xfId="0" applyNumberFormat="1" applyFont="1" applyBorder="1" applyAlignment="1">
      <alignment vertical="top" wrapText="1"/>
    </xf>
    <xf numFmtId="164" fontId="0" fillId="0" borderId="0" xfId="0" applyNumberFormat="1"/>
    <xf numFmtId="164" fontId="0" fillId="0" borderId="0" xfId="0" applyNumberFormat="1" applyFont="1" applyAlignment="1"/>
    <xf numFmtId="164" fontId="0" fillId="0" borderId="0" xfId="0" applyNumberFormat="1" applyFont="1" applyAlignment="1"/>
    <xf numFmtId="164" fontId="0" fillId="0" borderId="0" xfId="0" applyNumberFormat="1" applyAlignment="1"/>
    <xf numFmtId="0" fontId="2" fillId="3" borderId="0" xfId="0" applyFont="1" applyFill="1" applyBorder="1" applyAlignment="1">
      <alignment horizontal="left" vertical="center"/>
    </xf>
    <xf numFmtId="0" fontId="0" fillId="3" borderId="0" xfId="0" applyFont="1" applyFill="1" applyBorder="1"/>
    <xf numFmtId="164" fontId="0" fillId="3" borderId="0" xfId="0" applyNumberFormat="1" applyFill="1"/>
    <xf numFmtId="0" fontId="0" fillId="3" borderId="0" xfId="0" applyFill="1"/>
    <xf numFmtId="164" fontId="0" fillId="3" borderId="0" xfId="0" applyNumberFormat="1" applyFill="1" applyAlignment="1"/>
    <xf numFmtId="164" fontId="0" fillId="0" borderId="0" xfId="0" applyNumberFormat="1" applyFont="1"/>
    <xf numFmtId="166" fontId="3" fillId="0" borderId="0" xfId="1" applyBorder="1" applyProtection="1"/>
    <xf numFmtId="164" fontId="0" fillId="3" borderId="0" xfId="0" applyNumberFormat="1" applyFont="1" applyFill="1"/>
    <xf numFmtId="166" fontId="3" fillId="3" borderId="0" xfId="1" applyFill="1" applyBorder="1" applyProtection="1"/>
    <xf numFmtId="164" fontId="1" fillId="0" borderId="0" xfId="0" applyNumberFormat="1" applyFont="1"/>
    <xf numFmtId="166" fontId="1" fillId="0" borderId="0" xfId="1" applyFont="1" applyBorder="1" applyProtection="1"/>
    <xf numFmtId="164" fontId="1" fillId="3" borderId="0" xfId="0" applyNumberFormat="1" applyFont="1" applyFill="1"/>
    <xf numFmtId="0" fontId="0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2" borderId="0" xfId="0" applyFont="1" applyFill="1" applyAlignment="1">
      <alignment horizontal="center"/>
    </xf>
    <xf numFmtId="166" fontId="0" fillId="0" borderId="0" xfId="1" applyFont="1" applyBorder="1" applyAlignment="1" applyProtection="1"/>
    <xf numFmtId="166" fontId="1" fillId="0" borderId="0" xfId="1" applyFont="1" applyBorder="1" applyAlignment="1" applyProtection="1"/>
    <xf numFmtId="167" fontId="0" fillId="0" borderId="0" xfId="0" applyNumberFormat="1" applyFont="1"/>
    <xf numFmtId="166" fontId="1" fillId="2" borderId="0" xfId="1" applyFont="1" applyFill="1" applyBorder="1" applyAlignment="1" applyProtection="1"/>
    <xf numFmtId="167" fontId="1" fillId="2" borderId="0" xfId="0" applyNumberFormat="1" applyFont="1" applyFill="1"/>
    <xf numFmtId="166" fontId="0" fillId="0" borderId="0" xfId="1" applyFont="1" applyBorder="1" applyAlignment="1" applyProtection="1"/>
    <xf numFmtId="167" fontId="0" fillId="0" borderId="0" xfId="0" applyNumberFormat="1"/>
    <xf numFmtId="2" fontId="1" fillId="0" borderId="0" xfId="0" applyNumberFormat="1" applyFont="1"/>
    <xf numFmtId="166" fontId="0" fillId="0" borderId="0" xfId="1" applyFont="1" applyFill="1" applyBorder="1" applyAlignment="1" applyProtection="1"/>
    <xf numFmtId="43" fontId="0" fillId="0" borderId="0" xfId="0" applyNumberFormat="1"/>
    <xf numFmtId="14" fontId="0" fillId="0" borderId="0" xfId="0" applyNumberFormat="1"/>
    <xf numFmtId="0" fontId="4" fillId="0" borderId="0" xfId="0" applyFont="1" applyFill="1"/>
    <xf numFmtId="0" fontId="0" fillId="0" borderId="0" xfId="0" applyFill="1"/>
    <xf numFmtId="14" fontId="0" fillId="0" borderId="0" xfId="0" applyNumberFormat="1" applyFill="1"/>
    <xf numFmtId="0" fontId="1" fillId="5" borderId="0" xfId="0" applyFont="1" applyFill="1"/>
    <xf numFmtId="0" fontId="1" fillId="4" borderId="0" xfId="0" applyFont="1" applyFill="1"/>
    <xf numFmtId="166" fontId="3" fillId="0" borderId="0" xfId="1"/>
    <xf numFmtId="0" fontId="2" fillId="0" borderId="0" xfId="0" applyFont="1" applyFill="1" applyBorder="1" applyAlignment="1">
      <alignment horizontal="left" vertical="center"/>
    </xf>
    <xf numFmtId="16" fontId="0" fillId="0" borderId="0" xfId="0" applyNumberFormat="1"/>
    <xf numFmtId="166" fontId="3" fillId="0" borderId="0" xfId="1" applyFill="1" applyBorder="1" applyProtection="1"/>
    <xf numFmtId="0" fontId="5" fillId="0" borderId="0" xfId="0" applyFont="1"/>
    <xf numFmtId="0" fontId="6" fillId="0" borderId="0" xfId="0" applyFont="1"/>
    <xf numFmtId="164" fontId="6" fillId="0" borderId="0" xfId="0" applyNumberFormat="1" applyFont="1"/>
    <xf numFmtId="0" fontId="5" fillId="3" borderId="0" xfId="0" applyFont="1" applyFill="1"/>
    <xf numFmtId="0" fontId="6" fillId="3" borderId="0" xfId="0" applyFont="1" applyFill="1"/>
    <xf numFmtId="164" fontId="6" fillId="3" borderId="0" xfId="0" applyNumberFormat="1" applyFont="1" applyFill="1"/>
    <xf numFmtId="165" fontId="5" fillId="3" borderId="0" xfId="0" applyNumberFormat="1" applyFont="1" applyFill="1"/>
    <xf numFmtId="0" fontId="5" fillId="0" borderId="0" xfId="0" applyFont="1" applyFill="1"/>
    <xf numFmtId="0" fontId="6" fillId="0" borderId="0" xfId="0" applyFont="1" applyFill="1"/>
    <xf numFmtId="164" fontId="6" fillId="0" borderId="0" xfId="0" applyNumberFormat="1" applyFont="1" applyFill="1"/>
    <xf numFmtId="16" fontId="5" fillId="0" borderId="0" xfId="0" applyNumberFormat="1" applyFont="1"/>
    <xf numFmtId="0" fontId="5" fillId="4" borderId="0" xfId="0" applyFont="1" applyFill="1"/>
    <xf numFmtId="166" fontId="6" fillId="4" borderId="0" xfId="1" applyFont="1" applyFill="1"/>
    <xf numFmtId="0" fontId="6" fillId="4" borderId="0" xfId="0" applyFont="1" applyFill="1"/>
    <xf numFmtId="14" fontId="5" fillId="0" borderId="0" xfId="0" applyNumberFormat="1" applyFont="1"/>
    <xf numFmtId="168" fontId="5" fillId="0" borderId="0" xfId="0" applyNumberFormat="1" applyFont="1"/>
    <xf numFmtId="0" fontId="6" fillId="5" borderId="0" xfId="0" applyFont="1" applyFill="1"/>
    <xf numFmtId="2" fontId="4" fillId="0" borderId="0" xfId="0" applyNumberFormat="1" applyFont="1" applyFill="1"/>
    <xf numFmtId="14" fontId="4" fillId="0" borderId="0" xfId="0" applyNumberFormat="1" applyFont="1" applyFill="1"/>
    <xf numFmtId="0" fontId="7" fillId="0" borderId="0" xfId="0" applyFont="1" applyFill="1"/>
    <xf numFmtId="2" fontId="7" fillId="0" borderId="0" xfId="0" applyNumberFormat="1" applyFont="1" applyFill="1"/>
    <xf numFmtId="14" fontId="7" fillId="0" borderId="0" xfId="0" applyNumberFormat="1" applyFont="1" applyFill="1"/>
    <xf numFmtId="16" fontId="7" fillId="0" borderId="0" xfId="0" applyNumberFormat="1" applyFont="1" applyFill="1"/>
    <xf numFmtId="8" fontId="7" fillId="0" borderId="0" xfId="0" applyNumberFormat="1" applyFont="1" applyFill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custos_vr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2"/>
  <sheetViews>
    <sheetView zoomScaleNormal="100" workbookViewId="0">
      <selection activeCell="G21" sqref="G21"/>
    </sheetView>
  </sheetViews>
  <sheetFormatPr defaultRowHeight="12.75" x14ac:dyDescent="0.2"/>
  <cols>
    <col min="1" max="1" width="16.5703125"/>
    <col min="2" max="2" width="21.5703125" style="1"/>
    <col min="4" max="4" width="18.140625"/>
    <col min="6" max="6" width="16.42578125" style="7"/>
    <col min="10" max="10" width="10.140625" bestFit="1" customWidth="1"/>
    <col min="12" max="12" width="10.140625" bestFit="1" customWidth="1"/>
  </cols>
  <sheetData>
    <row r="1" spans="1:12" x14ac:dyDescent="0.2">
      <c r="A1" t="s">
        <v>0</v>
      </c>
      <c r="B1" s="1" t="s">
        <v>1</v>
      </c>
      <c r="C1" t="s">
        <v>2</v>
      </c>
      <c r="D1" t="s">
        <v>3</v>
      </c>
      <c r="E1" s="2"/>
      <c r="G1" s="2"/>
      <c r="H1" s="2"/>
      <c r="I1" s="3"/>
      <c r="J1" s="2"/>
      <c r="K1" s="2"/>
      <c r="L1" s="2"/>
    </row>
    <row r="2" spans="1:12" x14ac:dyDescent="0.2">
      <c r="A2">
        <v>8089.26</v>
      </c>
      <c r="B2" s="4">
        <v>42736</v>
      </c>
      <c r="C2" t="s">
        <v>4</v>
      </c>
      <c r="D2" s="4">
        <v>42736</v>
      </c>
      <c r="E2" s="2"/>
      <c r="G2" s="2"/>
      <c r="H2" s="2"/>
      <c r="I2" s="3"/>
      <c r="J2" s="49"/>
      <c r="K2" s="2"/>
      <c r="L2" s="49"/>
    </row>
    <row r="3" spans="1:12" x14ac:dyDescent="0.2">
      <c r="A3">
        <v>3407</v>
      </c>
      <c r="B3" s="4">
        <v>42736</v>
      </c>
      <c r="C3" t="s">
        <v>5</v>
      </c>
      <c r="D3" s="4">
        <v>42748</v>
      </c>
      <c r="E3" s="2"/>
      <c r="G3" s="2"/>
      <c r="H3" s="2"/>
      <c r="I3" s="3"/>
      <c r="J3" s="49"/>
      <c r="K3" s="2"/>
      <c r="L3" s="49"/>
    </row>
    <row r="4" spans="1:12" x14ac:dyDescent="0.2">
      <c r="A4">
        <v>5110</v>
      </c>
      <c r="B4" s="4">
        <v>42767</v>
      </c>
      <c r="C4" t="s">
        <v>5</v>
      </c>
      <c r="D4" s="4">
        <v>42765</v>
      </c>
      <c r="E4" s="2"/>
      <c r="G4" s="2"/>
      <c r="H4" s="2"/>
      <c r="I4" s="3"/>
      <c r="J4" s="2"/>
      <c r="K4" s="2"/>
      <c r="L4" s="2"/>
    </row>
    <row r="5" spans="1:12" x14ac:dyDescent="0.2">
      <c r="A5">
        <v>3407</v>
      </c>
      <c r="B5" s="4">
        <v>42767</v>
      </c>
      <c r="C5" t="s">
        <v>5</v>
      </c>
      <c r="D5" s="4">
        <v>42781</v>
      </c>
      <c r="E5" s="2"/>
      <c r="G5" s="2"/>
      <c r="H5" s="2"/>
      <c r="I5" s="3"/>
      <c r="J5" s="2"/>
      <c r="K5" s="2"/>
      <c r="L5" s="2"/>
    </row>
    <row r="6" spans="1:12" x14ac:dyDescent="0.2">
      <c r="A6">
        <v>5110</v>
      </c>
      <c r="B6" s="4">
        <v>42795</v>
      </c>
      <c r="C6" t="s">
        <v>5</v>
      </c>
      <c r="D6" s="4">
        <v>42795</v>
      </c>
      <c r="E6" s="2"/>
      <c r="F6" s="6"/>
      <c r="G6" s="2"/>
      <c r="H6" s="7"/>
      <c r="I6" s="3"/>
      <c r="J6" s="2"/>
      <c r="K6" s="2"/>
      <c r="L6" s="2"/>
    </row>
    <row r="7" spans="1:12" x14ac:dyDescent="0.2">
      <c r="A7">
        <v>3407</v>
      </c>
      <c r="B7" s="4">
        <v>42795</v>
      </c>
      <c r="C7" t="s">
        <v>5</v>
      </c>
      <c r="D7" s="4">
        <v>42809</v>
      </c>
      <c r="E7" s="2"/>
      <c r="G7" s="2"/>
      <c r="J7" s="2"/>
      <c r="K7" s="2"/>
      <c r="L7" s="2"/>
    </row>
    <row r="8" spans="1:12" x14ac:dyDescent="0.2">
      <c r="A8">
        <v>5110</v>
      </c>
      <c r="B8" s="4">
        <v>42826</v>
      </c>
      <c r="C8" t="s">
        <v>5</v>
      </c>
      <c r="D8" s="4">
        <v>42824</v>
      </c>
      <c r="E8" s="2"/>
      <c r="G8" s="2"/>
      <c r="J8" s="2"/>
      <c r="K8" s="2"/>
      <c r="L8" s="2"/>
    </row>
    <row r="9" spans="1:12" x14ac:dyDescent="0.2">
      <c r="A9">
        <v>294</v>
      </c>
      <c r="B9" s="4">
        <v>42767</v>
      </c>
      <c r="C9" t="s">
        <v>5</v>
      </c>
      <c r="D9" s="4">
        <v>42779</v>
      </c>
      <c r="E9" s="2"/>
      <c r="G9" s="2"/>
      <c r="H9" s="2"/>
      <c r="I9" s="2"/>
      <c r="J9" s="2"/>
      <c r="K9" s="2"/>
      <c r="L9" s="2"/>
    </row>
    <row r="10" spans="1:12" x14ac:dyDescent="0.2">
      <c r="A10">
        <v>16.600000000000001</v>
      </c>
      <c r="B10" s="4">
        <v>42795</v>
      </c>
      <c r="C10" s="5" t="s">
        <v>262</v>
      </c>
      <c r="D10" s="4">
        <v>42795</v>
      </c>
      <c r="E10" s="2"/>
      <c r="F10" s="6"/>
      <c r="G10" s="2"/>
      <c r="H10" s="2"/>
      <c r="I10" s="2"/>
      <c r="J10" s="2"/>
      <c r="K10" s="2"/>
      <c r="L10" s="2"/>
    </row>
    <row r="11" spans="1:12" x14ac:dyDescent="0.2">
      <c r="A11">
        <v>0</v>
      </c>
      <c r="B11" s="1">
        <v>42826</v>
      </c>
      <c r="C11" t="s">
        <v>329</v>
      </c>
      <c r="D11" s="49">
        <v>42832</v>
      </c>
      <c r="E11" s="2">
        <v>9693.8799999999992</v>
      </c>
    </row>
    <row r="12" spans="1:12" x14ac:dyDescent="0.2">
      <c r="A12">
        <v>0</v>
      </c>
      <c r="B12" s="1">
        <v>42826</v>
      </c>
      <c r="C12" t="s">
        <v>5</v>
      </c>
      <c r="D12" s="57">
        <v>42853</v>
      </c>
      <c r="E12" s="2">
        <v>4709.71</v>
      </c>
    </row>
    <row r="13" spans="1:12" x14ac:dyDescent="0.2">
      <c r="A13">
        <v>1798.91</v>
      </c>
      <c r="B13" s="1">
        <v>42826</v>
      </c>
      <c r="C13" s="2" t="s">
        <v>329</v>
      </c>
      <c r="D13" s="49">
        <v>42832</v>
      </c>
    </row>
    <row r="14" spans="1:12" x14ac:dyDescent="0.2">
      <c r="A14">
        <v>3621.2</v>
      </c>
      <c r="B14" s="20">
        <v>42826</v>
      </c>
      <c r="C14" s="2" t="s">
        <v>329</v>
      </c>
      <c r="D14" s="49">
        <v>42832</v>
      </c>
    </row>
    <row r="15" spans="1:12" x14ac:dyDescent="0.2">
      <c r="A15">
        <v>112.7</v>
      </c>
      <c r="B15" s="20">
        <v>42826</v>
      </c>
      <c r="C15" s="2" t="s">
        <v>329</v>
      </c>
      <c r="D15" s="49">
        <v>42832</v>
      </c>
    </row>
    <row r="16" spans="1:12" x14ac:dyDescent="0.2">
      <c r="A16">
        <v>436.65</v>
      </c>
      <c r="B16" s="20">
        <v>42826</v>
      </c>
      <c r="C16" s="2" t="s">
        <v>329</v>
      </c>
      <c r="D16" s="49">
        <v>42832</v>
      </c>
    </row>
    <row r="17" spans="1:4" x14ac:dyDescent="0.2">
      <c r="A17">
        <v>5431.8</v>
      </c>
      <c r="B17" s="20">
        <v>42826</v>
      </c>
      <c r="C17" s="2" t="s">
        <v>329</v>
      </c>
      <c r="D17" s="49">
        <v>42832</v>
      </c>
    </row>
    <row r="18" spans="1:4" x14ac:dyDescent="0.2">
      <c r="A18">
        <v>1810.6</v>
      </c>
      <c r="B18" s="20">
        <v>42826</v>
      </c>
      <c r="C18" s="2" t="s">
        <v>329</v>
      </c>
      <c r="D18" s="49">
        <v>42832</v>
      </c>
    </row>
    <row r="19" spans="1:4" x14ac:dyDescent="0.2">
      <c r="A19">
        <v>3017.67</v>
      </c>
      <c r="B19" s="20">
        <v>42826</v>
      </c>
      <c r="C19" s="2" t="s">
        <v>329</v>
      </c>
      <c r="D19" s="49">
        <v>42832</v>
      </c>
    </row>
    <row r="20" spans="1:4" x14ac:dyDescent="0.2">
      <c r="A20">
        <v>1005.89</v>
      </c>
      <c r="B20" s="20">
        <v>42826</v>
      </c>
      <c r="C20" s="2" t="s">
        <v>329</v>
      </c>
      <c r="D20" s="49">
        <v>42832</v>
      </c>
    </row>
    <row r="21" spans="1:4" x14ac:dyDescent="0.2">
      <c r="A21">
        <v>603.53</v>
      </c>
      <c r="B21" s="20">
        <v>42826</v>
      </c>
      <c r="C21" s="2" t="s">
        <v>329</v>
      </c>
      <c r="D21" s="49">
        <v>42832</v>
      </c>
    </row>
    <row r="22" spans="1:4" x14ac:dyDescent="0.2">
      <c r="A22">
        <v>201.18</v>
      </c>
      <c r="B22" s="20">
        <v>42826</v>
      </c>
      <c r="C22" s="2" t="s">
        <v>329</v>
      </c>
      <c r="D22" s="49">
        <v>42832</v>
      </c>
    </row>
  </sheetData>
  <pageMargins left="0.51180555555555496" right="0.51180555555555496" top="0.78749999999999998" bottom="0.78749999999999998" header="0.51180555555555496" footer="0.51180555555555496"/>
  <pageSetup paperSize="0" scale="0" firstPageNumber="0" orientation="portrait" usePrinterDefaults="0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63"/>
  <sheetViews>
    <sheetView zoomScale="78" zoomScaleNormal="78" workbookViewId="0">
      <selection activeCell="F1" sqref="F1"/>
    </sheetView>
  </sheetViews>
  <sheetFormatPr defaultRowHeight="12.75" x14ac:dyDescent="0.2"/>
  <cols>
    <col min="1" max="1" width="33.5703125" style="59" customWidth="1"/>
    <col min="2" max="2" width="16.5703125" style="59"/>
    <col min="3" max="3" width="9.140625" style="59"/>
    <col min="4" max="4" width="19.28515625" style="59"/>
    <col min="5" max="5" width="16.42578125" style="59"/>
    <col min="6" max="6" width="16.42578125" style="61"/>
    <col min="7" max="7" width="9.140625" style="59"/>
    <col min="8" max="8" width="16.42578125" style="61"/>
    <col min="9" max="9" width="24.42578125" style="59"/>
    <col min="10" max="10" width="16.42578125" style="59"/>
    <col min="11" max="11" width="11.140625" style="59" bestFit="1" customWidth="1"/>
    <col min="12" max="16384" width="9.140625" style="59"/>
  </cols>
  <sheetData>
    <row r="1" spans="1:10" x14ac:dyDescent="0.2">
      <c r="A1" s="59" t="s">
        <v>6</v>
      </c>
      <c r="B1" s="60" t="s">
        <v>7</v>
      </c>
      <c r="C1" s="59" t="s">
        <v>8</v>
      </c>
      <c r="D1" s="59" t="s">
        <v>9</v>
      </c>
      <c r="E1" s="59" t="s">
        <v>10</v>
      </c>
      <c r="F1" s="60" t="s">
        <v>11</v>
      </c>
      <c r="G1" s="59" t="s">
        <v>12</v>
      </c>
      <c r="H1" s="60" t="s">
        <v>13</v>
      </c>
      <c r="I1" s="59" t="s">
        <v>14</v>
      </c>
    </row>
    <row r="2" spans="1:10" x14ac:dyDescent="0.2">
      <c r="A2" s="59" t="s">
        <v>15</v>
      </c>
      <c r="B2" s="59">
        <v>0</v>
      </c>
      <c r="C2" s="59">
        <v>1</v>
      </c>
      <c r="D2" s="59">
        <v>0</v>
      </c>
      <c r="E2" s="59">
        <v>0</v>
      </c>
      <c r="F2" s="61">
        <v>42736</v>
      </c>
      <c r="G2" s="59" t="s">
        <v>16</v>
      </c>
      <c r="H2" s="61">
        <v>42736</v>
      </c>
      <c r="I2" s="59" t="s">
        <v>17</v>
      </c>
      <c r="J2" s="60"/>
    </row>
    <row r="3" spans="1:10" x14ac:dyDescent="0.2">
      <c r="A3" s="59" t="s">
        <v>18</v>
      </c>
      <c r="B3" s="59">
        <v>0</v>
      </c>
      <c r="C3" s="59">
        <v>1</v>
      </c>
      <c r="D3" s="59">
        <v>0</v>
      </c>
      <c r="E3" s="59">
        <v>0</v>
      </c>
      <c r="F3" s="61">
        <v>42736</v>
      </c>
      <c r="G3" s="59" t="s">
        <v>16</v>
      </c>
      <c r="H3" s="61">
        <v>42736</v>
      </c>
      <c r="I3" s="59" t="s">
        <v>17</v>
      </c>
      <c r="J3" s="60"/>
    </row>
    <row r="4" spans="1:10" x14ac:dyDescent="0.2">
      <c r="A4" s="59" t="s">
        <v>19</v>
      </c>
      <c r="B4" s="59">
        <v>0</v>
      </c>
      <c r="C4" s="59">
        <v>1</v>
      </c>
      <c r="D4" s="59">
        <v>0</v>
      </c>
      <c r="E4" s="59">
        <v>0</v>
      </c>
      <c r="F4" s="61">
        <v>42736</v>
      </c>
      <c r="G4" s="59" t="s">
        <v>16</v>
      </c>
      <c r="H4" s="61">
        <v>42736</v>
      </c>
      <c r="I4" s="59" t="s">
        <v>17</v>
      </c>
      <c r="J4" s="60"/>
    </row>
    <row r="5" spans="1:10" x14ac:dyDescent="0.2">
      <c r="A5" s="59" t="s">
        <v>20</v>
      </c>
      <c r="B5" s="59">
        <v>0</v>
      </c>
      <c r="C5" s="59">
        <v>1</v>
      </c>
      <c r="D5" s="59">
        <v>0</v>
      </c>
      <c r="E5" s="59">
        <v>0</v>
      </c>
      <c r="F5" s="61">
        <v>42736</v>
      </c>
      <c r="G5" s="59" t="s">
        <v>16</v>
      </c>
      <c r="H5" s="61">
        <v>42736</v>
      </c>
      <c r="I5" s="59" t="s">
        <v>17</v>
      </c>
      <c r="J5" s="60"/>
    </row>
    <row r="6" spans="1:10" x14ac:dyDescent="0.2">
      <c r="A6" s="59" t="s">
        <v>21</v>
      </c>
      <c r="B6" s="59">
        <v>0</v>
      </c>
      <c r="C6" s="59">
        <v>1</v>
      </c>
      <c r="D6" s="59">
        <v>0</v>
      </c>
      <c r="E6" s="59">
        <v>0</v>
      </c>
      <c r="F6" s="61">
        <v>42736</v>
      </c>
      <c r="G6" s="59" t="s">
        <v>16</v>
      </c>
      <c r="H6" s="61">
        <v>42736</v>
      </c>
      <c r="I6" s="59" t="s">
        <v>17</v>
      </c>
      <c r="J6" s="60"/>
    </row>
    <row r="7" spans="1:10" x14ac:dyDescent="0.2">
      <c r="A7" s="59" t="s">
        <v>22</v>
      </c>
      <c r="B7" s="59">
        <v>0</v>
      </c>
      <c r="C7" s="59">
        <v>1</v>
      </c>
      <c r="D7" s="59">
        <v>0</v>
      </c>
      <c r="E7" s="59">
        <v>0</v>
      </c>
      <c r="F7" s="61">
        <v>42736</v>
      </c>
      <c r="G7" s="59" t="s">
        <v>16</v>
      </c>
      <c r="H7" s="61">
        <v>42736</v>
      </c>
      <c r="I7" s="59" t="s">
        <v>17</v>
      </c>
      <c r="J7" s="60"/>
    </row>
    <row r="8" spans="1:10" x14ac:dyDescent="0.2">
      <c r="A8" s="59" t="s">
        <v>23</v>
      </c>
      <c r="B8" s="59">
        <v>0</v>
      </c>
      <c r="C8" s="59">
        <v>1</v>
      </c>
      <c r="D8" s="59">
        <v>0</v>
      </c>
      <c r="E8" s="59">
        <v>0</v>
      </c>
      <c r="F8" s="61">
        <v>42736</v>
      </c>
      <c r="G8" s="59" t="s">
        <v>16</v>
      </c>
      <c r="H8" s="61">
        <v>42736</v>
      </c>
      <c r="I8" s="59" t="s">
        <v>17</v>
      </c>
      <c r="J8" s="60"/>
    </row>
    <row r="9" spans="1:10" x14ac:dyDescent="0.2">
      <c r="A9" s="59" t="s">
        <v>24</v>
      </c>
      <c r="B9" s="59">
        <v>0</v>
      </c>
      <c r="C9" s="59">
        <v>1</v>
      </c>
      <c r="D9" s="59">
        <v>0</v>
      </c>
      <c r="E9" s="59">
        <v>0</v>
      </c>
      <c r="F9" s="61">
        <v>42736</v>
      </c>
      <c r="G9" s="59" t="s">
        <v>16</v>
      </c>
      <c r="H9" s="61">
        <v>42736</v>
      </c>
      <c r="I9" s="59" t="s">
        <v>17</v>
      </c>
      <c r="J9" s="60"/>
    </row>
    <row r="10" spans="1:10" x14ac:dyDescent="0.2">
      <c r="A10" s="59" t="s">
        <v>25</v>
      </c>
      <c r="B10" s="59">
        <v>0</v>
      </c>
      <c r="C10" s="59">
        <v>1</v>
      </c>
      <c r="D10" s="59">
        <v>0</v>
      </c>
      <c r="E10" s="59">
        <v>0</v>
      </c>
      <c r="F10" s="61">
        <v>42736</v>
      </c>
      <c r="G10" s="59" t="s">
        <v>16</v>
      </c>
      <c r="H10" s="61">
        <v>42736</v>
      </c>
      <c r="I10" s="59" t="s">
        <v>17</v>
      </c>
      <c r="J10" s="60"/>
    </row>
    <row r="11" spans="1:10" x14ac:dyDescent="0.2">
      <c r="A11" s="59" t="s">
        <v>26</v>
      </c>
      <c r="B11" s="60">
        <f>SUMIFS(credito!$B$2:$B$103,credito!$F$2:$F$103,F11,credito!$G$2:$G$103,0)</f>
        <v>3928.07</v>
      </c>
      <c r="C11" s="59">
        <v>1</v>
      </c>
      <c r="D11" s="59">
        <v>0</v>
      </c>
      <c r="E11" s="59">
        <v>0</v>
      </c>
      <c r="F11" s="61">
        <v>42736</v>
      </c>
      <c r="G11" s="59" t="s">
        <v>16</v>
      </c>
      <c r="H11" s="61">
        <v>42736</v>
      </c>
      <c r="I11" s="59" t="s">
        <v>27</v>
      </c>
    </row>
    <row r="12" spans="1:10" x14ac:dyDescent="0.2">
      <c r="A12" s="59" t="s">
        <v>28</v>
      </c>
      <c r="B12" s="60">
        <v>83.9</v>
      </c>
      <c r="C12" s="59">
        <v>0</v>
      </c>
      <c r="D12" s="59">
        <v>1</v>
      </c>
      <c r="E12" s="59">
        <v>0</v>
      </c>
      <c r="F12" s="61">
        <v>42736</v>
      </c>
      <c r="G12" s="59" t="s">
        <v>16</v>
      </c>
      <c r="H12" s="61">
        <v>42737</v>
      </c>
      <c r="I12" s="59" t="s">
        <v>29</v>
      </c>
    </row>
    <row r="13" spans="1:10" x14ac:dyDescent="0.2">
      <c r="A13" s="59" t="s">
        <v>30</v>
      </c>
      <c r="B13" s="60">
        <v>52.4</v>
      </c>
      <c r="C13" s="59">
        <v>1</v>
      </c>
      <c r="D13" s="59">
        <v>0</v>
      </c>
      <c r="E13" s="59">
        <v>0</v>
      </c>
      <c r="F13" s="61">
        <v>42736</v>
      </c>
      <c r="G13" s="59" t="s">
        <v>16</v>
      </c>
      <c r="H13" s="61">
        <v>42738</v>
      </c>
      <c r="I13" s="59" t="s">
        <v>31</v>
      </c>
    </row>
    <row r="14" spans="1:10" x14ac:dyDescent="0.2">
      <c r="A14" s="59" t="s">
        <v>32</v>
      </c>
      <c r="B14" s="60">
        <v>405.25</v>
      </c>
      <c r="C14" s="59">
        <v>0</v>
      </c>
      <c r="D14" s="59">
        <v>1</v>
      </c>
      <c r="E14" s="59">
        <v>0</v>
      </c>
      <c r="F14" s="61">
        <v>42736</v>
      </c>
      <c r="G14" s="59" t="s">
        <v>16</v>
      </c>
      <c r="H14" s="61">
        <v>42738</v>
      </c>
      <c r="I14" s="59" t="s">
        <v>33</v>
      </c>
    </row>
    <row r="15" spans="1:10" x14ac:dyDescent="0.2">
      <c r="A15" s="59" t="s">
        <v>34</v>
      </c>
      <c r="B15" s="60">
        <v>5.9</v>
      </c>
      <c r="C15" s="59">
        <v>0</v>
      </c>
      <c r="D15" s="59">
        <v>1</v>
      </c>
      <c r="E15" s="59">
        <v>0</v>
      </c>
      <c r="F15" s="61">
        <v>42736</v>
      </c>
      <c r="G15" s="59" t="s">
        <v>16</v>
      </c>
      <c r="H15" s="61">
        <v>42738</v>
      </c>
      <c r="I15" s="59" t="s">
        <v>35</v>
      </c>
    </row>
    <row r="16" spans="1:10" x14ac:dyDescent="0.2">
      <c r="A16" s="59" t="s">
        <v>36</v>
      </c>
      <c r="B16" s="60">
        <v>6.9</v>
      </c>
      <c r="C16" s="59">
        <v>0</v>
      </c>
      <c r="D16" s="59">
        <v>1</v>
      </c>
      <c r="E16" s="59">
        <v>0</v>
      </c>
      <c r="F16" s="61">
        <v>42736</v>
      </c>
      <c r="G16" s="59" t="s">
        <v>16</v>
      </c>
      <c r="H16" s="61">
        <v>42738</v>
      </c>
      <c r="I16" s="59" t="s">
        <v>35</v>
      </c>
    </row>
    <row r="17" spans="1:9" x14ac:dyDescent="0.2">
      <c r="A17" s="59" t="s">
        <v>37</v>
      </c>
      <c r="B17" s="60">
        <v>4</v>
      </c>
      <c r="C17" s="59">
        <v>0</v>
      </c>
      <c r="D17" s="59">
        <v>1</v>
      </c>
      <c r="E17" s="59">
        <v>0</v>
      </c>
      <c r="F17" s="61">
        <v>42736</v>
      </c>
      <c r="G17" s="59" t="s">
        <v>16</v>
      </c>
      <c r="H17" s="61">
        <v>42738</v>
      </c>
      <c r="I17" s="59" t="s">
        <v>35</v>
      </c>
    </row>
    <row r="18" spans="1:9" x14ac:dyDescent="0.2">
      <c r="A18" s="59" t="s">
        <v>38</v>
      </c>
      <c r="B18" s="60">
        <v>4</v>
      </c>
      <c r="C18" s="59">
        <v>0</v>
      </c>
      <c r="D18" s="59">
        <v>1</v>
      </c>
      <c r="E18" s="59">
        <v>0</v>
      </c>
      <c r="F18" s="61">
        <v>42736</v>
      </c>
      <c r="G18" s="59" t="s">
        <v>16</v>
      </c>
      <c r="H18" s="61">
        <v>42738</v>
      </c>
      <c r="I18" s="59" t="s">
        <v>35</v>
      </c>
    </row>
    <row r="19" spans="1:9" x14ac:dyDescent="0.2">
      <c r="A19" s="59" t="s">
        <v>39</v>
      </c>
      <c r="B19" s="60">
        <v>60</v>
      </c>
      <c r="C19" s="59">
        <v>0</v>
      </c>
      <c r="D19" s="59">
        <v>1</v>
      </c>
      <c r="E19" s="59">
        <v>0</v>
      </c>
      <c r="F19" s="61">
        <v>42736</v>
      </c>
      <c r="G19" s="59" t="s">
        <v>16</v>
      </c>
      <c r="H19" s="61">
        <v>42738</v>
      </c>
      <c r="I19" s="59" t="s">
        <v>40</v>
      </c>
    </row>
    <row r="20" spans="1:9" x14ac:dyDescent="0.2">
      <c r="A20" s="59" t="s">
        <v>41</v>
      </c>
      <c r="B20" s="60">
        <v>380.58</v>
      </c>
      <c r="C20" s="59">
        <v>1</v>
      </c>
      <c r="D20" s="59">
        <v>0</v>
      </c>
      <c r="E20" s="59">
        <v>0</v>
      </c>
      <c r="F20" s="61">
        <v>42736</v>
      </c>
      <c r="G20" s="59" t="s">
        <v>16</v>
      </c>
      <c r="H20" s="61">
        <v>42739</v>
      </c>
      <c r="I20" s="59" t="s">
        <v>42</v>
      </c>
    </row>
    <row r="21" spans="1:9" x14ac:dyDescent="0.2">
      <c r="A21" s="59" t="s">
        <v>43</v>
      </c>
      <c r="B21" s="60">
        <v>6</v>
      </c>
      <c r="C21" s="59">
        <v>0</v>
      </c>
      <c r="D21" s="59">
        <v>1</v>
      </c>
      <c r="E21" s="59">
        <v>0</v>
      </c>
      <c r="F21" s="61">
        <v>42736</v>
      </c>
      <c r="G21" s="59" t="s">
        <v>16</v>
      </c>
      <c r="H21" s="61">
        <v>42739</v>
      </c>
      <c r="I21" s="59" t="s">
        <v>35</v>
      </c>
    </row>
    <row r="22" spans="1:9" x14ac:dyDescent="0.2">
      <c r="A22" s="59" t="s">
        <v>44</v>
      </c>
      <c r="B22" s="60">
        <v>3.5</v>
      </c>
      <c r="C22" s="59">
        <v>0</v>
      </c>
      <c r="D22" s="59">
        <v>1</v>
      </c>
      <c r="E22" s="59">
        <v>0</v>
      </c>
      <c r="F22" s="61">
        <v>42736</v>
      </c>
      <c r="G22" s="59" t="s">
        <v>16</v>
      </c>
      <c r="H22" s="61">
        <v>42739</v>
      </c>
      <c r="I22" s="59" t="s">
        <v>35</v>
      </c>
    </row>
    <row r="23" spans="1:9" x14ac:dyDescent="0.2">
      <c r="A23" s="59" t="s">
        <v>45</v>
      </c>
      <c r="B23" s="60">
        <v>73.91</v>
      </c>
      <c r="C23" s="59">
        <v>1</v>
      </c>
      <c r="D23" s="59">
        <v>0</v>
      </c>
      <c r="E23" s="59">
        <v>0</v>
      </c>
      <c r="F23" s="61">
        <v>42736</v>
      </c>
      <c r="G23" s="59" t="s">
        <v>16</v>
      </c>
      <c r="H23" s="61">
        <v>42741</v>
      </c>
      <c r="I23" s="59" t="s">
        <v>42</v>
      </c>
    </row>
    <row r="24" spans="1:9" x14ac:dyDescent="0.2">
      <c r="A24" s="59" t="s">
        <v>46</v>
      </c>
      <c r="B24" s="60">
        <v>200</v>
      </c>
      <c r="C24" s="59">
        <v>1</v>
      </c>
      <c r="D24" s="59">
        <v>0</v>
      </c>
      <c r="E24" s="59">
        <v>0</v>
      </c>
      <c r="F24" s="61">
        <v>42736</v>
      </c>
      <c r="G24" s="59" t="s">
        <v>16</v>
      </c>
      <c r="H24" s="61">
        <v>42743</v>
      </c>
      <c r="I24" s="59" t="s">
        <v>33</v>
      </c>
    </row>
    <row r="25" spans="1:9" x14ac:dyDescent="0.2">
      <c r="A25" s="59" t="s">
        <v>47</v>
      </c>
      <c r="B25" s="60">
        <v>50</v>
      </c>
      <c r="C25" s="59">
        <v>0</v>
      </c>
      <c r="D25" s="59">
        <v>1</v>
      </c>
      <c r="E25" s="59">
        <v>0</v>
      </c>
      <c r="F25" s="61">
        <v>42736</v>
      </c>
      <c r="G25" s="59" t="s">
        <v>16</v>
      </c>
      <c r="H25" s="61">
        <v>42743</v>
      </c>
      <c r="I25" s="59" t="s">
        <v>47</v>
      </c>
    </row>
    <row r="26" spans="1:9" x14ac:dyDescent="0.2">
      <c r="A26" s="59" t="s">
        <v>48</v>
      </c>
      <c r="B26" s="60">
        <v>1437.5</v>
      </c>
      <c r="C26" s="59">
        <v>1</v>
      </c>
      <c r="D26" s="59">
        <v>0</v>
      </c>
      <c r="E26" s="59">
        <v>0</v>
      </c>
      <c r="F26" s="61">
        <v>42736</v>
      </c>
      <c r="G26" s="59" t="s">
        <v>49</v>
      </c>
      <c r="H26" s="61">
        <v>42744</v>
      </c>
      <c r="I26" s="59" t="s">
        <v>42</v>
      </c>
    </row>
    <row r="27" spans="1:9" x14ac:dyDescent="0.2">
      <c r="A27" s="59" t="s">
        <v>50</v>
      </c>
      <c r="B27" s="60">
        <v>50</v>
      </c>
      <c r="C27" s="59">
        <v>0</v>
      </c>
      <c r="D27" s="59">
        <v>1</v>
      </c>
      <c r="E27" s="59">
        <v>0</v>
      </c>
      <c r="F27" s="61">
        <v>42736</v>
      </c>
      <c r="G27" s="59" t="s">
        <v>49</v>
      </c>
      <c r="H27" s="61">
        <v>42744</v>
      </c>
      <c r="I27" s="59" t="s">
        <v>50</v>
      </c>
    </row>
    <row r="28" spans="1:9" x14ac:dyDescent="0.2">
      <c r="A28" s="59" t="s">
        <v>51</v>
      </c>
      <c r="B28" s="60">
        <v>2.99</v>
      </c>
      <c r="C28" s="59">
        <v>0</v>
      </c>
      <c r="D28" s="59">
        <v>1</v>
      </c>
      <c r="E28" s="59">
        <v>0</v>
      </c>
      <c r="F28" s="61">
        <v>42736</v>
      </c>
      <c r="G28" s="59" t="s">
        <v>49</v>
      </c>
      <c r="H28" s="61">
        <v>42744</v>
      </c>
      <c r="I28" s="59" t="s">
        <v>35</v>
      </c>
    </row>
    <row r="29" spans="1:9" x14ac:dyDescent="0.2">
      <c r="A29" s="59" t="s">
        <v>52</v>
      </c>
      <c r="B29" s="60">
        <v>45.2</v>
      </c>
      <c r="C29" s="59">
        <v>1</v>
      </c>
      <c r="D29" s="59">
        <v>0</v>
      </c>
      <c r="E29" s="59">
        <v>0</v>
      </c>
      <c r="F29" s="61">
        <v>42736</v>
      </c>
      <c r="G29" s="59" t="s">
        <v>49</v>
      </c>
      <c r="H29" s="61">
        <v>42745</v>
      </c>
      <c r="I29" s="59" t="s">
        <v>31</v>
      </c>
    </row>
    <row r="30" spans="1:9" x14ac:dyDescent="0.2">
      <c r="A30" s="59" t="s">
        <v>53</v>
      </c>
      <c r="B30" s="60">
        <v>145</v>
      </c>
      <c r="C30" s="59">
        <v>1</v>
      </c>
      <c r="D30" s="59">
        <v>0</v>
      </c>
      <c r="E30" s="59">
        <v>0</v>
      </c>
      <c r="F30" s="61">
        <v>42736</v>
      </c>
      <c r="G30" s="59" t="s">
        <v>49</v>
      </c>
      <c r="H30" s="61">
        <v>42745</v>
      </c>
      <c r="I30" s="59" t="s">
        <v>53</v>
      </c>
    </row>
    <row r="31" spans="1:9" x14ac:dyDescent="0.2">
      <c r="A31" s="59" t="s">
        <v>39</v>
      </c>
      <c r="B31" s="60">
        <v>300</v>
      </c>
      <c r="C31" s="59">
        <v>1</v>
      </c>
      <c r="D31" s="59">
        <v>0</v>
      </c>
      <c r="E31" s="59">
        <v>0</v>
      </c>
      <c r="F31" s="61">
        <v>42736</v>
      </c>
      <c r="G31" s="59" t="s">
        <v>49</v>
      </c>
      <c r="H31" s="61">
        <v>42745</v>
      </c>
      <c r="I31" s="59" t="s">
        <v>40</v>
      </c>
    </row>
    <row r="32" spans="1:9" x14ac:dyDescent="0.2">
      <c r="A32" s="59" t="s">
        <v>54</v>
      </c>
      <c r="B32" s="60">
        <v>5.79</v>
      </c>
      <c r="C32" s="59">
        <v>1</v>
      </c>
      <c r="D32" s="59">
        <v>0</v>
      </c>
      <c r="E32" s="59">
        <v>0</v>
      </c>
      <c r="F32" s="61">
        <v>42736</v>
      </c>
      <c r="G32" s="59" t="s">
        <v>49</v>
      </c>
      <c r="H32" s="61">
        <v>42745</v>
      </c>
      <c r="I32" s="59" t="s">
        <v>31</v>
      </c>
    </row>
    <row r="33" spans="1:9" x14ac:dyDescent="0.2">
      <c r="A33" s="59" t="s">
        <v>55</v>
      </c>
      <c r="B33" s="60">
        <v>11</v>
      </c>
      <c r="C33" s="59">
        <v>0</v>
      </c>
      <c r="D33" s="59">
        <v>1</v>
      </c>
      <c r="E33" s="59">
        <v>0</v>
      </c>
      <c r="F33" s="61">
        <v>42736</v>
      </c>
      <c r="G33" s="59" t="s">
        <v>49</v>
      </c>
      <c r="H33" s="61">
        <v>42745</v>
      </c>
      <c r="I33" s="59" t="s">
        <v>35</v>
      </c>
    </row>
    <row r="34" spans="1:9" x14ac:dyDescent="0.2">
      <c r="A34" s="59" t="s">
        <v>34</v>
      </c>
      <c r="B34" s="60">
        <v>4</v>
      </c>
      <c r="C34" s="59">
        <v>0</v>
      </c>
      <c r="D34" s="59">
        <v>1</v>
      </c>
      <c r="E34" s="59">
        <v>0</v>
      </c>
      <c r="F34" s="61">
        <v>42736</v>
      </c>
      <c r="G34" s="59" t="s">
        <v>49</v>
      </c>
      <c r="H34" s="61">
        <v>42745</v>
      </c>
      <c r="I34" s="59" t="s">
        <v>35</v>
      </c>
    </row>
    <row r="35" spans="1:9" x14ac:dyDescent="0.2">
      <c r="A35" s="59" t="s">
        <v>56</v>
      </c>
      <c r="B35" s="60">
        <v>3</v>
      </c>
      <c r="C35" s="59">
        <v>0</v>
      </c>
      <c r="D35" s="59">
        <v>1</v>
      </c>
      <c r="E35" s="59">
        <v>0</v>
      </c>
      <c r="F35" s="61">
        <v>42736</v>
      </c>
      <c r="G35" s="59" t="s">
        <v>49</v>
      </c>
      <c r="H35" s="61">
        <v>42745</v>
      </c>
      <c r="I35" s="59" t="s">
        <v>35</v>
      </c>
    </row>
    <row r="36" spans="1:9" x14ac:dyDescent="0.2">
      <c r="A36" s="59" t="s">
        <v>57</v>
      </c>
      <c r="B36" s="60">
        <v>16</v>
      </c>
      <c r="C36" s="59">
        <v>0</v>
      </c>
      <c r="D36" s="59">
        <v>1</v>
      </c>
      <c r="E36" s="59">
        <v>0</v>
      </c>
      <c r="F36" s="61">
        <v>42736</v>
      </c>
      <c r="G36" s="59" t="s">
        <v>49</v>
      </c>
      <c r="H36" s="61">
        <v>42746</v>
      </c>
      <c r="I36" s="59" t="s">
        <v>35</v>
      </c>
    </row>
    <row r="37" spans="1:9" x14ac:dyDescent="0.2">
      <c r="A37" s="59" t="s">
        <v>55</v>
      </c>
      <c r="B37" s="60">
        <v>7.4</v>
      </c>
      <c r="C37" s="59">
        <v>0</v>
      </c>
      <c r="D37" s="59">
        <v>1</v>
      </c>
      <c r="E37" s="59">
        <v>0</v>
      </c>
      <c r="F37" s="61">
        <v>42736</v>
      </c>
      <c r="G37" s="59" t="s">
        <v>49</v>
      </c>
      <c r="H37" s="61">
        <v>42747</v>
      </c>
      <c r="I37" s="59" t="s">
        <v>35</v>
      </c>
    </row>
    <row r="38" spans="1:9" x14ac:dyDescent="0.2">
      <c r="A38" s="59" t="s">
        <v>56</v>
      </c>
      <c r="B38" s="60">
        <v>3</v>
      </c>
      <c r="C38" s="59">
        <v>0</v>
      </c>
      <c r="D38" s="59">
        <v>1</v>
      </c>
      <c r="E38" s="59">
        <v>0</v>
      </c>
      <c r="F38" s="61">
        <v>42736</v>
      </c>
      <c r="G38" s="59" t="s">
        <v>49</v>
      </c>
      <c r="H38" s="61">
        <v>42748</v>
      </c>
      <c r="I38" s="59" t="s">
        <v>35</v>
      </c>
    </row>
    <row r="39" spans="1:9" x14ac:dyDescent="0.2">
      <c r="A39" s="59" t="s">
        <v>58</v>
      </c>
      <c r="B39" s="60">
        <v>44.9</v>
      </c>
      <c r="C39" s="59">
        <v>0</v>
      </c>
      <c r="D39" s="59">
        <v>1</v>
      </c>
      <c r="E39" s="59">
        <v>0</v>
      </c>
      <c r="F39" s="61">
        <v>42736</v>
      </c>
      <c r="G39" s="59" t="s">
        <v>49</v>
      </c>
      <c r="H39" s="61">
        <v>42748</v>
      </c>
      <c r="I39" s="59" t="s">
        <v>59</v>
      </c>
    </row>
    <row r="40" spans="1:9" x14ac:dyDescent="0.2">
      <c r="A40" s="59" t="s">
        <v>60</v>
      </c>
      <c r="B40" s="60">
        <v>300</v>
      </c>
      <c r="C40" s="59">
        <v>0</v>
      </c>
      <c r="D40" s="59">
        <v>1</v>
      </c>
      <c r="E40" s="59">
        <v>0</v>
      </c>
      <c r="F40" s="61">
        <v>42736</v>
      </c>
      <c r="G40" s="59" t="s">
        <v>49</v>
      </c>
      <c r="H40" s="61">
        <v>42749</v>
      </c>
      <c r="I40" s="59" t="s">
        <v>42</v>
      </c>
    </row>
    <row r="41" spans="1:9" x14ac:dyDescent="0.2">
      <c r="A41" s="59" t="s">
        <v>61</v>
      </c>
      <c r="B41" s="60">
        <v>50</v>
      </c>
      <c r="C41" s="59">
        <v>0</v>
      </c>
      <c r="D41" s="59">
        <v>1</v>
      </c>
      <c r="E41" s="59">
        <v>0</v>
      </c>
      <c r="F41" s="61">
        <v>42736</v>
      </c>
      <c r="G41" s="59" t="s">
        <v>49</v>
      </c>
      <c r="H41" s="61">
        <v>42750</v>
      </c>
      <c r="I41" s="59" t="s">
        <v>59</v>
      </c>
    </row>
    <row r="42" spans="1:9" x14ac:dyDescent="0.2">
      <c r="A42" s="59" t="s">
        <v>62</v>
      </c>
      <c r="B42" s="60">
        <v>20</v>
      </c>
      <c r="C42" s="59">
        <v>0</v>
      </c>
      <c r="D42" s="59">
        <v>1</v>
      </c>
      <c r="E42" s="59">
        <v>0</v>
      </c>
      <c r="F42" s="61">
        <v>42736</v>
      </c>
      <c r="G42" s="59" t="s">
        <v>49</v>
      </c>
      <c r="H42" s="61">
        <v>42750</v>
      </c>
      <c r="I42" s="59" t="s">
        <v>33</v>
      </c>
    </row>
    <row r="43" spans="1:9" x14ac:dyDescent="0.2">
      <c r="A43" s="59" t="s">
        <v>63</v>
      </c>
      <c r="B43" s="60">
        <v>636.16999999999996</v>
      </c>
      <c r="C43" s="59">
        <v>1</v>
      </c>
      <c r="D43" s="59">
        <v>0</v>
      </c>
      <c r="E43" s="59">
        <v>0</v>
      </c>
      <c r="F43" s="61">
        <v>42736</v>
      </c>
      <c r="G43" s="59" t="s">
        <v>64</v>
      </c>
      <c r="H43" s="61">
        <v>42751</v>
      </c>
      <c r="I43" s="59" t="s">
        <v>65</v>
      </c>
    </row>
    <row r="44" spans="1:9" x14ac:dyDescent="0.2">
      <c r="A44" s="59" t="s">
        <v>66</v>
      </c>
      <c r="B44" s="60">
        <v>50</v>
      </c>
      <c r="C44" s="59">
        <v>1</v>
      </c>
      <c r="D44" s="59">
        <v>0</v>
      </c>
      <c r="E44" s="59">
        <v>0</v>
      </c>
      <c r="F44" s="61">
        <v>42736</v>
      </c>
      <c r="G44" s="59" t="s">
        <v>64</v>
      </c>
      <c r="H44" s="61">
        <v>42751</v>
      </c>
      <c r="I44" s="59" t="s">
        <v>67</v>
      </c>
    </row>
    <row r="45" spans="1:9" x14ac:dyDescent="0.2">
      <c r="A45" s="59" t="s">
        <v>47</v>
      </c>
      <c r="B45" s="60">
        <v>106</v>
      </c>
      <c r="C45" s="59">
        <v>0</v>
      </c>
      <c r="D45" s="59">
        <v>1</v>
      </c>
      <c r="E45" s="59">
        <v>0</v>
      </c>
      <c r="F45" s="61">
        <v>42736</v>
      </c>
      <c r="G45" s="59" t="s">
        <v>49</v>
      </c>
      <c r="H45" s="61">
        <v>42751</v>
      </c>
      <c r="I45" s="59" t="s">
        <v>47</v>
      </c>
    </row>
    <row r="46" spans="1:9" x14ac:dyDescent="0.2">
      <c r="A46" s="59" t="s">
        <v>68</v>
      </c>
      <c r="B46" s="60">
        <v>25</v>
      </c>
      <c r="C46" s="59">
        <v>0</v>
      </c>
      <c r="D46" s="59">
        <v>1</v>
      </c>
      <c r="E46" s="59">
        <v>0</v>
      </c>
      <c r="F46" s="61">
        <v>42736</v>
      </c>
      <c r="G46" s="59" t="s">
        <v>64</v>
      </c>
      <c r="H46" s="61">
        <v>42751</v>
      </c>
      <c r="I46" s="59" t="s">
        <v>35</v>
      </c>
    </row>
    <row r="47" spans="1:9" x14ac:dyDescent="0.2">
      <c r="A47" s="59" t="s">
        <v>56</v>
      </c>
      <c r="B47" s="60">
        <v>2.99</v>
      </c>
      <c r="C47" s="59">
        <v>0</v>
      </c>
      <c r="D47" s="59">
        <v>1</v>
      </c>
      <c r="E47" s="59">
        <v>0</v>
      </c>
      <c r="F47" s="61">
        <v>42736</v>
      </c>
      <c r="G47" s="59" t="s">
        <v>64</v>
      </c>
      <c r="H47" s="61">
        <v>42752</v>
      </c>
      <c r="I47" s="59" t="s">
        <v>35</v>
      </c>
    </row>
    <row r="48" spans="1:9" x14ac:dyDescent="0.2">
      <c r="A48" s="59" t="s">
        <v>69</v>
      </c>
      <c r="B48" s="60">
        <v>10</v>
      </c>
      <c r="C48" s="59">
        <v>0</v>
      </c>
      <c r="D48" s="59">
        <v>1</v>
      </c>
      <c r="E48" s="59">
        <v>0</v>
      </c>
      <c r="F48" s="61">
        <v>42736</v>
      </c>
      <c r="G48" s="59" t="s">
        <v>64</v>
      </c>
      <c r="H48" s="61">
        <v>42752</v>
      </c>
      <c r="I48" s="59" t="s">
        <v>35</v>
      </c>
    </row>
    <row r="49" spans="1:9" x14ac:dyDescent="0.2">
      <c r="A49" s="59" t="s">
        <v>70</v>
      </c>
      <c r="B49" s="60">
        <v>20</v>
      </c>
      <c r="C49" s="59">
        <v>0</v>
      </c>
      <c r="D49" s="59">
        <v>1</v>
      </c>
      <c r="E49" s="59">
        <v>0</v>
      </c>
      <c r="F49" s="61">
        <v>42736</v>
      </c>
      <c r="G49" s="59" t="s">
        <v>64</v>
      </c>
      <c r="H49" s="61">
        <v>42753</v>
      </c>
      <c r="I49" s="59" t="s">
        <v>70</v>
      </c>
    </row>
    <row r="50" spans="1:9" x14ac:dyDescent="0.2">
      <c r="A50" s="59" t="s">
        <v>71</v>
      </c>
      <c r="B50" s="60">
        <v>5</v>
      </c>
      <c r="C50" s="59">
        <v>0</v>
      </c>
      <c r="D50" s="59">
        <v>1</v>
      </c>
      <c r="E50" s="59">
        <v>0</v>
      </c>
      <c r="F50" s="61">
        <v>42736</v>
      </c>
      <c r="G50" s="59" t="s">
        <v>64</v>
      </c>
      <c r="H50" s="61">
        <v>42753</v>
      </c>
      <c r="I50" s="59" t="s">
        <v>35</v>
      </c>
    </row>
    <row r="51" spans="1:9" x14ac:dyDescent="0.2">
      <c r="A51" s="59" t="s">
        <v>72</v>
      </c>
      <c r="B51" s="60">
        <v>5</v>
      </c>
      <c r="C51" s="59">
        <v>0</v>
      </c>
      <c r="D51" s="59">
        <v>1</v>
      </c>
      <c r="E51" s="59">
        <v>0</v>
      </c>
      <c r="F51" s="61">
        <v>42736</v>
      </c>
      <c r="G51" s="59" t="s">
        <v>64</v>
      </c>
      <c r="H51" s="61">
        <v>42753</v>
      </c>
      <c r="I51" s="59" t="s">
        <v>35</v>
      </c>
    </row>
    <row r="52" spans="1:9" x14ac:dyDescent="0.2">
      <c r="A52" s="59" t="s">
        <v>34</v>
      </c>
      <c r="B52" s="60">
        <v>3.5</v>
      </c>
      <c r="C52" s="59">
        <v>0</v>
      </c>
      <c r="D52" s="59">
        <v>1</v>
      </c>
      <c r="E52" s="59">
        <v>0</v>
      </c>
      <c r="F52" s="61">
        <v>42736</v>
      </c>
      <c r="G52" s="59" t="s">
        <v>64</v>
      </c>
      <c r="H52" s="61">
        <v>42754</v>
      </c>
      <c r="I52" s="59" t="s">
        <v>35</v>
      </c>
    </row>
    <row r="53" spans="1:9" x14ac:dyDescent="0.2">
      <c r="A53" s="59" t="s">
        <v>70</v>
      </c>
      <c r="B53" s="60">
        <v>10</v>
      </c>
      <c r="C53" s="59">
        <v>0</v>
      </c>
      <c r="D53" s="59">
        <v>1</v>
      </c>
      <c r="E53" s="59">
        <v>0</v>
      </c>
      <c r="F53" s="61">
        <v>42736</v>
      </c>
      <c r="G53" s="59" t="s">
        <v>64</v>
      </c>
      <c r="H53" s="61">
        <v>42754</v>
      </c>
      <c r="I53" s="59" t="s">
        <v>70</v>
      </c>
    </row>
    <row r="54" spans="1:9" x14ac:dyDescent="0.2">
      <c r="A54" s="59" t="s">
        <v>70</v>
      </c>
      <c r="B54" s="60">
        <v>100</v>
      </c>
      <c r="C54" s="59">
        <v>0</v>
      </c>
      <c r="D54" s="59">
        <v>1</v>
      </c>
      <c r="E54" s="59">
        <v>0</v>
      </c>
      <c r="F54" s="61">
        <v>42736</v>
      </c>
      <c r="G54" s="59" t="s">
        <v>64</v>
      </c>
      <c r="H54" s="61">
        <v>42754</v>
      </c>
      <c r="I54" s="59" t="s">
        <v>70</v>
      </c>
    </row>
    <row r="55" spans="1:9" x14ac:dyDescent="0.2">
      <c r="A55" s="59" t="s">
        <v>73</v>
      </c>
      <c r="B55" s="60">
        <v>7.79</v>
      </c>
      <c r="C55" s="59">
        <v>0</v>
      </c>
      <c r="D55" s="59">
        <v>1</v>
      </c>
      <c r="E55" s="59">
        <v>0</v>
      </c>
      <c r="F55" s="61">
        <v>42736</v>
      </c>
      <c r="G55" s="59" t="s">
        <v>64</v>
      </c>
      <c r="H55" s="61">
        <v>42754</v>
      </c>
      <c r="I55" s="59" t="s">
        <v>35</v>
      </c>
    </row>
    <row r="56" spans="1:9" x14ac:dyDescent="0.2">
      <c r="A56" s="59" t="s">
        <v>74</v>
      </c>
      <c r="B56" s="60">
        <v>4</v>
      </c>
      <c r="C56" s="59">
        <v>0</v>
      </c>
      <c r="D56" s="59">
        <v>1</v>
      </c>
      <c r="E56" s="59">
        <v>0</v>
      </c>
      <c r="F56" s="61">
        <v>42736</v>
      </c>
      <c r="G56" s="59" t="s">
        <v>64</v>
      </c>
      <c r="H56" s="61">
        <v>42754</v>
      </c>
      <c r="I56" s="59" t="s">
        <v>35</v>
      </c>
    </row>
    <row r="57" spans="1:9" x14ac:dyDescent="0.2">
      <c r="A57" s="59" t="s">
        <v>75</v>
      </c>
      <c r="B57" s="60">
        <v>9</v>
      </c>
      <c r="C57" s="59">
        <v>0</v>
      </c>
      <c r="D57" s="59">
        <v>1</v>
      </c>
      <c r="E57" s="59">
        <v>0</v>
      </c>
      <c r="F57" s="61">
        <v>42736</v>
      </c>
      <c r="G57" s="59" t="s">
        <v>64</v>
      </c>
      <c r="H57" s="61">
        <v>42754</v>
      </c>
      <c r="I57" s="59" t="s">
        <v>35</v>
      </c>
    </row>
    <row r="58" spans="1:9" x14ac:dyDescent="0.2">
      <c r="A58" s="59" t="s">
        <v>61</v>
      </c>
      <c r="B58" s="60">
        <v>30</v>
      </c>
      <c r="C58" s="59">
        <v>0</v>
      </c>
      <c r="D58" s="59">
        <v>1</v>
      </c>
      <c r="E58" s="59">
        <v>0</v>
      </c>
      <c r="F58" s="61">
        <v>42736</v>
      </c>
      <c r="G58" s="59" t="s">
        <v>64</v>
      </c>
      <c r="H58" s="61">
        <v>42755</v>
      </c>
      <c r="I58" s="59" t="s">
        <v>59</v>
      </c>
    </row>
    <row r="59" spans="1:9" x14ac:dyDescent="0.2">
      <c r="A59" s="59" t="s">
        <v>47</v>
      </c>
      <c r="B59" s="60">
        <v>70</v>
      </c>
      <c r="C59" s="59">
        <v>0</v>
      </c>
      <c r="D59" s="59">
        <v>1</v>
      </c>
      <c r="E59" s="59">
        <v>0</v>
      </c>
      <c r="F59" s="61">
        <v>42736</v>
      </c>
      <c r="G59" s="59" t="s">
        <v>64</v>
      </c>
      <c r="H59" s="61">
        <v>42756</v>
      </c>
      <c r="I59" s="59" t="s">
        <v>47</v>
      </c>
    </row>
    <row r="60" spans="1:9" x14ac:dyDescent="0.2">
      <c r="A60" s="59" t="s">
        <v>70</v>
      </c>
      <c r="B60" s="60">
        <v>10</v>
      </c>
      <c r="C60" s="59">
        <v>0</v>
      </c>
      <c r="D60" s="59">
        <v>1</v>
      </c>
      <c r="E60" s="59">
        <v>0</v>
      </c>
      <c r="F60" s="61">
        <v>42736</v>
      </c>
      <c r="G60" s="59" t="s">
        <v>64</v>
      </c>
      <c r="H60" s="61">
        <v>42756</v>
      </c>
      <c r="I60" s="59" t="s">
        <v>70</v>
      </c>
    </row>
    <row r="61" spans="1:9" x14ac:dyDescent="0.2">
      <c r="A61" s="59" t="s">
        <v>70</v>
      </c>
      <c r="B61" s="60">
        <v>20</v>
      </c>
      <c r="C61" s="59">
        <v>0</v>
      </c>
      <c r="D61" s="59">
        <v>1</v>
      </c>
      <c r="E61" s="59">
        <v>0</v>
      </c>
      <c r="F61" s="61">
        <v>42736</v>
      </c>
      <c r="G61" s="59" t="s">
        <v>64</v>
      </c>
      <c r="H61" s="61">
        <v>42757</v>
      </c>
      <c r="I61" s="59" t="s">
        <v>70</v>
      </c>
    </row>
    <row r="62" spans="1:9" x14ac:dyDescent="0.2">
      <c r="A62" s="59" t="s">
        <v>76</v>
      </c>
      <c r="B62" s="60">
        <v>32.19</v>
      </c>
      <c r="C62" s="59">
        <v>1</v>
      </c>
      <c r="D62" s="59">
        <v>0</v>
      </c>
      <c r="E62" s="59">
        <v>0</v>
      </c>
      <c r="F62" s="61">
        <v>42736</v>
      </c>
      <c r="G62" s="59" t="s">
        <v>77</v>
      </c>
      <c r="H62" s="61">
        <v>42758</v>
      </c>
      <c r="I62" s="59" t="s">
        <v>42</v>
      </c>
    </row>
    <row r="63" spans="1:9" x14ac:dyDescent="0.2">
      <c r="A63" s="59" t="s">
        <v>70</v>
      </c>
      <c r="B63" s="60">
        <v>50</v>
      </c>
      <c r="C63" s="59">
        <v>0</v>
      </c>
      <c r="D63" s="59">
        <v>1</v>
      </c>
      <c r="E63" s="59">
        <v>0</v>
      </c>
      <c r="F63" s="61">
        <v>42736</v>
      </c>
      <c r="G63" s="59" t="s">
        <v>77</v>
      </c>
      <c r="H63" s="61">
        <v>42759</v>
      </c>
      <c r="I63" s="59" t="s">
        <v>70</v>
      </c>
    </row>
    <row r="64" spans="1:9" x14ac:dyDescent="0.2">
      <c r="A64" s="59" t="s">
        <v>75</v>
      </c>
      <c r="B64" s="60">
        <v>16.09</v>
      </c>
      <c r="C64" s="59">
        <v>0</v>
      </c>
      <c r="D64" s="59">
        <v>1</v>
      </c>
      <c r="E64" s="59">
        <v>0</v>
      </c>
      <c r="F64" s="61">
        <v>42736</v>
      </c>
      <c r="G64" s="59" t="s">
        <v>77</v>
      </c>
      <c r="H64" s="61">
        <v>42759</v>
      </c>
      <c r="I64" s="59" t="s">
        <v>35</v>
      </c>
    </row>
    <row r="65" spans="1:9" x14ac:dyDescent="0.2">
      <c r="A65" s="59" t="s">
        <v>78</v>
      </c>
      <c r="B65" s="60">
        <v>14.9</v>
      </c>
      <c r="C65" s="59">
        <v>0</v>
      </c>
      <c r="D65" s="59">
        <v>1</v>
      </c>
      <c r="E65" s="59">
        <v>0</v>
      </c>
      <c r="F65" s="61">
        <v>42736</v>
      </c>
      <c r="G65" s="59" t="s">
        <v>77</v>
      </c>
      <c r="H65" s="61">
        <v>42759</v>
      </c>
      <c r="I65" s="59" t="s">
        <v>35</v>
      </c>
    </row>
    <row r="66" spans="1:9" x14ac:dyDescent="0.2">
      <c r="A66" s="59" t="s">
        <v>79</v>
      </c>
      <c r="B66" s="60">
        <v>6.2</v>
      </c>
      <c r="C66" s="59">
        <v>0</v>
      </c>
      <c r="D66" s="59">
        <v>1</v>
      </c>
      <c r="E66" s="59">
        <v>0</v>
      </c>
      <c r="F66" s="61">
        <v>42736</v>
      </c>
      <c r="G66" s="59" t="s">
        <v>77</v>
      </c>
      <c r="H66" s="61">
        <v>42759</v>
      </c>
      <c r="I66" s="59" t="s">
        <v>35</v>
      </c>
    </row>
    <row r="67" spans="1:9" x14ac:dyDescent="0.2">
      <c r="A67" s="59" t="s">
        <v>80</v>
      </c>
      <c r="B67" s="60">
        <v>2</v>
      </c>
      <c r="C67" s="59">
        <v>0</v>
      </c>
      <c r="D67" s="59">
        <v>1</v>
      </c>
      <c r="E67" s="59">
        <v>0</v>
      </c>
      <c r="F67" s="61">
        <v>42736</v>
      </c>
      <c r="G67" s="59" t="s">
        <v>77</v>
      </c>
      <c r="H67" s="61">
        <v>42760</v>
      </c>
      <c r="I67" s="59" t="s">
        <v>35</v>
      </c>
    </row>
    <row r="68" spans="1:9" x14ac:dyDescent="0.2">
      <c r="A68" s="59" t="s">
        <v>56</v>
      </c>
      <c r="B68" s="60">
        <v>6</v>
      </c>
      <c r="C68" s="59">
        <v>0</v>
      </c>
      <c r="D68" s="59">
        <v>1</v>
      </c>
      <c r="E68" s="59">
        <v>0</v>
      </c>
      <c r="F68" s="61">
        <v>42736</v>
      </c>
      <c r="G68" s="59" t="s">
        <v>77</v>
      </c>
      <c r="H68" s="61">
        <v>42758</v>
      </c>
      <c r="I68" s="59" t="s">
        <v>35</v>
      </c>
    </row>
    <row r="69" spans="1:9" x14ac:dyDescent="0.2">
      <c r="A69" s="59" t="s">
        <v>81</v>
      </c>
      <c r="B69" s="60">
        <v>40</v>
      </c>
      <c r="C69" s="59">
        <v>0</v>
      </c>
      <c r="D69" s="59">
        <v>1</v>
      </c>
      <c r="E69" s="59">
        <v>0</v>
      </c>
      <c r="F69" s="61">
        <v>42736</v>
      </c>
      <c r="G69" s="59" t="s">
        <v>77</v>
      </c>
      <c r="H69" s="61">
        <v>42761</v>
      </c>
      <c r="I69" s="59" t="s">
        <v>81</v>
      </c>
    </row>
    <row r="70" spans="1:9" x14ac:dyDescent="0.2">
      <c r="A70" s="59" t="s">
        <v>82</v>
      </c>
      <c r="B70" s="60">
        <v>15.9</v>
      </c>
      <c r="C70" s="59">
        <v>0</v>
      </c>
      <c r="D70" s="59">
        <v>1</v>
      </c>
      <c r="E70" s="59">
        <v>0</v>
      </c>
      <c r="F70" s="61">
        <v>42736</v>
      </c>
      <c r="G70" s="59" t="s">
        <v>77</v>
      </c>
      <c r="H70" s="61">
        <v>42761</v>
      </c>
      <c r="I70" s="59" t="s">
        <v>82</v>
      </c>
    </row>
    <row r="71" spans="1:9" x14ac:dyDescent="0.2">
      <c r="A71" s="59" t="s">
        <v>75</v>
      </c>
      <c r="B71" s="60">
        <v>6</v>
      </c>
      <c r="C71" s="59">
        <v>0</v>
      </c>
      <c r="D71" s="59">
        <v>1</v>
      </c>
      <c r="E71" s="59">
        <v>0</v>
      </c>
      <c r="F71" s="61">
        <v>42736</v>
      </c>
      <c r="G71" s="59" t="s">
        <v>77</v>
      </c>
      <c r="H71" s="61">
        <v>42761</v>
      </c>
      <c r="I71" s="59" t="s">
        <v>35</v>
      </c>
    </row>
    <row r="72" spans="1:9" x14ac:dyDescent="0.2">
      <c r="A72" s="59" t="s">
        <v>56</v>
      </c>
      <c r="B72" s="60">
        <v>3</v>
      </c>
      <c r="C72" s="59">
        <v>0</v>
      </c>
      <c r="D72" s="59">
        <v>1</v>
      </c>
      <c r="E72" s="59">
        <v>0</v>
      </c>
      <c r="F72" s="61">
        <v>42736</v>
      </c>
      <c r="G72" s="59" t="s">
        <v>77</v>
      </c>
      <c r="H72" s="61">
        <v>42762</v>
      </c>
      <c r="I72" s="59" t="s">
        <v>35</v>
      </c>
    </row>
    <row r="73" spans="1:9" x14ac:dyDescent="0.2">
      <c r="A73" s="59" t="s">
        <v>83</v>
      </c>
      <c r="B73" s="60">
        <v>3.5</v>
      </c>
      <c r="C73" s="59">
        <v>0</v>
      </c>
      <c r="D73" s="59">
        <v>1</v>
      </c>
      <c r="E73" s="59">
        <v>0</v>
      </c>
      <c r="F73" s="61">
        <v>42736</v>
      </c>
      <c r="G73" s="59" t="s">
        <v>77</v>
      </c>
      <c r="H73" s="61">
        <v>42762</v>
      </c>
      <c r="I73" s="59" t="s">
        <v>35</v>
      </c>
    </row>
    <row r="74" spans="1:9" x14ac:dyDescent="0.2">
      <c r="A74" s="59" t="s">
        <v>84</v>
      </c>
      <c r="B74" s="60">
        <v>7</v>
      </c>
      <c r="C74" s="59">
        <v>0</v>
      </c>
      <c r="D74" s="59">
        <v>1</v>
      </c>
      <c r="E74" s="59">
        <v>0</v>
      </c>
      <c r="F74" s="61">
        <v>42736</v>
      </c>
      <c r="G74" s="59" t="s">
        <v>77</v>
      </c>
      <c r="H74" s="61">
        <v>42762</v>
      </c>
      <c r="I74" s="59" t="s">
        <v>35</v>
      </c>
    </row>
    <row r="75" spans="1:9" x14ac:dyDescent="0.2">
      <c r="A75" s="59" t="s">
        <v>85</v>
      </c>
      <c r="B75" s="60">
        <v>6.5</v>
      </c>
      <c r="C75" s="59">
        <v>0</v>
      </c>
      <c r="D75" s="59">
        <v>1</v>
      </c>
      <c r="E75" s="59">
        <v>0</v>
      </c>
      <c r="F75" s="61">
        <v>42736</v>
      </c>
      <c r="G75" s="59" t="s">
        <v>77</v>
      </c>
      <c r="H75" s="61">
        <v>42762</v>
      </c>
      <c r="I75" s="59" t="s">
        <v>35</v>
      </c>
    </row>
    <row r="76" spans="1:9" x14ac:dyDescent="0.2">
      <c r="A76" s="59" t="s">
        <v>56</v>
      </c>
      <c r="B76" s="60">
        <v>3</v>
      </c>
      <c r="C76" s="59">
        <v>0</v>
      </c>
      <c r="D76" s="59">
        <v>1</v>
      </c>
      <c r="E76" s="59">
        <v>0</v>
      </c>
      <c r="F76" s="61">
        <v>42736</v>
      </c>
      <c r="G76" s="59" t="s">
        <v>86</v>
      </c>
      <c r="H76" s="61">
        <v>42765</v>
      </c>
      <c r="I76" s="59" t="s">
        <v>35</v>
      </c>
    </row>
    <row r="77" spans="1:9" x14ac:dyDescent="0.2">
      <c r="A77" s="59" t="s">
        <v>87</v>
      </c>
      <c r="B77" s="60">
        <v>10</v>
      </c>
      <c r="C77" s="59">
        <v>0</v>
      </c>
      <c r="D77" s="59">
        <v>1</v>
      </c>
      <c r="E77" s="59">
        <v>0</v>
      </c>
      <c r="F77" s="61">
        <v>42736</v>
      </c>
      <c r="G77" s="59" t="s">
        <v>86</v>
      </c>
      <c r="H77" s="61">
        <v>42765</v>
      </c>
      <c r="I77" s="59" t="s">
        <v>35</v>
      </c>
    </row>
    <row r="78" spans="1:9" x14ac:dyDescent="0.2">
      <c r="A78" s="59" t="s">
        <v>47</v>
      </c>
      <c r="B78" s="60">
        <v>76</v>
      </c>
      <c r="C78" s="59">
        <v>0</v>
      </c>
      <c r="D78" s="59">
        <v>1</v>
      </c>
      <c r="E78" s="59">
        <v>0</v>
      </c>
      <c r="F78" s="61">
        <v>42736</v>
      </c>
      <c r="G78" s="59" t="s">
        <v>77</v>
      </c>
      <c r="H78" s="61">
        <v>42764</v>
      </c>
      <c r="I78" s="59" t="s">
        <v>47</v>
      </c>
    </row>
    <row r="79" spans="1:9" x14ac:dyDescent="0.2">
      <c r="A79" s="59" t="s">
        <v>70</v>
      </c>
      <c r="B79" s="60">
        <v>20</v>
      </c>
      <c r="C79" s="59">
        <v>0</v>
      </c>
      <c r="D79" s="59">
        <v>1</v>
      </c>
      <c r="E79" s="59">
        <v>0</v>
      </c>
      <c r="F79" s="61">
        <v>42736</v>
      </c>
      <c r="G79" s="59" t="s">
        <v>77</v>
      </c>
      <c r="H79" s="61">
        <v>42763</v>
      </c>
      <c r="I79" s="59" t="s">
        <v>70</v>
      </c>
    </row>
    <row r="80" spans="1:9" x14ac:dyDescent="0.2">
      <c r="A80" s="59" t="s">
        <v>70</v>
      </c>
      <c r="B80" s="60">
        <v>4</v>
      </c>
      <c r="C80" s="59">
        <v>0</v>
      </c>
      <c r="D80" s="59">
        <v>1</v>
      </c>
      <c r="E80" s="59">
        <v>0</v>
      </c>
      <c r="F80" s="61">
        <v>42736</v>
      </c>
      <c r="G80" s="59" t="s">
        <v>77</v>
      </c>
      <c r="H80" s="61">
        <v>42764</v>
      </c>
      <c r="I80" s="59" t="s">
        <v>70</v>
      </c>
    </row>
    <row r="81" spans="1:10" x14ac:dyDescent="0.2">
      <c r="A81" s="62" t="s">
        <v>15</v>
      </c>
      <c r="B81" s="63">
        <v>570.88</v>
      </c>
      <c r="C81" s="62">
        <v>1</v>
      </c>
      <c r="D81" s="62">
        <v>0</v>
      </c>
      <c r="E81" s="62">
        <v>0</v>
      </c>
      <c r="F81" s="64">
        <v>42767</v>
      </c>
      <c r="G81" s="62" t="s">
        <v>16</v>
      </c>
      <c r="H81" s="64">
        <v>42767</v>
      </c>
      <c r="I81" s="62" t="s">
        <v>17</v>
      </c>
    </row>
    <row r="82" spans="1:10" x14ac:dyDescent="0.2">
      <c r="A82" s="62" t="s">
        <v>18</v>
      </c>
      <c r="B82" s="63">
        <v>1211.55</v>
      </c>
      <c r="C82" s="62">
        <v>1</v>
      </c>
      <c r="D82" s="62">
        <v>0</v>
      </c>
      <c r="E82" s="62">
        <v>0</v>
      </c>
      <c r="F82" s="64">
        <v>42767</v>
      </c>
      <c r="G82" s="62" t="s">
        <v>16</v>
      </c>
      <c r="H82" s="64">
        <v>42767</v>
      </c>
      <c r="I82" s="62" t="s">
        <v>17</v>
      </c>
    </row>
    <row r="83" spans="1:10" x14ac:dyDescent="0.2">
      <c r="A83" s="62" t="s">
        <v>19</v>
      </c>
      <c r="B83" s="63">
        <v>9.92</v>
      </c>
      <c r="C83" s="62">
        <v>1</v>
      </c>
      <c r="D83" s="62">
        <v>0</v>
      </c>
      <c r="E83" s="62">
        <v>0</v>
      </c>
      <c r="F83" s="64">
        <v>42767</v>
      </c>
      <c r="G83" s="62" t="s">
        <v>16</v>
      </c>
      <c r="H83" s="64">
        <v>42767</v>
      </c>
      <c r="I83" s="62" t="s">
        <v>17</v>
      </c>
    </row>
    <row r="84" spans="1:10" x14ac:dyDescent="0.2">
      <c r="A84" s="62" t="s">
        <v>20</v>
      </c>
      <c r="B84" s="63">
        <v>0</v>
      </c>
      <c r="C84" s="62">
        <v>1</v>
      </c>
      <c r="D84" s="62">
        <v>0</v>
      </c>
      <c r="E84" s="62">
        <v>0</v>
      </c>
      <c r="F84" s="64">
        <v>42767</v>
      </c>
      <c r="G84" s="62" t="s">
        <v>16</v>
      </c>
      <c r="H84" s="64">
        <v>42767</v>
      </c>
      <c r="I84" s="62" t="s">
        <v>17</v>
      </c>
    </row>
    <row r="85" spans="1:10" x14ac:dyDescent="0.2">
      <c r="A85" s="62" t="s">
        <v>21</v>
      </c>
      <c r="B85" s="63">
        <v>36.96</v>
      </c>
      <c r="C85" s="62">
        <v>1</v>
      </c>
      <c r="D85" s="62">
        <v>0</v>
      </c>
      <c r="E85" s="62">
        <v>0</v>
      </c>
      <c r="F85" s="64">
        <v>42767</v>
      </c>
      <c r="G85" s="62" t="s">
        <v>16</v>
      </c>
      <c r="H85" s="64">
        <v>42767</v>
      </c>
      <c r="I85" s="62" t="s">
        <v>17</v>
      </c>
    </row>
    <row r="86" spans="1:10" x14ac:dyDescent="0.2">
      <c r="A86" s="62" t="s">
        <v>22</v>
      </c>
      <c r="B86" s="63">
        <v>121.62</v>
      </c>
      <c r="C86" s="62">
        <v>1</v>
      </c>
      <c r="D86" s="62">
        <v>0</v>
      </c>
      <c r="E86" s="62">
        <v>0</v>
      </c>
      <c r="F86" s="64">
        <v>42767</v>
      </c>
      <c r="G86" s="62" t="s">
        <v>16</v>
      </c>
      <c r="H86" s="64">
        <v>42767</v>
      </c>
      <c r="I86" s="62" t="s">
        <v>17</v>
      </c>
    </row>
    <row r="87" spans="1:10" x14ac:dyDescent="0.2">
      <c r="A87" s="62" t="s">
        <v>23</v>
      </c>
      <c r="B87" s="63">
        <v>1</v>
      </c>
      <c r="C87" s="62">
        <v>1</v>
      </c>
      <c r="D87" s="62">
        <v>0</v>
      </c>
      <c r="E87" s="62">
        <v>0</v>
      </c>
      <c r="F87" s="64">
        <v>42767</v>
      </c>
      <c r="G87" s="62" t="s">
        <v>16</v>
      </c>
      <c r="H87" s="64">
        <v>42767</v>
      </c>
      <c r="I87" s="62" t="s">
        <v>17</v>
      </c>
    </row>
    <row r="88" spans="1:10" x14ac:dyDescent="0.2">
      <c r="A88" s="62" t="s">
        <v>24</v>
      </c>
      <c r="B88" s="63">
        <v>30</v>
      </c>
      <c r="C88" s="62">
        <v>1</v>
      </c>
      <c r="D88" s="62">
        <v>0</v>
      </c>
      <c r="E88" s="62">
        <v>0</v>
      </c>
      <c r="F88" s="64">
        <v>42767</v>
      </c>
      <c r="G88" s="62" t="s">
        <v>16</v>
      </c>
      <c r="H88" s="64">
        <v>42767</v>
      </c>
      <c r="I88" s="62" t="s">
        <v>17</v>
      </c>
    </row>
    <row r="89" spans="1:10" x14ac:dyDescent="0.2">
      <c r="A89" s="62" t="s">
        <v>25</v>
      </c>
      <c r="B89" s="63">
        <v>17.850000000000001</v>
      </c>
      <c r="C89" s="62">
        <v>1</v>
      </c>
      <c r="D89" s="62">
        <v>0</v>
      </c>
      <c r="E89" s="62">
        <v>0</v>
      </c>
      <c r="F89" s="64">
        <v>42767</v>
      </c>
      <c r="G89" s="62" t="s">
        <v>16</v>
      </c>
      <c r="H89" s="64">
        <v>42767</v>
      </c>
      <c r="I89" s="62" t="s">
        <v>17</v>
      </c>
    </row>
    <row r="90" spans="1:10" x14ac:dyDescent="0.2">
      <c r="A90" s="62" t="s">
        <v>30</v>
      </c>
      <c r="B90" s="63">
        <v>52.4</v>
      </c>
      <c r="C90" s="62">
        <v>1</v>
      </c>
      <c r="D90" s="62">
        <v>0</v>
      </c>
      <c r="E90" s="62">
        <v>0</v>
      </c>
      <c r="F90" s="64">
        <v>42767</v>
      </c>
      <c r="G90" s="62" t="s">
        <v>16</v>
      </c>
      <c r="H90" s="64">
        <v>42768</v>
      </c>
      <c r="I90" s="62" t="s">
        <v>31</v>
      </c>
    </row>
    <row r="91" spans="1:10" x14ac:dyDescent="0.2">
      <c r="A91" s="62" t="s">
        <v>41</v>
      </c>
      <c r="B91" s="63">
        <v>0</v>
      </c>
      <c r="C91" s="62">
        <v>1</v>
      </c>
      <c r="D91" s="62">
        <v>0</v>
      </c>
      <c r="E91" s="62">
        <v>1</v>
      </c>
      <c r="F91" s="64">
        <v>42767</v>
      </c>
      <c r="G91" s="62"/>
      <c r="H91" s="64"/>
      <c r="I91" s="62" t="s">
        <v>42</v>
      </c>
      <c r="J91" s="63"/>
    </row>
    <row r="92" spans="1:10" x14ac:dyDescent="0.2">
      <c r="A92" s="62" t="s">
        <v>48</v>
      </c>
      <c r="B92" s="63">
        <v>0</v>
      </c>
      <c r="C92" s="62">
        <v>1</v>
      </c>
      <c r="D92" s="62">
        <v>0</v>
      </c>
      <c r="E92" s="62">
        <v>1</v>
      </c>
      <c r="F92" s="64">
        <v>42767</v>
      </c>
      <c r="G92" s="62"/>
      <c r="H92" s="64"/>
      <c r="I92" s="62" t="s">
        <v>42</v>
      </c>
      <c r="J92" s="63"/>
    </row>
    <row r="93" spans="1:10" x14ac:dyDescent="0.2">
      <c r="A93" s="62" t="s">
        <v>45</v>
      </c>
      <c r="B93" s="63">
        <v>73.09</v>
      </c>
      <c r="C93" s="62">
        <v>1</v>
      </c>
      <c r="D93" s="62">
        <v>0</v>
      </c>
      <c r="E93" s="62">
        <v>0</v>
      </c>
      <c r="F93" s="64">
        <v>42767</v>
      </c>
      <c r="G93" s="62" t="s">
        <v>16</v>
      </c>
      <c r="H93" s="64">
        <v>42768</v>
      </c>
      <c r="I93" s="62" t="s">
        <v>42</v>
      </c>
    </row>
    <row r="94" spans="1:10" x14ac:dyDescent="0.2">
      <c r="A94" s="62" t="s">
        <v>52</v>
      </c>
      <c r="B94" s="63">
        <v>45.2</v>
      </c>
      <c r="C94" s="62">
        <v>1</v>
      </c>
      <c r="D94" s="62">
        <v>0</v>
      </c>
      <c r="E94" s="62">
        <v>0</v>
      </c>
      <c r="F94" s="64">
        <v>42767</v>
      </c>
      <c r="G94" s="62" t="s">
        <v>49</v>
      </c>
      <c r="H94" s="64">
        <v>42776</v>
      </c>
      <c r="I94" s="62" t="s">
        <v>31</v>
      </c>
    </row>
    <row r="95" spans="1:10" x14ac:dyDescent="0.2">
      <c r="A95" s="62" t="s">
        <v>26</v>
      </c>
      <c r="B95" s="63">
        <f>SUMIFS(credito!$B$2:$B$192,credito!$F$2:$F$192,F95,credito!$G$2:$G$192,0)</f>
        <v>4934.8099999999995</v>
      </c>
      <c r="C95" s="62">
        <v>1</v>
      </c>
      <c r="D95" s="62">
        <v>0</v>
      </c>
      <c r="E95" s="62">
        <v>0</v>
      </c>
      <c r="F95" s="64">
        <v>42767</v>
      </c>
      <c r="G95" s="65" t="s">
        <v>16</v>
      </c>
      <c r="H95" s="64">
        <v>42768</v>
      </c>
      <c r="I95" s="62" t="s">
        <v>27</v>
      </c>
      <c r="J95" s="60"/>
    </row>
    <row r="96" spans="1:10" x14ac:dyDescent="0.2">
      <c r="A96" s="62" t="s">
        <v>63</v>
      </c>
      <c r="B96" s="63">
        <v>636</v>
      </c>
      <c r="C96" s="62">
        <v>1</v>
      </c>
      <c r="D96" s="62">
        <v>0</v>
      </c>
      <c r="E96" s="62">
        <v>0</v>
      </c>
      <c r="F96" s="64">
        <v>42767</v>
      </c>
      <c r="G96" s="62" t="s">
        <v>49</v>
      </c>
      <c r="H96" s="64">
        <v>42781</v>
      </c>
      <c r="I96" s="62" t="s">
        <v>65</v>
      </c>
    </row>
    <row r="97" spans="1:9" x14ac:dyDescent="0.2">
      <c r="A97" s="62" t="s">
        <v>53</v>
      </c>
      <c r="B97" s="63">
        <v>158</v>
      </c>
      <c r="C97" s="62">
        <v>1</v>
      </c>
      <c r="D97" s="62">
        <v>0</v>
      </c>
      <c r="E97" s="62">
        <v>0</v>
      </c>
      <c r="F97" s="64">
        <v>42767</v>
      </c>
      <c r="G97" s="62" t="s">
        <v>49</v>
      </c>
      <c r="H97" s="64">
        <v>42781</v>
      </c>
      <c r="I97" s="62" t="s">
        <v>53</v>
      </c>
    </row>
    <row r="98" spans="1:9" x14ac:dyDescent="0.2">
      <c r="A98" s="62" t="s">
        <v>39</v>
      </c>
      <c r="B98" s="63">
        <v>230</v>
      </c>
      <c r="C98" s="62">
        <v>1</v>
      </c>
      <c r="D98" s="62">
        <v>0</v>
      </c>
      <c r="E98" s="62">
        <v>0</v>
      </c>
      <c r="F98" s="64">
        <v>42767</v>
      </c>
      <c r="G98" s="62" t="s">
        <v>49</v>
      </c>
      <c r="H98" s="64">
        <v>42779</v>
      </c>
      <c r="I98" s="62" t="s">
        <v>40</v>
      </c>
    </row>
    <row r="99" spans="1:9" x14ac:dyDescent="0.2">
      <c r="A99" s="62" t="s">
        <v>76</v>
      </c>
      <c r="B99" s="63">
        <v>32.03</v>
      </c>
      <c r="C99" s="62">
        <v>1</v>
      </c>
      <c r="D99" s="62">
        <v>0</v>
      </c>
      <c r="E99" s="62">
        <v>0</v>
      </c>
      <c r="F99" s="64">
        <v>42767</v>
      </c>
      <c r="G99" s="62" t="s">
        <v>64</v>
      </c>
      <c r="H99" s="64">
        <v>42783</v>
      </c>
      <c r="I99" s="62" t="s">
        <v>42</v>
      </c>
    </row>
    <row r="100" spans="1:9" x14ac:dyDescent="0.2">
      <c r="A100" s="62" t="s">
        <v>54</v>
      </c>
      <c r="B100" s="63">
        <v>5.79</v>
      </c>
      <c r="C100" s="62">
        <v>1</v>
      </c>
      <c r="D100" s="62">
        <v>0</v>
      </c>
      <c r="E100" s="62">
        <v>0</v>
      </c>
      <c r="F100" s="64">
        <v>42767</v>
      </c>
      <c r="G100" s="62" t="s">
        <v>49</v>
      </c>
      <c r="H100" s="64">
        <v>42781</v>
      </c>
      <c r="I100" s="62" t="s">
        <v>31</v>
      </c>
    </row>
    <row r="101" spans="1:9" x14ac:dyDescent="0.2">
      <c r="A101" s="62" t="s">
        <v>66</v>
      </c>
      <c r="B101" s="63">
        <v>50</v>
      </c>
      <c r="C101" s="62">
        <v>1</v>
      </c>
      <c r="D101" s="62">
        <v>0</v>
      </c>
      <c r="E101" s="62">
        <v>0</v>
      </c>
      <c r="F101" s="64">
        <v>42767</v>
      </c>
      <c r="G101" s="62" t="s">
        <v>49</v>
      </c>
      <c r="H101" s="64">
        <v>42781</v>
      </c>
      <c r="I101" s="62" t="s">
        <v>67</v>
      </c>
    </row>
    <row r="102" spans="1:9" x14ac:dyDescent="0.2">
      <c r="A102" s="62" t="s">
        <v>46</v>
      </c>
      <c r="B102" s="63">
        <v>200</v>
      </c>
      <c r="C102" s="62">
        <v>0</v>
      </c>
      <c r="D102" s="62">
        <v>1</v>
      </c>
      <c r="E102" s="62">
        <v>0</v>
      </c>
      <c r="F102" s="64">
        <v>42767</v>
      </c>
      <c r="G102" s="62" t="s">
        <v>16</v>
      </c>
      <c r="H102" s="64">
        <v>42768</v>
      </c>
      <c r="I102" s="62" t="s">
        <v>33</v>
      </c>
    </row>
    <row r="103" spans="1:9" x14ac:dyDescent="0.2">
      <c r="A103" s="62" t="s">
        <v>88</v>
      </c>
      <c r="B103" s="63">
        <v>815.9</v>
      </c>
      <c r="C103" s="62">
        <v>0</v>
      </c>
      <c r="D103" s="62">
        <v>1</v>
      </c>
      <c r="E103" s="62">
        <v>0</v>
      </c>
      <c r="F103" s="64">
        <v>42767</v>
      </c>
      <c r="G103" s="62" t="s">
        <v>49</v>
      </c>
      <c r="H103" s="64">
        <v>42783</v>
      </c>
      <c r="I103" s="62" t="s">
        <v>33</v>
      </c>
    </row>
    <row r="104" spans="1:9" x14ac:dyDescent="0.2">
      <c r="A104" s="62" t="s">
        <v>56</v>
      </c>
      <c r="B104" s="63">
        <v>3</v>
      </c>
      <c r="C104" s="62">
        <v>0</v>
      </c>
      <c r="D104" s="62">
        <v>1</v>
      </c>
      <c r="E104" s="62">
        <v>0</v>
      </c>
      <c r="F104" s="64">
        <v>42767</v>
      </c>
      <c r="G104" s="62" t="s">
        <v>16</v>
      </c>
      <c r="H104" s="64">
        <v>42767</v>
      </c>
      <c r="I104" s="62" t="s">
        <v>35</v>
      </c>
    </row>
    <row r="105" spans="1:9" x14ac:dyDescent="0.2">
      <c r="A105" s="62" t="s">
        <v>89</v>
      </c>
      <c r="B105" s="63">
        <v>5</v>
      </c>
      <c r="C105" s="62">
        <v>0</v>
      </c>
      <c r="D105" s="62">
        <v>1</v>
      </c>
      <c r="E105" s="62">
        <v>0</v>
      </c>
      <c r="F105" s="64">
        <v>42767</v>
      </c>
      <c r="G105" s="62" t="s">
        <v>16</v>
      </c>
      <c r="H105" s="64">
        <v>42767</v>
      </c>
      <c r="I105" s="62" t="s">
        <v>35</v>
      </c>
    </row>
    <row r="106" spans="1:9" x14ac:dyDescent="0.2">
      <c r="A106" s="62" t="s">
        <v>90</v>
      </c>
      <c r="B106" s="63">
        <v>6.5</v>
      </c>
      <c r="C106" s="62">
        <v>0</v>
      </c>
      <c r="D106" s="62">
        <v>1</v>
      </c>
      <c r="E106" s="62">
        <v>0</v>
      </c>
      <c r="F106" s="64">
        <v>42767</v>
      </c>
      <c r="G106" s="62" t="s">
        <v>16</v>
      </c>
      <c r="H106" s="64">
        <v>42767</v>
      </c>
      <c r="I106" s="62" t="s">
        <v>35</v>
      </c>
    </row>
    <row r="107" spans="1:9" x14ac:dyDescent="0.2">
      <c r="A107" s="62" t="s">
        <v>91</v>
      </c>
      <c r="B107" s="63">
        <v>10</v>
      </c>
      <c r="C107" s="62">
        <v>0</v>
      </c>
      <c r="D107" s="62">
        <v>1</v>
      </c>
      <c r="E107" s="62">
        <v>0</v>
      </c>
      <c r="F107" s="64">
        <v>42767</v>
      </c>
      <c r="G107" s="62" t="s">
        <v>16</v>
      </c>
      <c r="H107" s="64">
        <v>42768</v>
      </c>
      <c r="I107" s="62" t="s">
        <v>91</v>
      </c>
    </row>
    <row r="108" spans="1:9" x14ac:dyDescent="0.2">
      <c r="A108" s="62" t="s">
        <v>92</v>
      </c>
      <c r="B108" s="63">
        <v>5</v>
      </c>
      <c r="C108" s="62">
        <v>0</v>
      </c>
      <c r="D108" s="62">
        <v>1</v>
      </c>
      <c r="E108" s="62">
        <v>0</v>
      </c>
      <c r="F108" s="64">
        <v>42767</v>
      </c>
      <c r="G108" s="62" t="s">
        <v>16</v>
      </c>
      <c r="H108" s="64">
        <v>42770</v>
      </c>
      <c r="I108" s="62" t="s">
        <v>35</v>
      </c>
    </row>
    <row r="109" spans="1:9" x14ac:dyDescent="0.2">
      <c r="A109" s="62" t="s">
        <v>93</v>
      </c>
      <c r="B109" s="63">
        <v>3.98</v>
      </c>
      <c r="C109" s="62">
        <v>0</v>
      </c>
      <c r="D109" s="62">
        <v>1</v>
      </c>
      <c r="E109" s="62">
        <v>0</v>
      </c>
      <c r="F109" s="64">
        <v>42767</v>
      </c>
      <c r="G109" s="62" t="s">
        <v>16</v>
      </c>
      <c r="H109" s="64">
        <v>42770</v>
      </c>
      <c r="I109" s="62" t="s">
        <v>35</v>
      </c>
    </row>
    <row r="110" spans="1:9" x14ac:dyDescent="0.2">
      <c r="A110" s="62" t="s">
        <v>94</v>
      </c>
      <c r="B110" s="63">
        <v>120</v>
      </c>
      <c r="C110" s="62">
        <v>0</v>
      </c>
      <c r="D110" s="62">
        <v>1</v>
      </c>
      <c r="E110" s="62">
        <v>0</v>
      </c>
      <c r="F110" s="64">
        <v>42767</v>
      </c>
      <c r="G110" s="62" t="s">
        <v>16</v>
      </c>
      <c r="H110" s="64">
        <v>42771</v>
      </c>
      <c r="I110" s="62" t="s">
        <v>59</v>
      </c>
    </row>
    <row r="111" spans="1:9" x14ac:dyDescent="0.2">
      <c r="A111" s="62" t="s">
        <v>47</v>
      </c>
      <c r="B111" s="63">
        <v>80</v>
      </c>
      <c r="C111" s="62">
        <v>0</v>
      </c>
      <c r="D111" s="62">
        <v>1</v>
      </c>
      <c r="E111" s="62">
        <v>0</v>
      </c>
      <c r="F111" s="64">
        <v>42767</v>
      </c>
      <c r="G111" s="62" t="s">
        <v>16</v>
      </c>
      <c r="H111" s="64">
        <v>42771</v>
      </c>
      <c r="I111" s="62" t="s">
        <v>47</v>
      </c>
    </row>
    <row r="112" spans="1:9" x14ac:dyDescent="0.2">
      <c r="A112" s="62" t="s">
        <v>95</v>
      </c>
      <c r="B112" s="63">
        <v>60</v>
      </c>
      <c r="C112" s="62">
        <v>0</v>
      </c>
      <c r="D112" s="62">
        <v>1</v>
      </c>
      <c r="E112" s="62">
        <v>0</v>
      </c>
      <c r="F112" s="64">
        <v>42767</v>
      </c>
      <c r="G112" s="62" t="s">
        <v>16</v>
      </c>
      <c r="H112" s="64">
        <v>42771</v>
      </c>
      <c r="I112" s="62" t="s">
        <v>59</v>
      </c>
    </row>
    <row r="113" spans="1:10" x14ac:dyDescent="0.2">
      <c r="A113" s="62" t="s">
        <v>96</v>
      </c>
      <c r="B113" s="63">
        <v>6.5</v>
      </c>
      <c r="C113" s="62">
        <v>0</v>
      </c>
      <c r="D113" s="62">
        <v>1</v>
      </c>
      <c r="E113" s="62">
        <v>0</v>
      </c>
      <c r="F113" s="64">
        <v>42767</v>
      </c>
      <c r="G113" s="62" t="s">
        <v>49</v>
      </c>
      <c r="H113" s="64">
        <v>42772</v>
      </c>
      <c r="I113" s="62" t="s">
        <v>35</v>
      </c>
    </row>
    <row r="114" spans="1:10" x14ac:dyDescent="0.2">
      <c r="A114" s="62" t="s">
        <v>50</v>
      </c>
      <c r="B114" s="63">
        <v>0</v>
      </c>
      <c r="C114" s="62">
        <v>0</v>
      </c>
      <c r="D114" s="62">
        <v>1</v>
      </c>
      <c r="E114" s="62">
        <v>1</v>
      </c>
      <c r="F114" s="64">
        <v>42767</v>
      </c>
      <c r="G114" s="62" t="s">
        <v>64</v>
      </c>
      <c r="H114" s="64"/>
      <c r="I114" s="62" t="s">
        <v>50</v>
      </c>
    </row>
    <row r="115" spans="1:10" x14ac:dyDescent="0.2">
      <c r="A115" s="62" t="s">
        <v>99</v>
      </c>
      <c r="B115" s="63">
        <v>30</v>
      </c>
      <c r="C115" s="62">
        <v>0</v>
      </c>
      <c r="D115" s="62">
        <v>1</v>
      </c>
      <c r="E115" s="62">
        <v>0</v>
      </c>
      <c r="F115" s="64">
        <v>42767</v>
      </c>
      <c r="G115" s="62" t="s">
        <v>49</v>
      </c>
      <c r="H115" s="64">
        <v>42778</v>
      </c>
      <c r="I115" s="62" t="s">
        <v>81</v>
      </c>
      <c r="J115" s="63"/>
    </row>
    <row r="116" spans="1:10" x14ac:dyDescent="0.2">
      <c r="A116" s="62" t="s">
        <v>100</v>
      </c>
      <c r="B116" s="63">
        <v>12.5</v>
      </c>
      <c r="C116" s="62">
        <v>0</v>
      </c>
      <c r="D116" s="62">
        <v>1</v>
      </c>
      <c r="E116" s="62">
        <v>0</v>
      </c>
      <c r="F116" s="64">
        <v>42767</v>
      </c>
      <c r="G116" s="62" t="s">
        <v>64</v>
      </c>
      <c r="H116" s="64">
        <v>42779</v>
      </c>
      <c r="I116" s="62" t="s">
        <v>35</v>
      </c>
      <c r="J116" s="63"/>
    </row>
    <row r="117" spans="1:10" x14ac:dyDescent="0.2">
      <c r="A117" s="62" t="s">
        <v>61</v>
      </c>
      <c r="B117" s="63">
        <v>30</v>
      </c>
      <c r="C117" s="62">
        <v>0</v>
      </c>
      <c r="D117" s="62">
        <v>1</v>
      </c>
      <c r="E117" s="62">
        <v>0</v>
      </c>
      <c r="F117" s="64">
        <v>42767</v>
      </c>
      <c r="G117" s="62" t="s">
        <v>49</v>
      </c>
      <c r="H117" s="64">
        <v>42777</v>
      </c>
      <c r="I117" s="62" t="s">
        <v>59</v>
      </c>
      <c r="J117" s="63"/>
    </row>
    <row r="118" spans="1:10" x14ac:dyDescent="0.2">
      <c r="A118" s="62" t="s">
        <v>47</v>
      </c>
      <c r="B118" s="63">
        <v>70</v>
      </c>
      <c r="C118" s="62">
        <v>0</v>
      </c>
      <c r="D118" s="62">
        <v>1</v>
      </c>
      <c r="E118" s="62">
        <v>0</v>
      </c>
      <c r="F118" s="64">
        <v>42767</v>
      </c>
      <c r="G118" s="62" t="s">
        <v>49</v>
      </c>
      <c r="H118" s="64">
        <v>42778</v>
      </c>
      <c r="I118" s="62" t="s">
        <v>47</v>
      </c>
      <c r="J118" s="63"/>
    </row>
    <row r="119" spans="1:10" x14ac:dyDescent="0.2">
      <c r="A119" s="62" t="s">
        <v>101</v>
      </c>
      <c r="B119" s="63">
        <v>33.369999999999997</v>
      </c>
      <c r="C119" s="62">
        <v>0</v>
      </c>
      <c r="D119" s="62">
        <v>1</v>
      </c>
      <c r="E119" s="62">
        <v>0</v>
      </c>
      <c r="F119" s="64">
        <v>42767</v>
      </c>
      <c r="G119" s="62" t="s">
        <v>49</v>
      </c>
      <c r="H119" s="64">
        <v>42778</v>
      </c>
      <c r="I119" s="62" t="s">
        <v>29</v>
      </c>
      <c r="J119" s="63"/>
    </row>
    <row r="120" spans="1:10" x14ac:dyDescent="0.2">
      <c r="A120" s="62" t="s">
        <v>102</v>
      </c>
      <c r="B120" s="63">
        <v>27</v>
      </c>
      <c r="C120" s="62">
        <v>0</v>
      </c>
      <c r="D120" s="62">
        <v>1</v>
      </c>
      <c r="E120" s="62">
        <v>0</v>
      </c>
      <c r="F120" s="64">
        <v>42767</v>
      </c>
      <c r="G120" s="62" t="s">
        <v>64</v>
      </c>
      <c r="H120" s="64">
        <v>42780</v>
      </c>
      <c r="I120" s="62" t="s">
        <v>59</v>
      </c>
      <c r="J120" s="63"/>
    </row>
    <row r="121" spans="1:10" x14ac:dyDescent="0.2">
      <c r="A121" s="62" t="s">
        <v>83</v>
      </c>
      <c r="B121" s="63">
        <v>5</v>
      </c>
      <c r="C121" s="62">
        <v>0</v>
      </c>
      <c r="D121" s="62">
        <v>1</v>
      </c>
      <c r="E121" s="62">
        <v>0</v>
      </c>
      <c r="F121" s="64">
        <v>42767</v>
      </c>
      <c r="G121" s="62" t="s">
        <v>64</v>
      </c>
      <c r="H121" s="64">
        <v>42780</v>
      </c>
      <c r="I121" s="62" t="s">
        <v>35</v>
      </c>
      <c r="J121" s="63"/>
    </row>
    <row r="122" spans="1:10" x14ac:dyDescent="0.2">
      <c r="A122" s="62" t="s">
        <v>56</v>
      </c>
      <c r="B122" s="63">
        <v>3</v>
      </c>
      <c r="C122" s="62">
        <v>0</v>
      </c>
      <c r="D122" s="62">
        <v>1</v>
      </c>
      <c r="E122" s="62">
        <v>0</v>
      </c>
      <c r="F122" s="64">
        <v>42767</v>
      </c>
      <c r="G122" s="62" t="s">
        <v>64</v>
      </c>
      <c r="H122" s="64">
        <v>42779</v>
      </c>
      <c r="I122" s="62" t="s">
        <v>35</v>
      </c>
      <c r="J122" s="63"/>
    </row>
    <row r="123" spans="1:10" x14ac:dyDescent="0.2">
      <c r="A123" s="62" t="s">
        <v>83</v>
      </c>
      <c r="B123" s="63">
        <v>3.5</v>
      </c>
      <c r="C123" s="62">
        <v>0</v>
      </c>
      <c r="D123" s="62">
        <v>1</v>
      </c>
      <c r="E123" s="62">
        <v>0</v>
      </c>
      <c r="F123" s="64">
        <v>42767</v>
      </c>
      <c r="G123" s="62" t="s">
        <v>64</v>
      </c>
      <c r="H123" s="64">
        <v>42779</v>
      </c>
      <c r="I123" s="62" t="s">
        <v>35</v>
      </c>
      <c r="J123" s="63"/>
    </row>
    <row r="124" spans="1:10" x14ac:dyDescent="0.2">
      <c r="A124" s="62" t="s">
        <v>103</v>
      </c>
      <c r="B124" s="63">
        <v>16.600000000000001</v>
      </c>
      <c r="C124" s="62">
        <v>0</v>
      </c>
      <c r="D124" s="62">
        <v>1</v>
      </c>
      <c r="E124" s="62">
        <v>0</v>
      </c>
      <c r="F124" s="64">
        <v>42767</v>
      </c>
      <c r="G124" s="62" t="s">
        <v>64</v>
      </c>
      <c r="H124" s="64">
        <v>42781</v>
      </c>
      <c r="I124" s="62" t="s">
        <v>31</v>
      </c>
      <c r="J124" s="63"/>
    </row>
    <row r="125" spans="1:10" x14ac:dyDescent="0.2">
      <c r="A125" s="62" t="s">
        <v>75</v>
      </c>
      <c r="B125" s="63">
        <v>7</v>
      </c>
      <c r="C125" s="62">
        <v>0</v>
      </c>
      <c r="D125" s="62">
        <v>1</v>
      </c>
      <c r="E125" s="62">
        <v>0</v>
      </c>
      <c r="F125" s="64">
        <v>42767</v>
      </c>
      <c r="G125" s="62" t="s">
        <v>64</v>
      </c>
      <c r="H125" s="64">
        <v>42780</v>
      </c>
      <c r="I125" s="62" t="s">
        <v>35</v>
      </c>
      <c r="J125" s="63"/>
    </row>
    <row r="126" spans="1:10" x14ac:dyDescent="0.2">
      <c r="A126" s="62" t="s">
        <v>99</v>
      </c>
      <c r="B126" s="63">
        <v>28</v>
      </c>
      <c r="C126" s="62">
        <v>0</v>
      </c>
      <c r="D126" s="62">
        <v>1</v>
      </c>
      <c r="E126" s="62">
        <v>0</v>
      </c>
      <c r="F126" s="64">
        <v>42767</v>
      </c>
      <c r="G126" s="62" t="s">
        <v>64</v>
      </c>
      <c r="H126" s="64">
        <v>42783</v>
      </c>
      <c r="I126" s="62" t="s">
        <v>81</v>
      </c>
      <c r="J126" s="63"/>
    </row>
    <row r="127" spans="1:10" x14ac:dyDescent="0.2">
      <c r="A127" s="62" t="s">
        <v>82</v>
      </c>
      <c r="B127" s="63">
        <v>110</v>
      </c>
      <c r="C127" s="62">
        <v>0</v>
      </c>
      <c r="D127" s="62">
        <v>1</v>
      </c>
      <c r="E127" s="62">
        <v>0</v>
      </c>
      <c r="F127" s="64">
        <v>42767</v>
      </c>
      <c r="G127" s="62" t="s">
        <v>64</v>
      </c>
      <c r="H127" s="64">
        <v>42785</v>
      </c>
      <c r="I127" s="62" t="s">
        <v>82</v>
      </c>
      <c r="J127" s="63"/>
    </row>
    <row r="128" spans="1:10" x14ac:dyDescent="0.2">
      <c r="A128" s="62" t="s">
        <v>104</v>
      </c>
      <c r="B128" s="63">
        <v>109.18</v>
      </c>
      <c r="C128" s="62">
        <v>0</v>
      </c>
      <c r="D128" s="62">
        <v>1</v>
      </c>
      <c r="E128" s="62">
        <v>0</v>
      </c>
      <c r="F128" s="64">
        <v>42767</v>
      </c>
      <c r="G128" s="62" t="s">
        <v>64</v>
      </c>
      <c r="H128" s="64">
        <v>42785</v>
      </c>
      <c r="I128" s="62" t="s">
        <v>104</v>
      </c>
      <c r="J128" s="63"/>
    </row>
    <row r="129" spans="1:10" x14ac:dyDescent="0.2">
      <c r="A129" s="62" t="s">
        <v>104</v>
      </c>
      <c r="B129" s="63">
        <v>24.1</v>
      </c>
      <c r="C129" s="62">
        <v>0</v>
      </c>
      <c r="D129" s="62">
        <v>1</v>
      </c>
      <c r="E129" s="62">
        <v>0</v>
      </c>
      <c r="F129" s="64">
        <v>42767</v>
      </c>
      <c r="G129" s="62" t="s">
        <v>64</v>
      </c>
      <c r="H129" s="64">
        <v>42788</v>
      </c>
      <c r="I129" s="62" t="s">
        <v>104</v>
      </c>
      <c r="J129" s="63"/>
    </row>
    <row r="130" spans="1:10" x14ac:dyDescent="0.2">
      <c r="A130" s="62" t="s">
        <v>84</v>
      </c>
      <c r="B130" s="63">
        <v>9</v>
      </c>
      <c r="C130" s="62">
        <v>0</v>
      </c>
      <c r="D130" s="62">
        <v>1</v>
      </c>
      <c r="E130" s="62">
        <v>0</v>
      </c>
      <c r="F130" s="64">
        <v>42767</v>
      </c>
      <c r="G130" s="62" t="s">
        <v>64</v>
      </c>
      <c r="H130" s="64">
        <v>42788</v>
      </c>
      <c r="I130" s="62" t="s">
        <v>35</v>
      </c>
      <c r="J130" s="63"/>
    </row>
    <row r="131" spans="1:10" x14ac:dyDescent="0.2">
      <c r="A131" s="62" t="s">
        <v>83</v>
      </c>
      <c r="B131" s="63">
        <v>4</v>
      </c>
      <c r="C131" s="62">
        <v>0</v>
      </c>
      <c r="D131" s="62">
        <v>1</v>
      </c>
      <c r="E131" s="62">
        <v>0</v>
      </c>
      <c r="F131" s="64">
        <v>42767</v>
      </c>
      <c r="G131" s="62" t="s">
        <v>64</v>
      </c>
      <c r="H131" s="64">
        <v>42789</v>
      </c>
      <c r="I131" s="62" t="s">
        <v>35</v>
      </c>
      <c r="J131" s="63"/>
    </row>
    <row r="132" spans="1:10" x14ac:dyDescent="0.2">
      <c r="A132" s="62" t="s">
        <v>83</v>
      </c>
      <c r="B132" s="63">
        <v>4</v>
      </c>
      <c r="C132" s="62">
        <v>0</v>
      </c>
      <c r="D132" s="62">
        <v>1</v>
      </c>
      <c r="E132" s="62">
        <v>0</v>
      </c>
      <c r="F132" s="64">
        <v>42767</v>
      </c>
      <c r="G132" s="62" t="s">
        <v>64</v>
      </c>
      <c r="H132" s="64">
        <v>42790</v>
      </c>
      <c r="I132" s="62" t="s">
        <v>35</v>
      </c>
      <c r="J132" s="63"/>
    </row>
    <row r="133" spans="1:10" x14ac:dyDescent="0.2">
      <c r="A133" s="62" t="s">
        <v>105</v>
      </c>
      <c r="B133" s="63">
        <v>19.899999999999999</v>
      </c>
      <c r="C133" s="62">
        <v>0</v>
      </c>
      <c r="D133" s="62">
        <v>1</v>
      </c>
      <c r="E133" s="62">
        <v>0</v>
      </c>
      <c r="F133" s="64">
        <v>42767</v>
      </c>
      <c r="G133" s="62" t="s">
        <v>64</v>
      </c>
      <c r="H133" s="64">
        <v>42791</v>
      </c>
      <c r="I133" s="62" t="s">
        <v>59</v>
      </c>
      <c r="J133" s="63"/>
    </row>
    <row r="134" spans="1:10" x14ac:dyDescent="0.2">
      <c r="A134" s="62" t="s">
        <v>106</v>
      </c>
      <c r="B134" s="63">
        <v>10</v>
      </c>
      <c r="C134" s="62">
        <v>0</v>
      </c>
      <c r="D134" s="62">
        <v>1</v>
      </c>
      <c r="E134" s="62">
        <v>0</v>
      </c>
      <c r="F134" s="64">
        <v>42767</v>
      </c>
      <c r="G134" s="62" t="s">
        <v>64</v>
      </c>
      <c r="H134" s="64">
        <v>42791</v>
      </c>
      <c r="I134" s="62" t="s">
        <v>59</v>
      </c>
      <c r="J134" s="63"/>
    </row>
    <row r="135" spans="1:10" x14ac:dyDescent="0.2">
      <c r="A135" s="62" t="s">
        <v>107</v>
      </c>
      <c r="B135" s="63">
        <v>8.9600000000000009</v>
      </c>
      <c r="C135" s="62">
        <v>0</v>
      </c>
      <c r="D135" s="62">
        <v>1</v>
      </c>
      <c r="E135" s="62">
        <v>0</v>
      </c>
      <c r="F135" s="64">
        <v>42767</v>
      </c>
      <c r="G135" s="62" t="s">
        <v>64</v>
      </c>
      <c r="H135" s="64">
        <v>42791</v>
      </c>
      <c r="I135" s="62" t="s">
        <v>29</v>
      </c>
      <c r="J135" s="63"/>
    </row>
    <row r="136" spans="1:10" x14ac:dyDescent="0.2">
      <c r="A136" s="62" t="s">
        <v>108</v>
      </c>
      <c r="B136" s="63">
        <v>123.05</v>
      </c>
      <c r="C136" s="62">
        <v>0</v>
      </c>
      <c r="D136" s="62">
        <v>1</v>
      </c>
      <c r="E136" s="62">
        <v>0</v>
      </c>
      <c r="F136" s="64">
        <v>42767</v>
      </c>
      <c r="G136" s="62" t="s">
        <v>64</v>
      </c>
      <c r="H136" s="64">
        <v>42791</v>
      </c>
      <c r="I136" s="62" t="s">
        <v>29</v>
      </c>
      <c r="J136" s="63"/>
    </row>
    <row r="137" spans="1:10" x14ac:dyDescent="0.2">
      <c r="A137" s="62" t="s">
        <v>109</v>
      </c>
      <c r="B137" s="63">
        <v>49.9</v>
      </c>
      <c r="C137" s="62">
        <v>0</v>
      </c>
      <c r="D137" s="62">
        <v>1</v>
      </c>
      <c r="E137" s="62">
        <v>0</v>
      </c>
      <c r="F137" s="64">
        <v>42767</v>
      </c>
      <c r="G137" s="62" t="s">
        <v>64</v>
      </c>
      <c r="H137" s="64">
        <v>42792</v>
      </c>
      <c r="I137" s="62" t="s">
        <v>42</v>
      </c>
      <c r="J137" s="63"/>
    </row>
    <row r="138" spans="1:10" x14ac:dyDescent="0.2">
      <c r="A138" s="62" t="s">
        <v>110</v>
      </c>
      <c r="B138" s="63">
        <v>7</v>
      </c>
      <c r="C138" s="62">
        <v>0</v>
      </c>
      <c r="D138" s="62">
        <v>1</v>
      </c>
      <c r="E138" s="62">
        <v>0</v>
      </c>
      <c r="F138" s="64">
        <v>42767</v>
      </c>
      <c r="G138" s="62" t="s">
        <v>77</v>
      </c>
      <c r="H138" s="64">
        <v>42794</v>
      </c>
      <c r="I138" s="62" t="s">
        <v>59</v>
      </c>
      <c r="J138" s="63"/>
    </row>
    <row r="139" spans="1:10" x14ac:dyDescent="0.2">
      <c r="A139" s="62" t="s">
        <v>111</v>
      </c>
      <c r="B139" s="63">
        <v>20</v>
      </c>
      <c r="C139" s="62">
        <v>0</v>
      </c>
      <c r="D139" s="62">
        <v>1</v>
      </c>
      <c r="E139" s="62">
        <v>0</v>
      </c>
      <c r="F139" s="64">
        <v>42767</v>
      </c>
      <c r="G139" s="62" t="s">
        <v>77</v>
      </c>
      <c r="H139" s="64">
        <v>42794</v>
      </c>
      <c r="I139" s="62" t="s">
        <v>82</v>
      </c>
      <c r="J139" s="63"/>
    </row>
    <row r="140" spans="1:10" x14ac:dyDescent="0.2">
      <c r="A140" s="62" t="s">
        <v>97</v>
      </c>
      <c r="B140" s="63">
        <v>56</v>
      </c>
      <c r="C140" s="62">
        <v>0</v>
      </c>
      <c r="D140" s="62">
        <v>1</v>
      </c>
      <c r="E140" s="62">
        <v>0</v>
      </c>
      <c r="F140" s="64">
        <v>42767</v>
      </c>
      <c r="G140" s="62" t="s">
        <v>77</v>
      </c>
      <c r="H140" s="64">
        <v>42794</v>
      </c>
      <c r="I140" s="62" t="s">
        <v>35</v>
      </c>
      <c r="J140" s="63"/>
    </row>
    <row r="141" spans="1:10" x14ac:dyDescent="0.2">
      <c r="A141" s="62" t="s">
        <v>70</v>
      </c>
      <c r="B141" s="63">
        <v>50</v>
      </c>
      <c r="C141" s="62">
        <v>0</v>
      </c>
      <c r="D141" s="62">
        <v>1</v>
      </c>
      <c r="E141" s="62">
        <v>0</v>
      </c>
      <c r="F141" s="64">
        <v>42767</v>
      </c>
      <c r="G141" s="62" t="s">
        <v>64</v>
      </c>
      <c r="H141" s="64">
        <v>42792</v>
      </c>
      <c r="I141" s="62" t="s">
        <v>70</v>
      </c>
      <c r="J141" s="63"/>
    </row>
    <row r="142" spans="1:10" x14ac:dyDescent="0.2">
      <c r="A142" s="62" t="s">
        <v>47</v>
      </c>
      <c r="B142" s="63">
        <v>50</v>
      </c>
      <c r="C142" s="62">
        <v>0</v>
      </c>
      <c r="D142" s="62">
        <v>1</v>
      </c>
      <c r="E142" s="62">
        <v>0</v>
      </c>
      <c r="F142" s="64">
        <v>42767</v>
      </c>
      <c r="G142" s="62" t="s">
        <v>64</v>
      </c>
      <c r="H142" s="64">
        <v>42792</v>
      </c>
      <c r="I142" s="62" t="s">
        <v>47</v>
      </c>
      <c r="J142" s="63"/>
    </row>
    <row r="143" spans="1:10" x14ac:dyDescent="0.2">
      <c r="A143" s="66" t="s">
        <v>258</v>
      </c>
      <c r="B143" s="67">
        <v>51.7</v>
      </c>
      <c r="C143" s="66">
        <v>0</v>
      </c>
      <c r="D143" s="66">
        <v>1</v>
      </c>
      <c r="E143" s="66">
        <v>0</v>
      </c>
      <c r="F143" s="61">
        <v>42795</v>
      </c>
      <c r="G143" s="59" t="s">
        <v>16</v>
      </c>
      <c r="H143" s="68">
        <v>42795</v>
      </c>
      <c r="I143" s="66" t="s">
        <v>82</v>
      </c>
      <c r="J143" s="67"/>
    </row>
    <row r="144" spans="1:10" x14ac:dyDescent="0.2">
      <c r="A144" s="59" t="s">
        <v>15</v>
      </c>
      <c r="B144" s="60">
        <v>608.44000000000005</v>
      </c>
      <c r="C144" s="59">
        <v>1</v>
      </c>
      <c r="D144" s="59">
        <v>0</v>
      </c>
      <c r="E144" s="59">
        <v>0</v>
      </c>
      <c r="F144" s="61">
        <v>42795</v>
      </c>
      <c r="G144" s="59" t="s">
        <v>16</v>
      </c>
      <c r="H144" s="61">
        <v>42795</v>
      </c>
      <c r="I144" s="59" t="s">
        <v>17</v>
      </c>
    </row>
    <row r="145" spans="1:10" x14ac:dyDescent="0.2">
      <c r="A145" s="59" t="s">
        <v>18</v>
      </c>
      <c r="B145" s="60">
        <v>1201.22</v>
      </c>
      <c r="C145" s="59">
        <v>1</v>
      </c>
      <c r="D145" s="59">
        <v>0</v>
      </c>
      <c r="E145" s="59">
        <v>0</v>
      </c>
      <c r="F145" s="61">
        <v>42795</v>
      </c>
      <c r="G145" s="59" t="s">
        <v>16</v>
      </c>
      <c r="H145" s="61">
        <v>42795</v>
      </c>
      <c r="I145" s="59" t="s">
        <v>17</v>
      </c>
    </row>
    <row r="146" spans="1:10" x14ac:dyDescent="0.2">
      <c r="A146" s="59" t="s">
        <v>19</v>
      </c>
      <c r="B146" s="60">
        <v>0</v>
      </c>
      <c r="C146" s="59">
        <v>1</v>
      </c>
      <c r="D146" s="59">
        <v>0</v>
      </c>
      <c r="E146" s="59">
        <v>0</v>
      </c>
      <c r="F146" s="61">
        <v>42795</v>
      </c>
      <c r="G146" s="59" t="s">
        <v>16</v>
      </c>
      <c r="H146" s="61">
        <v>42795</v>
      </c>
      <c r="I146" s="59" t="s">
        <v>17</v>
      </c>
    </row>
    <row r="147" spans="1:10" x14ac:dyDescent="0.2">
      <c r="A147" s="59" t="s">
        <v>20</v>
      </c>
      <c r="B147" s="60">
        <v>0</v>
      </c>
      <c r="C147" s="59">
        <v>1</v>
      </c>
      <c r="D147" s="59">
        <v>0</v>
      </c>
      <c r="E147" s="59">
        <v>0</v>
      </c>
      <c r="F147" s="61">
        <v>42795</v>
      </c>
      <c r="G147" s="59" t="s">
        <v>16</v>
      </c>
      <c r="H147" s="61">
        <v>42795</v>
      </c>
      <c r="I147" s="59" t="s">
        <v>17</v>
      </c>
    </row>
    <row r="148" spans="1:10" x14ac:dyDescent="0.2">
      <c r="A148" s="59" t="s">
        <v>21</v>
      </c>
      <c r="B148" s="60">
        <v>36.96</v>
      </c>
      <c r="C148" s="59">
        <v>1</v>
      </c>
      <c r="D148" s="59">
        <v>0</v>
      </c>
      <c r="E148" s="59">
        <v>0</v>
      </c>
      <c r="F148" s="61">
        <v>42795</v>
      </c>
      <c r="G148" s="59" t="s">
        <v>16</v>
      </c>
      <c r="H148" s="61">
        <v>42795</v>
      </c>
      <c r="I148" s="59" t="s">
        <v>17</v>
      </c>
    </row>
    <row r="149" spans="1:10" x14ac:dyDescent="0.2">
      <c r="A149" s="59" t="s">
        <v>22</v>
      </c>
      <c r="B149" s="60">
        <v>121.62</v>
      </c>
      <c r="C149" s="59">
        <v>1</v>
      </c>
      <c r="D149" s="59">
        <v>0</v>
      </c>
      <c r="E149" s="59">
        <v>0</v>
      </c>
      <c r="F149" s="61">
        <v>42795</v>
      </c>
      <c r="G149" s="59" t="s">
        <v>16</v>
      </c>
      <c r="H149" s="61">
        <v>42795</v>
      </c>
      <c r="I149" s="59" t="s">
        <v>17</v>
      </c>
    </row>
    <row r="150" spans="1:10" x14ac:dyDescent="0.2">
      <c r="A150" s="59" t="s">
        <v>23</v>
      </c>
      <c r="B150" s="60">
        <v>212.5</v>
      </c>
      <c r="C150" s="59">
        <v>1</v>
      </c>
      <c r="D150" s="59">
        <v>0</v>
      </c>
      <c r="E150" s="59">
        <v>0</v>
      </c>
      <c r="F150" s="61">
        <v>42795</v>
      </c>
      <c r="G150" s="59" t="s">
        <v>16</v>
      </c>
      <c r="H150" s="61">
        <v>42795</v>
      </c>
      <c r="I150" s="59" t="s">
        <v>17</v>
      </c>
    </row>
    <row r="151" spans="1:10" x14ac:dyDescent="0.2">
      <c r="A151" s="59" t="s">
        <v>359</v>
      </c>
      <c r="B151" s="60">
        <v>283.89999999999998</v>
      </c>
      <c r="C151" s="59">
        <v>1</v>
      </c>
      <c r="D151" s="59">
        <v>0</v>
      </c>
      <c r="E151" s="59">
        <v>0</v>
      </c>
      <c r="F151" s="61">
        <v>42795</v>
      </c>
      <c r="G151" s="59" t="s">
        <v>16</v>
      </c>
      <c r="H151" s="61">
        <v>42795</v>
      </c>
      <c r="I151" s="59" t="s">
        <v>17</v>
      </c>
    </row>
    <row r="152" spans="1:10" x14ac:dyDescent="0.2">
      <c r="A152" s="59" t="s">
        <v>331</v>
      </c>
      <c r="B152" s="60">
        <v>3.65</v>
      </c>
      <c r="C152" s="59">
        <v>1</v>
      </c>
      <c r="D152" s="59">
        <v>0</v>
      </c>
      <c r="E152" s="59">
        <v>0</v>
      </c>
      <c r="F152" s="61">
        <v>42795</v>
      </c>
      <c r="G152" s="59" t="s">
        <v>16</v>
      </c>
      <c r="H152" s="61">
        <v>42795</v>
      </c>
      <c r="I152" s="59" t="s">
        <v>17</v>
      </c>
    </row>
    <row r="153" spans="1:10" x14ac:dyDescent="0.2">
      <c r="A153" s="59" t="s">
        <v>30</v>
      </c>
      <c r="B153" s="60">
        <v>52.4</v>
      </c>
      <c r="C153" s="59">
        <v>1</v>
      </c>
      <c r="D153" s="59">
        <v>0</v>
      </c>
      <c r="E153" s="59">
        <v>0</v>
      </c>
      <c r="F153" s="61">
        <v>42795</v>
      </c>
      <c r="G153" s="59" t="s">
        <v>16</v>
      </c>
      <c r="H153" s="61">
        <v>42796</v>
      </c>
      <c r="I153" s="59" t="s">
        <v>31</v>
      </c>
    </row>
    <row r="154" spans="1:10" x14ac:dyDescent="0.2">
      <c r="A154" s="59" t="s">
        <v>41</v>
      </c>
      <c r="B154" s="60">
        <v>410.9</v>
      </c>
      <c r="C154" s="59">
        <v>1</v>
      </c>
      <c r="D154" s="59">
        <v>0</v>
      </c>
      <c r="E154" s="59">
        <v>0</v>
      </c>
      <c r="F154" s="61">
        <v>42795</v>
      </c>
      <c r="G154" s="59" t="s">
        <v>49</v>
      </c>
      <c r="H154" s="61">
        <v>42803</v>
      </c>
      <c r="I154" s="59" t="s">
        <v>42</v>
      </c>
      <c r="J154" s="60"/>
    </row>
    <row r="155" spans="1:10" x14ac:dyDescent="0.2">
      <c r="A155" s="59" t="s">
        <v>48</v>
      </c>
      <c r="B155" s="60">
        <v>1465.49</v>
      </c>
      <c r="C155" s="59">
        <v>1</v>
      </c>
      <c r="D155" s="59">
        <v>0</v>
      </c>
      <c r="E155" s="59">
        <v>0</v>
      </c>
      <c r="F155" s="61">
        <v>42795</v>
      </c>
      <c r="G155" s="59" t="s">
        <v>64</v>
      </c>
      <c r="H155" s="61">
        <v>42809</v>
      </c>
      <c r="I155" s="59" t="s">
        <v>42</v>
      </c>
      <c r="J155" s="60"/>
    </row>
    <row r="156" spans="1:10" x14ac:dyDescent="0.2">
      <c r="A156" s="59" t="s">
        <v>45</v>
      </c>
      <c r="B156" s="60">
        <v>68.09</v>
      </c>
      <c r="C156" s="59">
        <v>1</v>
      </c>
      <c r="D156" s="59">
        <v>0</v>
      </c>
      <c r="E156" s="59">
        <v>0</v>
      </c>
      <c r="F156" s="61">
        <v>42795</v>
      </c>
      <c r="G156" s="59" t="s">
        <v>49</v>
      </c>
      <c r="H156" s="61">
        <v>42803</v>
      </c>
      <c r="I156" s="59" t="s">
        <v>42</v>
      </c>
    </row>
    <row r="157" spans="1:10" x14ac:dyDescent="0.2">
      <c r="A157" s="59" t="s">
        <v>52</v>
      </c>
      <c r="B157" s="60">
        <v>45.2</v>
      </c>
      <c r="C157" s="59">
        <v>1</v>
      </c>
      <c r="D157" s="59">
        <v>0</v>
      </c>
      <c r="E157" s="59">
        <v>0</v>
      </c>
      <c r="F157" s="61">
        <v>42795</v>
      </c>
      <c r="G157" s="59" t="s">
        <v>49</v>
      </c>
      <c r="H157" s="61">
        <v>42804</v>
      </c>
      <c r="I157" s="59" t="s">
        <v>31</v>
      </c>
    </row>
    <row r="158" spans="1:10" x14ac:dyDescent="0.2">
      <c r="A158" s="59" t="s">
        <v>26</v>
      </c>
      <c r="B158" s="60">
        <f>SUMIFS(credito!$B$2:$B$192,credito!$F$2:$F$192,F158,credito!$G$2:$G$192,0)</f>
        <v>2000</v>
      </c>
      <c r="C158" s="59">
        <v>1</v>
      </c>
      <c r="D158" s="59">
        <v>0</v>
      </c>
      <c r="E158" s="59">
        <v>0</v>
      </c>
      <c r="F158" s="61">
        <v>42795</v>
      </c>
      <c r="G158" s="69" t="s">
        <v>64</v>
      </c>
      <c r="H158" s="61">
        <v>42811</v>
      </c>
      <c r="I158" s="59" t="s">
        <v>27</v>
      </c>
    </row>
    <row r="159" spans="1:10" x14ac:dyDescent="0.2">
      <c r="A159" s="59" t="s">
        <v>63</v>
      </c>
      <c r="B159" s="60">
        <v>661.74</v>
      </c>
      <c r="C159" s="59">
        <v>1</v>
      </c>
      <c r="D159" s="59">
        <v>0</v>
      </c>
      <c r="E159" s="59">
        <v>0</v>
      </c>
      <c r="F159" s="61">
        <v>42795</v>
      </c>
      <c r="G159" s="69" t="s">
        <v>64</v>
      </c>
      <c r="H159" s="61">
        <v>42809</v>
      </c>
      <c r="I159" s="59" t="s">
        <v>65</v>
      </c>
    </row>
    <row r="160" spans="1:10" x14ac:dyDescent="0.2">
      <c r="A160" s="59" t="s">
        <v>53</v>
      </c>
      <c r="B160" s="60">
        <v>209.4</v>
      </c>
      <c r="C160" s="59">
        <v>1</v>
      </c>
      <c r="D160" s="59">
        <v>0</v>
      </c>
      <c r="E160" s="59">
        <v>0</v>
      </c>
      <c r="F160" s="61">
        <v>42795</v>
      </c>
      <c r="G160" s="69" t="s">
        <v>64</v>
      </c>
      <c r="H160" s="61">
        <v>42809</v>
      </c>
      <c r="I160" s="59" t="s">
        <v>53</v>
      </c>
    </row>
    <row r="161" spans="1:9" x14ac:dyDescent="0.2">
      <c r="A161" s="59" t="s">
        <v>300</v>
      </c>
      <c r="B161" s="60">
        <v>230</v>
      </c>
      <c r="C161" s="59">
        <v>1</v>
      </c>
      <c r="D161" s="59">
        <v>0</v>
      </c>
      <c r="E161" s="59">
        <v>0</v>
      </c>
      <c r="F161" s="61">
        <v>42795</v>
      </c>
      <c r="G161" s="69" t="s">
        <v>64</v>
      </c>
      <c r="H161" s="61">
        <v>42807</v>
      </c>
      <c r="I161" s="59" t="s">
        <v>40</v>
      </c>
    </row>
    <row r="162" spans="1:9" x14ac:dyDescent="0.2">
      <c r="A162" s="59" t="s">
        <v>76</v>
      </c>
      <c r="B162" s="60">
        <v>31.32</v>
      </c>
      <c r="C162" s="59">
        <v>1</v>
      </c>
      <c r="D162" s="59">
        <v>0</v>
      </c>
      <c r="E162" s="59">
        <v>0</v>
      </c>
      <c r="F162" s="61">
        <v>42795</v>
      </c>
      <c r="G162" s="69" t="s">
        <v>77</v>
      </c>
      <c r="H162" s="61">
        <v>42821</v>
      </c>
      <c r="I162" s="59" t="s">
        <v>42</v>
      </c>
    </row>
    <row r="163" spans="1:9" x14ac:dyDescent="0.2">
      <c r="A163" s="59" t="s">
        <v>54</v>
      </c>
      <c r="B163" s="60">
        <v>5.79</v>
      </c>
      <c r="C163" s="59">
        <v>1</v>
      </c>
      <c r="D163" s="59">
        <v>0</v>
      </c>
      <c r="E163" s="59">
        <v>0</v>
      </c>
      <c r="F163" s="61">
        <v>42795</v>
      </c>
      <c r="G163" s="59" t="s">
        <v>49</v>
      </c>
      <c r="H163" s="61">
        <v>42804</v>
      </c>
      <c r="I163" s="59" t="s">
        <v>31</v>
      </c>
    </row>
    <row r="164" spans="1:9" x14ac:dyDescent="0.2">
      <c r="A164" s="59" t="s">
        <v>66</v>
      </c>
      <c r="B164" s="60">
        <v>50</v>
      </c>
      <c r="C164" s="59">
        <v>1</v>
      </c>
      <c r="D164" s="59">
        <v>0</v>
      </c>
      <c r="E164" s="59">
        <v>0</v>
      </c>
      <c r="F164" s="61">
        <v>42795</v>
      </c>
      <c r="G164" s="69" t="s">
        <v>64</v>
      </c>
      <c r="H164" s="61">
        <v>42809</v>
      </c>
      <c r="I164" s="59" t="s">
        <v>67</v>
      </c>
    </row>
    <row r="165" spans="1:9" x14ac:dyDescent="0.2">
      <c r="A165" s="59" t="s">
        <v>46</v>
      </c>
      <c r="B165" s="60">
        <v>200</v>
      </c>
      <c r="C165" s="59">
        <v>0</v>
      </c>
      <c r="D165" s="59">
        <v>1</v>
      </c>
      <c r="E165" s="59">
        <v>0</v>
      </c>
      <c r="F165" s="61">
        <v>42795</v>
      </c>
      <c r="G165" s="59" t="s">
        <v>16</v>
      </c>
      <c r="H165" s="61">
        <v>42798</v>
      </c>
      <c r="I165" s="59" t="s">
        <v>33</v>
      </c>
    </row>
    <row r="166" spans="1:9" x14ac:dyDescent="0.2">
      <c r="A166" s="59" t="s">
        <v>83</v>
      </c>
      <c r="B166" s="60">
        <v>4</v>
      </c>
      <c r="C166" s="59">
        <v>0</v>
      </c>
      <c r="D166" s="59">
        <v>1</v>
      </c>
      <c r="E166" s="59">
        <v>0</v>
      </c>
      <c r="F166" s="61">
        <v>42795</v>
      </c>
      <c r="G166" s="59" t="s">
        <v>16</v>
      </c>
      <c r="H166" s="61">
        <v>42796</v>
      </c>
      <c r="I166" s="59" t="s">
        <v>35</v>
      </c>
    </row>
    <row r="167" spans="1:9" x14ac:dyDescent="0.2">
      <c r="A167" s="59" t="s">
        <v>263</v>
      </c>
      <c r="B167" s="60">
        <v>8.9499999999999993</v>
      </c>
      <c r="C167" s="59">
        <v>0</v>
      </c>
      <c r="D167" s="59">
        <v>1</v>
      </c>
      <c r="E167" s="59">
        <v>0</v>
      </c>
      <c r="F167" s="61">
        <v>42795</v>
      </c>
      <c r="G167" s="59" t="s">
        <v>16</v>
      </c>
      <c r="H167" s="61">
        <v>42795</v>
      </c>
      <c r="I167" s="59" t="s">
        <v>31</v>
      </c>
    </row>
    <row r="168" spans="1:9" x14ac:dyDescent="0.2">
      <c r="A168" s="59" t="s">
        <v>241</v>
      </c>
      <c r="B168" s="60">
        <v>1.27</v>
      </c>
      <c r="C168" s="59">
        <v>0</v>
      </c>
      <c r="D168" s="59">
        <v>1</v>
      </c>
      <c r="E168" s="59">
        <v>0</v>
      </c>
      <c r="F168" s="61">
        <v>42795</v>
      </c>
      <c r="G168" s="59" t="s">
        <v>16</v>
      </c>
      <c r="H168" s="61">
        <v>42795</v>
      </c>
      <c r="I168" s="59" t="s">
        <v>31</v>
      </c>
    </row>
    <row r="169" spans="1:9" x14ac:dyDescent="0.2">
      <c r="A169" s="59" t="s">
        <v>83</v>
      </c>
      <c r="B169" s="60">
        <v>4</v>
      </c>
      <c r="C169" s="59">
        <v>0</v>
      </c>
      <c r="D169" s="59">
        <v>1</v>
      </c>
      <c r="E169" s="59">
        <v>0</v>
      </c>
      <c r="F169" s="61">
        <v>42795</v>
      </c>
      <c r="G169" s="59" t="s">
        <v>16</v>
      </c>
      <c r="H169" s="61">
        <v>42797</v>
      </c>
      <c r="I169" s="59" t="s">
        <v>35</v>
      </c>
    </row>
    <row r="170" spans="1:9" x14ac:dyDescent="0.2">
      <c r="A170" s="59" t="s">
        <v>264</v>
      </c>
      <c r="B170" s="60">
        <v>9.08</v>
      </c>
      <c r="C170" s="59">
        <v>0</v>
      </c>
      <c r="D170" s="59">
        <v>1</v>
      </c>
      <c r="E170" s="59">
        <v>0</v>
      </c>
      <c r="F170" s="61">
        <v>42795</v>
      </c>
      <c r="G170" s="59" t="s">
        <v>16</v>
      </c>
      <c r="H170" s="61">
        <v>42800</v>
      </c>
      <c r="I170" s="59" t="s">
        <v>31</v>
      </c>
    </row>
    <row r="171" spans="1:9" x14ac:dyDescent="0.2">
      <c r="A171" s="59" t="s">
        <v>61</v>
      </c>
      <c r="B171" s="60">
        <v>50</v>
      </c>
      <c r="C171" s="59">
        <v>0</v>
      </c>
      <c r="D171" s="59">
        <v>1</v>
      </c>
      <c r="E171" s="59">
        <v>0</v>
      </c>
      <c r="F171" s="61">
        <v>42795</v>
      </c>
      <c r="G171" s="59" t="s">
        <v>16</v>
      </c>
      <c r="H171" s="61">
        <v>42798</v>
      </c>
      <c r="I171" s="59" t="s">
        <v>59</v>
      </c>
    </row>
    <row r="172" spans="1:9" x14ac:dyDescent="0.2">
      <c r="A172" s="59" t="s">
        <v>72</v>
      </c>
      <c r="B172" s="60">
        <v>31.63</v>
      </c>
      <c r="C172" s="59">
        <v>0</v>
      </c>
      <c r="D172" s="59">
        <v>1</v>
      </c>
      <c r="E172" s="59">
        <v>0</v>
      </c>
      <c r="F172" s="61">
        <v>42795</v>
      </c>
      <c r="G172" s="59" t="s">
        <v>49</v>
      </c>
      <c r="H172" s="61">
        <v>42801</v>
      </c>
      <c r="I172" s="59" t="s">
        <v>72</v>
      </c>
    </row>
    <row r="173" spans="1:9" x14ac:dyDescent="0.2">
      <c r="A173" s="59" t="s">
        <v>292</v>
      </c>
      <c r="B173" s="60">
        <v>50</v>
      </c>
      <c r="C173" s="59">
        <v>0</v>
      </c>
      <c r="D173" s="59">
        <v>1</v>
      </c>
      <c r="E173" s="59">
        <v>0</v>
      </c>
      <c r="F173" s="61">
        <v>42795</v>
      </c>
      <c r="G173" s="59" t="s">
        <v>49</v>
      </c>
      <c r="H173" s="61">
        <v>42801</v>
      </c>
      <c r="I173" s="59" t="s">
        <v>70</v>
      </c>
    </row>
    <row r="174" spans="1:9" x14ac:dyDescent="0.2">
      <c r="A174" s="59" t="s">
        <v>83</v>
      </c>
      <c r="B174" s="60">
        <v>8</v>
      </c>
      <c r="C174" s="59">
        <v>0</v>
      </c>
      <c r="D174" s="59">
        <v>1</v>
      </c>
      <c r="E174" s="59">
        <v>0</v>
      </c>
      <c r="F174" s="61">
        <v>42795</v>
      </c>
      <c r="G174" s="59" t="s">
        <v>49</v>
      </c>
      <c r="H174" s="61">
        <v>42801</v>
      </c>
      <c r="I174" s="59" t="s">
        <v>35</v>
      </c>
    </row>
    <row r="175" spans="1:9" x14ac:dyDescent="0.2">
      <c r="A175" s="59" t="s">
        <v>293</v>
      </c>
      <c r="B175" s="60">
        <v>15.4</v>
      </c>
      <c r="C175" s="59">
        <v>0</v>
      </c>
      <c r="D175" s="59">
        <v>1</v>
      </c>
      <c r="E175" s="59">
        <v>0</v>
      </c>
      <c r="F175" s="61">
        <v>42795</v>
      </c>
      <c r="G175" s="59" t="s">
        <v>49</v>
      </c>
      <c r="H175" s="61">
        <v>42801</v>
      </c>
      <c r="I175" s="59" t="s">
        <v>35</v>
      </c>
    </row>
    <row r="176" spans="1:9" x14ac:dyDescent="0.2">
      <c r="A176" s="59" t="s">
        <v>55</v>
      </c>
      <c r="B176" s="60">
        <v>21</v>
      </c>
      <c r="C176" s="59">
        <v>0</v>
      </c>
      <c r="D176" s="59">
        <v>1</v>
      </c>
      <c r="E176" s="59">
        <v>0</v>
      </c>
      <c r="F176" s="61">
        <v>42795</v>
      </c>
      <c r="G176" s="59" t="s">
        <v>49</v>
      </c>
      <c r="H176" s="61">
        <v>42802</v>
      </c>
      <c r="I176" s="59" t="s">
        <v>35</v>
      </c>
    </row>
    <row r="177" spans="1:9" x14ac:dyDescent="0.2">
      <c r="A177" s="59" t="s">
        <v>97</v>
      </c>
      <c r="B177" s="60">
        <v>22</v>
      </c>
      <c r="C177" s="59">
        <v>0</v>
      </c>
      <c r="D177" s="59">
        <v>1</v>
      </c>
      <c r="E177" s="59">
        <v>0</v>
      </c>
      <c r="F177" s="61">
        <v>42795</v>
      </c>
      <c r="G177" s="59" t="s">
        <v>49</v>
      </c>
      <c r="H177" s="61">
        <v>42802</v>
      </c>
      <c r="I177" s="59" t="s">
        <v>35</v>
      </c>
    </row>
    <row r="178" spans="1:9" x14ac:dyDescent="0.2">
      <c r="A178" s="59" t="s">
        <v>294</v>
      </c>
      <c r="B178" s="60">
        <v>8</v>
      </c>
      <c r="C178" s="59">
        <v>0</v>
      </c>
      <c r="D178" s="59">
        <v>1</v>
      </c>
      <c r="E178" s="59">
        <v>0</v>
      </c>
      <c r="F178" s="61">
        <v>42795</v>
      </c>
      <c r="G178" s="59" t="s">
        <v>49</v>
      </c>
      <c r="H178" s="61">
        <v>42803</v>
      </c>
      <c r="I178" s="59" t="s">
        <v>35</v>
      </c>
    </row>
    <row r="179" spans="1:9" x14ac:dyDescent="0.2">
      <c r="A179" s="59" t="s">
        <v>56</v>
      </c>
      <c r="B179" s="60">
        <v>3</v>
      </c>
      <c r="C179" s="59">
        <v>0</v>
      </c>
      <c r="D179" s="59">
        <v>1</v>
      </c>
      <c r="E179" s="59">
        <v>0</v>
      </c>
      <c r="F179" s="61">
        <v>42795</v>
      </c>
      <c r="G179" s="59" t="s">
        <v>49</v>
      </c>
      <c r="H179" s="61">
        <v>42802</v>
      </c>
      <c r="I179" s="59" t="s">
        <v>35</v>
      </c>
    </row>
    <row r="180" spans="1:9" x14ac:dyDescent="0.2">
      <c r="A180" s="59" t="s">
        <v>72</v>
      </c>
      <c r="B180" s="60">
        <v>20.97</v>
      </c>
      <c r="C180" s="59">
        <v>0</v>
      </c>
      <c r="D180" s="59">
        <v>1</v>
      </c>
      <c r="E180" s="59">
        <v>0</v>
      </c>
      <c r="F180" s="61">
        <v>42795</v>
      </c>
      <c r="G180" s="59" t="s">
        <v>49</v>
      </c>
      <c r="H180" s="61">
        <v>42804</v>
      </c>
      <c r="I180" s="59" t="s">
        <v>72</v>
      </c>
    </row>
    <row r="181" spans="1:9" x14ac:dyDescent="0.2">
      <c r="A181" s="59" t="s">
        <v>72</v>
      </c>
      <c r="B181" s="60">
        <v>5.6</v>
      </c>
      <c r="C181" s="59">
        <v>0</v>
      </c>
      <c r="D181" s="59">
        <v>1</v>
      </c>
      <c r="E181" s="59">
        <v>0</v>
      </c>
      <c r="F181" s="61">
        <v>42795</v>
      </c>
      <c r="G181" s="59" t="s">
        <v>49</v>
      </c>
      <c r="H181" s="61">
        <v>42804</v>
      </c>
      <c r="I181" s="59" t="s">
        <v>72</v>
      </c>
    </row>
    <row r="182" spans="1:9" x14ac:dyDescent="0.2">
      <c r="A182" s="59" t="s">
        <v>56</v>
      </c>
      <c r="B182" s="60">
        <v>3</v>
      </c>
      <c r="C182" s="59">
        <v>0</v>
      </c>
      <c r="D182" s="59">
        <v>1</v>
      </c>
      <c r="E182" s="59">
        <v>0</v>
      </c>
      <c r="F182" s="61">
        <v>42795</v>
      </c>
      <c r="G182" s="59" t="s">
        <v>49</v>
      </c>
      <c r="H182" s="61">
        <v>42804</v>
      </c>
      <c r="I182" s="59" t="s">
        <v>35</v>
      </c>
    </row>
    <row r="183" spans="1:9" x14ac:dyDescent="0.2">
      <c r="A183" s="59" t="s">
        <v>296</v>
      </c>
      <c r="B183" s="60">
        <v>34.9</v>
      </c>
      <c r="C183" s="59">
        <v>0</v>
      </c>
      <c r="D183" s="59">
        <v>1</v>
      </c>
      <c r="E183" s="59">
        <v>0</v>
      </c>
      <c r="F183" s="61">
        <v>42795</v>
      </c>
      <c r="G183" s="59" t="s">
        <v>49</v>
      </c>
      <c r="H183" s="61">
        <v>42804</v>
      </c>
      <c r="I183" s="59" t="s">
        <v>144</v>
      </c>
    </row>
    <row r="184" spans="1:9" x14ac:dyDescent="0.2">
      <c r="A184" s="59" t="s">
        <v>72</v>
      </c>
      <c r="B184" s="60">
        <v>7.61</v>
      </c>
      <c r="C184" s="59">
        <v>0</v>
      </c>
      <c r="D184" s="59">
        <v>1</v>
      </c>
      <c r="E184" s="59">
        <v>0</v>
      </c>
      <c r="F184" s="61">
        <v>42795</v>
      </c>
      <c r="G184" s="59" t="s">
        <v>49</v>
      </c>
      <c r="H184" s="61">
        <v>42805</v>
      </c>
      <c r="I184" s="59" t="s">
        <v>72</v>
      </c>
    </row>
    <row r="185" spans="1:9" x14ac:dyDescent="0.2">
      <c r="A185" s="59" t="s">
        <v>29</v>
      </c>
      <c r="B185" s="60">
        <v>6.89</v>
      </c>
      <c r="C185" s="59">
        <v>0</v>
      </c>
      <c r="D185" s="59">
        <v>1</v>
      </c>
      <c r="E185" s="59">
        <v>0</v>
      </c>
      <c r="F185" s="61">
        <v>42795</v>
      </c>
      <c r="G185" s="59" t="s">
        <v>49</v>
      </c>
      <c r="H185" s="61">
        <v>42805</v>
      </c>
      <c r="I185" s="59" t="s">
        <v>29</v>
      </c>
    </row>
    <row r="186" spans="1:9" x14ac:dyDescent="0.2">
      <c r="A186" s="59" t="s">
        <v>297</v>
      </c>
      <c r="B186" s="60">
        <v>60</v>
      </c>
      <c r="C186" s="59">
        <v>0</v>
      </c>
      <c r="D186" s="59">
        <v>1</v>
      </c>
      <c r="E186" s="59">
        <v>0</v>
      </c>
      <c r="F186" s="61">
        <v>42795</v>
      </c>
      <c r="G186" s="59" t="s">
        <v>49</v>
      </c>
      <c r="H186" s="61">
        <v>42805</v>
      </c>
      <c r="I186" s="59" t="s">
        <v>59</v>
      </c>
    </row>
    <row r="187" spans="1:9" x14ac:dyDescent="0.2">
      <c r="A187" s="59" t="s">
        <v>298</v>
      </c>
      <c r="B187" s="60">
        <v>4.0999999999999996</v>
      </c>
      <c r="C187" s="59">
        <v>0</v>
      </c>
      <c r="D187" s="59">
        <v>1</v>
      </c>
      <c r="E187" s="59">
        <v>0</v>
      </c>
      <c r="F187" s="61">
        <v>42795</v>
      </c>
      <c r="G187" s="59" t="s">
        <v>49</v>
      </c>
      <c r="H187" s="61">
        <v>42803</v>
      </c>
      <c r="I187" s="59" t="s">
        <v>35</v>
      </c>
    </row>
    <row r="188" spans="1:9" x14ac:dyDescent="0.2">
      <c r="A188" s="59" t="s">
        <v>299</v>
      </c>
      <c r="B188" s="60">
        <v>7</v>
      </c>
      <c r="C188" s="59">
        <v>0</v>
      </c>
      <c r="D188" s="59">
        <v>1</v>
      </c>
      <c r="E188" s="59">
        <v>0</v>
      </c>
      <c r="F188" s="61">
        <v>42795</v>
      </c>
      <c r="G188" s="59" t="s">
        <v>49</v>
      </c>
      <c r="H188" s="61">
        <v>42803</v>
      </c>
      <c r="I188" s="59" t="s">
        <v>59</v>
      </c>
    </row>
    <row r="189" spans="1:9" x14ac:dyDescent="0.2">
      <c r="A189" s="59" t="s">
        <v>83</v>
      </c>
      <c r="B189" s="60">
        <v>4</v>
      </c>
      <c r="C189" s="59">
        <v>0</v>
      </c>
      <c r="D189" s="59">
        <v>1</v>
      </c>
      <c r="E189" s="59">
        <v>0</v>
      </c>
      <c r="F189" s="61">
        <v>42795</v>
      </c>
      <c r="G189" s="59" t="s">
        <v>49</v>
      </c>
      <c r="H189" s="61">
        <v>42803</v>
      </c>
      <c r="I189" s="59" t="s">
        <v>35</v>
      </c>
    </row>
    <row r="190" spans="1:9" x14ac:dyDescent="0.2">
      <c r="A190" s="59" t="s">
        <v>29</v>
      </c>
      <c r="B190" s="60">
        <v>218.93</v>
      </c>
      <c r="C190" s="59">
        <v>0</v>
      </c>
      <c r="D190" s="59">
        <v>1</v>
      </c>
      <c r="E190" s="59">
        <v>0</v>
      </c>
      <c r="F190" s="61">
        <v>42795</v>
      </c>
      <c r="G190" s="69" t="s">
        <v>64</v>
      </c>
      <c r="H190" s="61">
        <v>42807</v>
      </c>
      <c r="I190" s="59" t="s">
        <v>29</v>
      </c>
    </row>
    <row r="191" spans="1:9" x14ac:dyDescent="0.2">
      <c r="A191" s="59" t="s">
        <v>72</v>
      </c>
      <c r="B191" s="60">
        <v>7.61</v>
      </c>
      <c r="C191" s="59">
        <v>0</v>
      </c>
      <c r="D191" s="59">
        <v>1</v>
      </c>
      <c r="E191" s="59">
        <v>0</v>
      </c>
      <c r="F191" s="61">
        <v>42795</v>
      </c>
      <c r="G191" s="69" t="s">
        <v>64</v>
      </c>
      <c r="H191" s="61">
        <v>42807</v>
      </c>
      <c r="I191" s="59" t="s">
        <v>72</v>
      </c>
    </row>
    <row r="192" spans="1:9" x14ac:dyDescent="0.2">
      <c r="A192" s="59" t="s">
        <v>72</v>
      </c>
      <c r="B192" s="59">
        <v>7.98</v>
      </c>
      <c r="C192" s="59">
        <v>0</v>
      </c>
      <c r="D192" s="59">
        <v>1</v>
      </c>
      <c r="E192" s="59">
        <v>0</v>
      </c>
      <c r="F192" s="61">
        <v>42795</v>
      </c>
      <c r="G192" s="69" t="s">
        <v>64</v>
      </c>
      <c r="H192" s="61">
        <v>42807</v>
      </c>
      <c r="I192" s="59" t="s">
        <v>72</v>
      </c>
    </row>
    <row r="193" spans="1:9" x14ac:dyDescent="0.2">
      <c r="A193" s="59" t="s">
        <v>56</v>
      </c>
      <c r="B193" s="60">
        <v>3</v>
      </c>
      <c r="C193" s="59">
        <v>0</v>
      </c>
      <c r="D193" s="59">
        <v>1</v>
      </c>
      <c r="E193" s="59">
        <v>0</v>
      </c>
      <c r="F193" s="61">
        <v>42795</v>
      </c>
      <c r="G193" s="69" t="s">
        <v>64</v>
      </c>
      <c r="H193" s="61">
        <v>42807</v>
      </c>
      <c r="I193" s="59" t="s">
        <v>35</v>
      </c>
    </row>
    <row r="194" spans="1:9" x14ac:dyDescent="0.2">
      <c r="A194" s="59" t="s">
        <v>301</v>
      </c>
      <c r="B194" s="60">
        <v>80.73</v>
      </c>
      <c r="C194" s="59">
        <v>0</v>
      </c>
      <c r="D194" s="59">
        <v>1</v>
      </c>
      <c r="E194" s="59">
        <v>0</v>
      </c>
      <c r="F194" s="61">
        <v>42795</v>
      </c>
      <c r="G194" s="69" t="s">
        <v>64</v>
      </c>
      <c r="H194" s="61">
        <v>42807</v>
      </c>
      <c r="I194" s="59" t="s">
        <v>33</v>
      </c>
    </row>
    <row r="195" spans="1:9" x14ac:dyDescent="0.2">
      <c r="A195" s="59" t="s">
        <v>29</v>
      </c>
      <c r="B195" s="60">
        <v>6.89</v>
      </c>
      <c r="C195" s="59">
        <v>0</v>
      </c>
      <c r="D195" s="59">
        <v>1</v>
      </c>
      <c r="E195" s="59">
        <v>0</v>
      </c>
      <c r="F195" s="61">
        <v>42795</v>
      </c>
      <c r="G195" s="69" t="s">
        <v>64</v>
      </c>
      <c r="H195" s="61">
        <v>42808</v>
      </c>
      <c r="I195" s="59" t="s">
        <v>29</v>
      </c>
    </row>
    <row r="196" spans="1:9" x14ac:dyDescent="0.2">
      <c r="A196" s="59" t="s">
        <v>50</v>
      </c>
      <c r="B196" s="60">
        <v>100</v>
      </c>
      <c r="C196" s="59">
        <v>0</v>
      </c>
      <c r="D196" s="59">
        <v>1</v>
      </c>
      <c r="E196" s="59">
        <v>0</v>
      </c>
      <c r="F196" s="61">
        <v>42795</v>
      </c>
      <c r="G196" s="69" t="s">
        <v>64</v>
      </c>
      <c r="H196" s="61">
        <v>42808</v>
      </c>
      <c r="I196" s="59" t="s">
        <v>59</v>
      </c>
    </row>
    <row r="197" spans="1:9" x14ac:dyDescent="0.2">
      <c r="A197" s="59" t="s">
        <v>29</v>
      </c>
      <c r="B197" s="60">
        <v>37.71</v>
      </c>
      <c r="C197" s="59">
        <v>0</v>
      </c>
      <c r="D197" s="59">
        <v>1</v>
      </c>
      <c r="E197" s="59">
        <v>0</v>
      </c>
      <c r="F197" s="61">
        <v>42795</v>
      </c>
      <c r="G197" s="69" t="s">
        <v>64</v>
      </c>
      <c r="H197" s="61">
        <v>42809</v>
      </c>
      <c r="I197" s="59" t="s">
        <v>29</v>
      </c>
    </row>
    <row r="198" spans="1:9" x14ac:dyDescent="0.2">
      <c r="A198" s="59" t="s">
        <v>83</v>
      </c>
      <c r="B198" s="60">
        <v>7</v>
      </c>
      <c r="C198" s="59">
        <v>0</v>
      </c>
      <c r="D198" s="59">
        <v>1</v>
      </c>
      <c r="E198" s="59">
        <v>0</v>
      </c>
      <c r="F198" s="61">
        <v>42795</v>
      </c>
      <c r="G198" s="69" t="s">
        <v>64</v>
      </c>
      <c r="H198" s="61">
        <v>42809</v>
      </c>
      <c r="I198" s="59" t="s">
        <v>35</v>
      </c>
    </row>
    <row r="199" spans="1:9" x14ac:dyDescent="0.2">
      <c r="A199" s="59" t="s">
        <v>302</v>
      </c>
      <c r="B199" s="60">
        <v>250</v>
      </c>
      <c r="C199" s="59">
        <v>0</v>
      </c>
      <c r="D199" s="59">
        <v>1</v>
      </c>
      <c r="E199" s="59">
        <v>0</v>
      </c>
      <c r="F199" s="61">
        <v>42795</v>
      </c>
      <c r="G199" s="69" t="s">
        <v>64</v>
      </c>
      <c r="H199" s="61">
        <v>42810</v>
      </c>
      <c r="I199" s="59" t="s">
        <v>59</v>
      </c>
    </row>
    <row r="200" spans="1:9" x14ac:dyDescent="0.2">
      <c r="A200" s="59" t="s">
        <v>50</v>
      </c>
      <c r="B200" s="60">
        <v>50</v>
      </c>
      <c r="C200" s="59">
        <v>0</v>
      </c>
      <c r="D200" s="59">
        <v>1</v>
      </c>
      <c r="E200" s="59">
        <v>0</v>
      </c>
      <c r="F200" s="61">
        <v>42795</v>
      </c>
      <c r="G200" s="69" t="s">
        <v>64</v>
      </c>
      <c r="H200" s="61">
        <v>42810</v>
      </c>
      <c r="I200" s="59" t="s">
        <v>59</v>
      </c>
    </row>
    <row r="201" spans="1:9" x14ac:dyDescent="0.2">
      <c r="A201" s="59" t="s">
        <v>303</v>
      </c>
      <c r="B201" s="60">
        <v>11.2</v>
      </c>
      <c r="C201" s="59">
        <v>0</v>
      </c>
      <c r="D201" s="59">
        <v>1</v>
      </c>
      <c r="E201" s="59">
        <v>0</v>
      </c>
      <c r="F201" s="61">
        <v>42795</v>
      </c>
      <c r="G201" s="69" t="s">
        <v>64</v>
      </c>
      <c r="H201" s="61">
        <v>42810</v>
      </c>
      <c r="I201" s="59" t="s">
        <v>35</v>
      </c>
    </row>
    <row r="202" spans="1:9" x14ac:dyDescent="0.2">
      <c r="A202" s="59" t="s">
        <v>47</v>
      </c>
      <c r="B202" s="60">
        <v>38</v>
      </c>
      <c r="C202" s="59">
        <v>0</v>
      </c>
      <c r="D202" s="59">
        <v>1</v>
      </c>
      <c r="E202" s="59">
        <v>0</v>
      </c>
      <c r="F202" s="61">
        <v>42795</v>
      </c>
      <c r="G202" s="69" t="s">
        <v>64</v>
      </c>
      <c r="H202" s="61">
        <v>42813</v>
      </c>
      <c r="I202" s="59" t="s">
        <v>47</v>
      </c>
    </row>
    <row r="203" spans="1:9" x14ac:dyDescent="0.2">
      <c r="A203" s="59" t="s">
        <v>72</v>
      </c>
      <c r="B203" s="60">
        <v>23.1</v>
      </c>
      <c r="C203" s="59">
        <v>0</v>
      </c>
      <c r="D203" s="59">
        <v>1</v>
      </c>
      <c r="E203" s="59">
        <v>0</v>
      </c>
      <c r="F203" s="61">
        <v>42795</v>
      </c>
      <c r="G203" s="69" t="s">
        <v>77</v>
      </c>
      <c r="H203" s="61">
        <v>42814</v>
      </c>
      <c r="I203" s="59" t="s">
        <v>72</v>
      </c>
    </row>
    <row r="204" spans="1:9" x14ac:dyDescent="0.2">
      <c r="A204" s="59" t="s">
        <v>301</v>
      </c>
      <c r="B204" s="60">
        <v>80</v>
      </c>
      <c r="C204" s="59">
        <v>0</v>
      </c>
      <c r="D204" s="59">
        <v>1</v>
      </c>
      <c r="E204" s="59">
        <v>0</v>
      </c>
      <c r="F204" s="61">
        <v>42795</v>
      </c>
      <c r="G204" s="69" t="s">
        <v>77</v>
      </c>
      <c r="H204" s="61">
        <v>42814</v>
      </c>
      <c r="I204" s="59" t="s">
        <v>33</v>
      </c>
    </row>
    <row r="205" spans="1:9" x14ac:dyDescent="0.2">
      <c r="A205" s="59" t="s">
        <v>304</v>
      </c>
      <c r="B205" s="60">
        <v>70</v>
      </c>
      <c r="C205" s="59">
        <v>0</v>
      </c>
      <c r="D205" s="59">
        <v>1</v>
      </c>
      <c r="E205" s="59">
        <v>0</v>
      </c>
      <c r="F205" s="61">
        <v>42795</v>
      </c>
      <c r="G205" s="69" t="s">
        <v>77</v>
      </c>
      <c r="H205" s="61">
        <v>42814</v>
      </c>
      <c r="I205" s="59" t="s">
        <v>82</v>
      </c>
    </row>
    <row r="206" spans="1:9" x14ac:dyDescent="0.2">
      <c r="A206" s="59" t="s">
        <v>72</v>
      </c>
      <c r="B206" s="60">
        <v>47.8</v>
      </c>
      <c r="C206" s="59">
        <v>0</v>
      </c>
      <c r="D206" s="59">
        <v>1</v>
      </c>
      <c r="E206" s="59">
        <v>0</v>
      </c>
      <c r="F206" s="61">
        <v>42795</v>
      </c>
      <c r="G206" s="69" t="s">
        <v>77</v>
      </c>
      <c r="H206" s="61">
        <v>42814</v>
      </c>
      <c r="I206" s="59" t="s">
        <v>72</v>
      </c>
    </row>
    <row r="207" spans="1:9" x14ac:dyDescent="0.2">
      <c r="A207" s="59" t="s">
        <v>316</v>
      </c>
      <c r="B207" s="60">
        <v>131.66999999999999</v>
      </c>
      <c r="C207" s="59">
        <v>0</v>
      </c>
      <c r="D207" s="59">
        <v>1</v>
      </c>
      <c r="E207" s="59">
        <v>0</v>
      </c>
      <c r="F207" s="61">
        <v>42795</v>
      </c>
      <c r="G207" s="69" t="s">
        <v>77</v>
      </c>
      <c r="H207" s="61">
        <v>42815</v>
      </c>
      <c r="I207" s="59" t="s">
        <v>29</v>
      </c>
    </row>
    <row r="208" spans="1:9" x14ac:dyDescent="0.2">
      <c r="A208" s="59" t="s">
        <v>72</v>
      </c>
      <c r="B208" s="60">
        <v>5.26</v>
      </c>
      <c r="C208" s="59">
        <v>0</v>
      </c>
      <c r="D208" s="59">
        <v>1</v>
      </c>
      <c r="E208" s="59">
        <v>0</v>
      </c>
      <c r="F208" s="61">
        <v>42795</v>
      </c>
      <c r="G208" s="69" t="s">
        <v>77</v>
      </c>
      <c r="H208" s="61">
        <v>42815</v>
      </c>
      <c r="I208" s="59" t="s">
        <v>72</v>
      </c>
    </row>
    <row r="209" spans="1:10" x14ac:dyDescent="0.2">
      <c r="A209" s="59" t="s">
        <v>56</v>
      </c>
      <c r="B209" s="60">
        <v>3</v>
      </c>
      <c r="C209" s="59">
        <v>0</v>
      </c>
      <c r="D209" s="59">
        <v>1</v>
      </c>
      <c r="E209" s="59">
        <v>0</v>
      </c>
      <c r="F209" s="61">
        <v>42795</v>
      </c>
      <c r="G209" s="69" t="s">
        <v>77</v>
      </c>
      <c r="H209" s="61">
        <v>42815</v>
      </c>
      <c r="I209" s="59" t="s">
        <v>35</v>
      </c>
    </row>
    <row r="210" spans="1:10" x14ac:dyDescent="0.2">
      <c r="A210" s="59" t="s">
        <v>56</v>
      </c>
      <c r="B210" s="60">
        <v>2.8</v>
      </c>
      <c r="C210" s="59">
        <v>0</v>
      </c>
      <c r="D210" s="59">
        <v>1</v>
      </c>
      <c r="E210" s="59">
        <v>0</v>
      </c>
      <c r="F210" s="61">
        <v>42795</v>
      </c>
      <c r="G210" s="69" t="s">
        <v>77</v>
      </c>
      <c r="H210" s="61">
        <v>42815</v>
      </c>
      <c r="I210" s="59" t="s">
        <v>35</v>
      </c>
    </row>
    <row r="211" spans="1:10" x14ac:dyDescent="0.2">
      <c r="A211" s="59" t="s">
        <v>104</v>
      </c>
      <c r="B211" s="60">
        <v>25.16</v>
      </c>
      <c r="C211" s="59">
        <v>0</v>
      </c>
      <c r="D211" s="59">
        <v>1</v>
      </c>
      <c r="E211" s="59">
        <v>0</v>
      </c>
      <c r="F211" s="61">
        <v>42795</v>
      </c>
      <c r="G211" s="69" t="s">
        <v>77</v>
      </c>
      <c r="H211" s="61">
        <v>42815</v>
      </c>
      <c r="I211" s="59" t="s">
        <v>104</v>
      </c>
    </row>
    <row r="212" spans="1:10" x14ac:dyDescent="0.2">
      <c r="A212" s="59" t="s">
        <v>46</v>
      </c>
      <c r="B212" s="60">
        <v>5</v>
      </c>
      <c r="C212" s="59">
        <v>0</v>
      </c>
      <c r="D212" s="59">
        <v>1</v>
      </c>
      <c r="E212" s="59">
        <v>0</v>
      </c>
      <c r="F212" s="61">
        <v>42795</v>
      </c>
      <c r="G212" s="69" t="s">
        <v>77</v>
      </c>
      <c r="H212" s="61">
        <v>42817</v>
      </c>
      <c r="I212" s="59" t="s">
        <v>46</v>
      </c>
    </row>
    <row r="213" spans="1:10" x14ac:dyDescent="0.2">
      <c r="A213" s="59" t="s">
        <v>305</v>
      </c>
      <c r="B213" s="60">
        <v>58.3</v>
      </c>
      <c r="C213" s="59">
        <v>0</v>
      </c>
      <c r="D213" s="59">
        <v>1</v>
      </c>
      <c r="E213" s="59">
        <v>0</v>
      </c>
      <c r="F213" s="61">
        <v>42795</v>
      </c>
      <c r="G213" s="69" t="s">
        <v>77</v>
      </c>
      <c r="H213" s="61">
        <v>42817</v>
      </c>
      <c r="I213" s="59" t="s">
        <v>82</v>
      </c>
    </row>
    <row r="214" spans="1:10" x14ac:dyDescent="0.2">
      <c r="A214" s="59" t="s">
        <v>307</v>
      </c>
      <c r="B214" s="60">
        <v>19.98</v>
      </c>
      <c r="C214" s="59">
        <v>0</v>
      </c>
      <c r="D214" s="59">
        <v>1</v>
      </c>
      <c r="E214" s="59">
        <v>0</v>
      </c>
      <c r="F214" s="61">
        <v>42795</v>
      </c>
      <c r="G214" s="69" t="s">
        <v>77</v>
      </c>
      <c r="H214" s="61">
        <v>42818</v>
      </c>
      <c r="I214" s="59" t="s">
        <v>35</v>
      </c>
    </row>
    <row r="215" spans="1:10" x14ac:dyDescent="0.2">
      <c r="A215" s="59" t="s">
        <v>308</v>
      </c>
      <c r="B215" s="60">
        <v>8.8800000000000008</v>
      </c>
      <c r="C215" s="59">
        <v>0</v>
      </c>
      <c r="D215" s="59">
        <v>1</v>
      </c>
      <c r="E215" s="59">
        <v>0</v>
      </c>
      <c r="F215" s="61">
        <v>42795</v>
      </c>
      <c r="G215" s="69" t="s">
        <v>77</v>
      </c>
      <c r="H215" s="61">
        <v>42818</v>
      </c>
      <c r="I215" s="59" t="s">
        <v>35</v>
      </c>
    </row>
    <row r="216" spans="1:10" x14ac:dyDescent="0.2">
      <c r="A216" s="59" t="s">
        <v>83</v>
      </c>
      <c r="B216" s="60">
        <v>4</v>
      </c>
      <c r="C216" s="59">
        <v>0</v>
      </c>
      <c r="D216" s="59">
        <v>1</v>
      </c>
      <c r="E216" s="59">
        <v>0</v>
      </c>
      <c r="F216" s="61">
        <v>42795</v>
      </c>
      <c r="G216" s="69" t="s">
        <v>77</v>
      </c>
      <c r="H216" s="61">
        <v>42818</v>
      </c>
      <c r="I216" s="59" t="s">
        <v>35</v>
      </c>
    </row>
    <row r="217" spans="1:10" x14ac:dyDescent="0.2">
      <c r="A217" s="59" t="s">
        <v>309</v>
      </c>
      <c r="B217" s="60">
        <v>9.5299999999999994</v>
      </c>
      <c r="C217" s="59">
        <v>0</v>
      </c>
      <c r="D217" s="59">
        <v>1</v>
      </c>
      <c r="E217" s="59">
        <v>0</v>
      </c>
      <c r="F217" s="61">
        <v>42795</v>
      </c>
      <c r="G217" s="69" t="s">
        <v>77</v>
      </c>
      <c r="H217" s="61">
        <v>42819</v>
      </c>
      <c r="I217" s="59" t="s">
        <v>72</v>
      </c>
      <c r="J217" s="60"/>
    </row>
    <row r="218" spans="1:10" x14ac:dyDescent="0.2">
      <c r="A218" s="59" t="s">
        <v>301</v>
      </c>
      <c r="B218" s="60">
        <v>80</v>
      </c>
      <c r="C218" s="59">
        <v>0</v>
      </c>
      <c r="D218" s="59">
        <v>1</v>
      </c>
      <c r="E218" s="59">
        <v>0</v>
      </c>
      <c r="F218" s="61">
        <v>42795</v>
      </c>
      <c r="G218" s="69" t="s">
        <v>77</v>
      </c>
      <c r="H218" s="61">
        <v>42819</v>
      </c>
      <c r="I218" s="59" t="s">
        <v>33</v>
      </c>
      <c r="J218" s="60"/>
    </row>
    <row r="219" spans="1:10" x14ac:dyDescent="0.2">
      <c r="A219" s="59" t="s">
        <v>310</v>
      </c>
      <c r="B219" s="60">
        <v>9</v>
      </c>
      <c r="C219" s="59">
        <v>0</v>
      </c>
      <c r="D219" s="59">
        <v>1</v>
      </c>
      <c r="E219" s="59">
        <v>0</v>
      </c>
      <c r="F219" s="61">
        <v>42795</v>
      </c>
      <c r="G219" s="69" t="s">
        <v>77</v>
      </c>
      <c r="H219" s="61">
        <v>42819</v>
      </c>
      <c r="I219" s="59" t="s">
        <v>104</v>
      </c>
      <c r="J219" s="60"/>
    </row>
    <row r="220" spans="1:10" x14ac:dyDescent="0.2">
      <c r="A220" s="59" t="s">
        <v>61</v>
      </c>
      <c r="B220" s="60">
        <v>30</v>
      </c>
      <c r="C220" s="59">
        <v>0</v>
      </c>
      <c r="D220" s="59">
        <v>1</v>
      </c>
      <c r="E220" s="59">
        <v>0</v>
      </c>
      <c r="F220" s="61">
        <v>42795</v>
      </c>
      <c r="G220" s="69" t="s">
        <v>77</v>
      </c>
      <c r="H220" s="61">
        <v>42819</v>
      </c>
      <c r="I220" s="59" t="s">
        <v>59</v>
      </c>
      <c r="J220" s="60"/>
    </row>
    <row r="221" spans="1:10" x14ac:dyDescent="0.2">
      <c r="A221" s="59" t="s">
        <v>311</v>
      </c>
      <c r="B221" s="60">
        <v>50</v>
      </c>
      <c r="C221" s="59">
        <v>0</v>
      </c>
      <c r="D221" s="59">
        <v>1</v>
      </c>
      <c r="E221" s="59">
        <v>0</v>
      </c>
      <c r="F221" s="61">
        <v>42795</v>
      </c>
      <c r="G221" s="69" t="s">
        <v>77</v>
      </c>
      <c r="H221" s="61">
        <v>42819</v>
      </c>
      <c r="I221" s="59" t="s">
        <v>59</v>
      </c>
      <c r="J221" s="60"/>
    </row>
    <row r="222" spans="1:10" x14ac:dyDescent="0.2">
      <c r="A222" s="59" t="s">
        <v>47</v>
      </c>
      <c r="B222" s="60">
        <v>35</v>
      </c>
      <c r="C222" s="59">
        <v>0</v>
      </c>
      <c r="D222" s="59">
        <v>1</v>
      </c>
      <c r="E222" s="59">
        <v>0</v>
      </c>
      <c r="F222" s="61">
        <v>42795</v>
      </c>
      <c r="G222" s="69" t="s">
        <v>77</v>
      </c>
      <c r="H222" s="61">
        <v>42820</v>
      </c>
      <c r="I222" s="59" t="s">
        <v>47</v>
      </c>
      <c r="J222" s="60"/>
    </row>
    <row r="223" spans="1:10" x14ac:dyDescent="0.2">
      <c r="A223" s="59" t="s">
        <v>312</v>
      </c>
      <c r="B223" s="60">
        <v>20</v>
      </c>
      <c r="C223" s="59">
        <v>0</v>
      </c>
      <c r="D223" s="59">
        <v>1</v>
      </c>
      <c r="E223" s="59">
        <v>0</v>
      </c>
      <c r="F223" s="61">
        <v>42795</v>
      </c>
      <c r="G223" s="69" t="s">
        <v>77</v>
      </c>
      <c r="H223" s="61">
        <v>42819</v>
      </c>
      <c r="I223" s="59" t="s">
        <v>35</v>
      </c>
      <c r="J223" s="60"/>
    </row>
    <row r="224" spans="1:10" x14ac:dyDescent="0.2">
      <c r="A224" s="59" t="s">
        <v>97</v>
      </c>
      <c r="B224" s="60">
        <v>10</v>
      </c>
      <c r="C224" s="59">
        <v>0</v>
      </c>
      <c r="D224" s="59">
        <v>1</v>
      </c>
      <c r="E224" s="59">
        <v>0</v>
      </c>
      <c r="F224" s="61">
        <v>42795</v>
      </c>
      <c r="G224" s="69" t="s">
        <v>77</v>
      </c>
      <c r="H224" s="61">
        <v>42819</v>
      </c>
      <c r="I224" s="59" t="s">
        <v>35</v>
      </c>
      <c r="J224" s="60"/>
    </row>
    <row r="225" spans="1:10" x14ac:dyDescent="0.2">
      <c r="A225" s="59" t="s">
        <v>75</v>
      </c>
      <c r="B225" s="60">
        <v>21.25</v>
      </c>
      <c r="C225" s="59">
        <v>0</v>
      </c>
      <c r="D225" s="59">
        <v>1</v>
      </c>
      <c r="E225" s="59">
        <v>0</v>
      </c>
      <c r="F225" s="61">
        <v>42795</v>
      </c>
      <c r="G225" s="69" t="s">
        <v>77</v>
      </c>
      <c r="H225" s="61">
        <v>42819</v>
      </c>
      <c r="I225" s="59" t="s">
        <v>35</v>
      </c>
      <c r="J225" s="60"/>
    </row>
    <row r="226" spans="1:10" x14ac:dyDescent="0.2">
      <c r="A226" s="59" t="s">
        <v>313</v>
      </c>
      <c r="B226" s="60">
        <v>28.22</v>
      </c>
      <c r="C226" s="59">
        <v>0</v>
      </c>
      <c r="D226" s="59">
        <v>1</v>
      </c>
      <c r="E226" s="59">
        <v>0</v>
      </c>
      <c r="F226" s="61">
        <v>42795</v>
      </c>
      <c r="G226" s="69" t="s">
        <v>77</v>
      </c>
      <c r="H226" s="61">
        <v>42820</v>
      </c>
      <c r="I226" s="59" t="s">
        <v>72</v>
      </c>
      <c r="J226" s="60"/>
    </row>
    <row r="227" spans="1:10" x14ac:dyDescent="0.2">
      <c r="A227" s="59" t="s">
        <v>315</v>
      </c>
      <c r="B227" s="60">
        <v>146.93</v>
      </c>
      <c r="C227" s="59">
        <v>0</v>
      </c>
      <c r="D227" s="59">
        <v>1</v>
      </c>
      <c r="E227" s="59">
        <v>0</v>
      </c>
      <c r="F227" s="61">
        <v>42795</v>
      </c>
      <c r="G227" s="69" t="s">
        <v>77</v>
      </c>
      <c r="H227" s="61">
        <v>42820</v>
      </c>
      <c r="I227" s="59" t="s">
        <v>29</v>
      </c>
      <c r="J227" s="60"/>
    </row>
    <row r="228" spans="1:10" x14ac:dyDescent="0.2">
      <c r="A228" s="59" t="s">
        <v>314</v>
      </c>
      <c r="B228" s="60">
        <v>21.29</v>
      </c>
      <c r="C228" s="59">
        <v>0</v>
      </c>
      <c r="D228" s="59">
        <v>1</v>
      </c>
      <c r="E228" s="59">
        <v>0</v>
      </c>
      <c r="F228" s="61">
        <v>42795</v>
      </c>
      <c r="G228" s="69" t="s">
        <v>77</v>
      </c>
      <c r="H228" s="61">
        <v>42820</v>
      </c>
      <c r="I228" s="59" t="s">
        <v>29</v>
      </c>
      <c r="J228" s="60"/>
    </row>
    <row r="229" spans="1:10" x14ac:dyDescent="0.2">
      <c r="A229" s="59" t="s">
        <v>81</v>
      </c>
      <c r="B229" s="60">
        <v>2.72</v>
      </c>
      <c r="C229" s="59">
        <v>0</v>
      </c>
      <c r="D229" s="59">
        <v>1</v>
      </c>
      <c r="E229" s="59">
        <v>0</v>
      </c>
      <c r="F229" s="61">
        <v>42795</v>
      </c>
      <c r="G229" s="69" t="s">
        <v>77</v>
      </c>
      <c r="H229" s="61">
        <v>42820</v>
      </c>
      <c r="I229" s="59" t="s">
        <v>81</v>
      </c>
      <c r="J229" s="60"/>
    </row>
    <row r="230" spans="1:10" x14ac:dyDescent="0.2">
      <c r="A230" s="59" t="s">
        <v>83</v>
      </c>
      <c r="B230" s="60">
        <v>3</v>
      </c>
      <c r="C230" s="59">
        <v>0</v>
      </c>
      <c r="D230" s="59">
        <v>1</v>
      </c>
      <c r="E230" s="59">
        <v>0</v>
      </c>
      <c r="F230" s="61">
        <v>42795</v>
      </c>
      <c r="G230" s="69" t="s">
        <v>86</v>
      </c>
      <c r="H230" s="61">
        <v>42821</v>
      </c>
      <c r="I230" s="59" t="s">
        <v>35</v>
      </c>
      <c r="J230" s="60"/>
    </row>
    <row r="231" spans="1:10" x14ac:dyDescent="0.2">
      <c r="A231" s="59" t="s">
        <v>55</v>
      </c>
      <c r="B231" s="60">
        <v>7</v>
      </c>
      <c r="C231" s="59">
        <v>0</v>
      </c>
      <c r="D231" s="59">
        <v>1</v>
      </c>
      <c r="E231" s="59">
        <v>0</v>
      </c>
      <c r="F231" s="61">
        <v>42795</v>
      </c>
      <c r="G231" s="69" t="s">
        <v>86</v>
      </c>
      <c r="H231" s="61">
        <v>42821</v>
      </c>
      <c r="I231" s="59" t="s">
        <v>35</v>
      </c>
      <c r="J231" s="60"/>
    </row>
    <row r="232" spans="1:10" x14ac:dyDescent="0.2">
      <c r="A232" s="59" t="s">
        <v>56</v>
      </c>
      <c r="B232" s="60">
        <v>3</v>
      </c>
      <c r="C232" s="59">
        <v>0</v>
      </c>
      <c r="D232" s="59">
        <v>1</v>
      </c>
      <c r="E232" s="59">
        <v>0</v>
      </c>
      <c r="F232" s="61">
        <v>42795</v>
      </c>
      <c r="G232" s="69" t="s">
        <v>86</v>
      </c>
      <c r="H232" s="61">
        <v>42820</v>
      </c>
      <c r="I232" s="59" t="s">
        <v>35</v>
      </c>
      <c r="J232" s="60"/>
    </row>
    <row r="233" spans="1:10" x14ac:dyDescent="0.2">
      <c r="A233" s="59" t="s">
        <v>97</v>
      </c>
      <c r="B233" s="60">
        <v>8</v>
      </c>
      <c r="C233" s="59">
        <v>0</v>
      </c>
      <c r="D233" s="59">
        <v>1</v>
      </c>
      <c r="E233" s="59">
        <v>0</v>
      </c>
      <c r="F233" s="61">
        <v>42795</v>
      </c>
      <c r="G233" s="69" t="s">
        <v>86</v>
      </c>
      <c r="H233" s="61">
        <v>42821</v>
      </c>
      <c r="I233" s="59" t="s">
        <v>35</v>
      </c>
      <c r="J233" s="60"/>
    </row>
    <row r="234" spans="1:10" x14ac:dyDescent="0.2">
      <c r="A234" s="59" t="s">
        <v>317</v>
      </c>
      <c r="B234" s="60">
        <v>5</v>
      </c>
      <c r="C234" s="59">
        <v>0</v>
      </c>
      <c r="D234" s="59">
        <v>1</v>
      </c>
      <c r="E234" s="59">
        <v>0</v>
      </c>
      <c r="F234" s="61">
        <v>42795</v>
      </c>
      <c r="G234" s="69" t="s">
        <v>86</v>
      </c>
      <c r="H234" s="61">
        <v>42821</v>
      </c>
      <c r="I234" s="59" t="s">
        <v>35</v>
      </c>
      <c r="J234" s="60"/>
    </row>
    <row r="235" spans="1:10" x14ac:dyDescent="0.2">
      <c r="A235" s="59" t="s">
        <v>28</v>
      </c>
      <c r="B235" s="60">
        <v>45.71</v>
      </c>
      <c r="C235" s="59">
        <v>0</v>
      </c>
      <c r="D235" s="59">
        <v>1</v>
      </c>
      <c r="E235" s="59">
        <v>0</v>
      </c>
      <c r="F235" s="61">
        <v>42795</v>
      </c>
      <c r="G235" s="69" t="s">
        <v>86</v>
      </c>
      <c r="H235" s="61">
        <v>42822</v>
      </c>
      <c r="I235" s="59" t="s">
        <v>29</v>
      </c>
      <c r="J235" s="60"/>
    </row>
    <row r="236" spans="1:10" x14ac:dyDescent="0.2">
      <c r="A236" s="59" t="s">
        <v>301</v>
      </c>
      <c r="B236" s="60">
        <v>50</v>
      </c>
      <c r="C236" s="59">
        <v>0</v>
      </c>
      <c r="D236" s="59">
        <v>1</v>
      </c>
      <c r="E236" s="59">
        <v>0</v>
      </c>
      <c r="F236" s="61">
        <v>42795</v>
      </c>
      <c r="G236" s="69" t="s">
        <v>86</v>
      </c>
      <c r="H236" s="61">
        <v>42824</v>
      </c>
      <c r="I236" s="59" t="s">
        <v>33</v>
      </c>
      <c r="J236" s="60"/>
    </row>
    <row r="237" spans="1:10" x14ac:dyDescent="0.2">
      <c r="A237" s="59" t="s">
        <v>50</v>
      </c>
      <c r="B237" s="60">
        <v>100</v>
      </c>
      <c r="C237" s="59">
        <v>0</v>
      </c>
      <c r="D237" s="59">
        <v>1</v>
      </c>
      <c r="E237" s="59">
        <v>0</v>
      </c>
      <c r="F237" s="61">
        <v>42795</v>
      </c>
      <c r="G237" s="69" t="s">
        <v>86</v>
      </c>
      <c r="H237" s="61">
        <v>42824</v>
      </c>
      <c r="I237" s="59" t="s">
        <v>59</v>
      </c>
      <c r="J237" s="60"/>
    </row>
    <row r="238" spans="1:10" x14ac:dyDescent="0.2">
      <c r="A238" s="59" t="s">
        <v>318</v>
      </c>
      <c r="B238" s="60">
        <v>74.319999999999993</v>
      </c>
      <c r="C238" s="59">
        <v>0</v>
      </c>
      <c r="D238" s="59">
        <v>1</v>
      </c>
      <c r="E238" s="59">
        <v>0</v>
      </c>
      <c r="F238" s="61">
        <v>42795</v>
      </c>
      <c r="G238" s="69" t="s">
        <v>86</v>
      </c>
      <c r="H238" s="61">
        <v>42825</v>
      </c>
      <c r="I238" s="59" t="s">
        <v>104</v>
      </c>
      <c r="J238" s="60"/>
    </row>
    <row r="239" spans="1:10" x14ac:dyDescent="0.2">
      <c r="A239" s="59" t="s">
        <v>319</v>
      </c>
      <c r="B239" s="60">
        <v>84</v>
      </c>
      <c r="C239" s="59">
        <v>0</v>
      </c>
      <c r="D239" s="59">
        <v>1</v>
      </c>
      <c r="E239" s="59">
        <v>0</v>
      </c>
      <c r="F239" s="61">
        <v>42795</v>
      </c>
      <c r="G239" s="69" t="s">
        <v>86</v>
      </c>
      <c r="H239" s="61">
        <v>42825</v>
      </c>
      <c r="I239" s="59" t="s">
        <v>104</v>
      </c>
      <c r="J239" s="60"/>
    </row>
    <row r="240" spans="1:10" x14ac:dyDescent="0.2">
      <c r="A240" s="59" t="s">
        <v>320</v>
      </c>
      <c r="B240" s="60">
        <v>2</v>
      </c>
      <c r="C240" s="59">
        <v>0</v>
      </c>
      <c r="D240" s="59">
        <v>1</v>
      </c>
      <c r="E240" s="59">
        <v>0</v>
      </c>
      <c r="F240" s="61">
        <v>42795</v>
      </c>
      <c r="G240" s="69" t="s">
        <v>86</v>
      </c>
      <c r="H240" s="61">
        <v>42825</v>
      </c>
      <c r="I240" s="59" t="s">
        <v>35</v>
      </c>
      <c r="J240" s="60"/>
    </row>
    <row r="241" spans="1:10" x14ac:dyDescent="0.2">
      <c r="A241" s="70" t="s">
        <v>15</v>
      </c>
      <c r="B241" s="71">
        <v>608.44000000000005</v>
      </c>
      <c r="C241" s="62">
        <v>1</v>
      </c>
      <c r="D241" s="62">
        <v>0</v>
      </c>
      <c r="E241" s="62">
        <v>0</v>
      </c>
      <c r="F241" s="64">
        <v>42826</v>
      </c>
      <c r="G241" s="62" t="s">
        <v>16</v>
      </c>
      <c r="H241" s="64">
        <v>42826</v>
      </c>
      <c r="I241" s="62" t="s">
        <v>17</v>
      </c>
    </row>
    <row r="242" spans="1:10" x14ac:dyDescent="0.2">
      <c r="A242" s="70" t="s">
        <v>360</v>
      </c>
      <c r="B242" s="71">
        <v>194.99</v>
      </c>
      <c r="C242" s="62">
        <v>1</v>
      </c>
      <c r="D242" s="62">
        <v>0</v>
      </c>
      <c r="E242" s="62">
        <v>0</v>
      </c>
      <c r="F242" s="64">
        <v>42826</v>
      </c>
      <c r="G242" s="62" t="s">
        <v>16</v>
      </c>
      <c r="H242" s="64">
        <v>42826</v>
      </c>
      <c r="I242" s="62" t="s">
        <v>17</v>
      </c>
    </row>
    <row r="243" spans="1:10" x14ac:dyDescent="0.2">
      <c r="A243" s="70" t="s">
        <v>18</v>
      </c>
      <c r="B243" s="71">
        <v>447.66</v>
      </c>
      <c r="C243" s="62">
        <v>1</v>
      </c>
      <c r="D243" s="62">
        <v>0</v>
      </c>
      <c r="E243" s="62">
        <v>0</v>
      </c>
      <c r="F243" s="64">
        <v>42826</v>
      </c>
      <c r="G243" s="62" t="s">
        <v>16</v>
      </c>
      <c r="H243" s="64">
        <v>42826</v>
      </c>
      <c r="I243" s="62" t="s">
        <v>17</v>
      </c>
    </row>
    <row r="244" spans="1:10" x14ac:dyDescent="0.2">
      <c r="A244" s="70" t="s">
        <v>19</v>
      </c>
      <c r="B244" s="71">
        <v>0</v>
      </c>
      <c r="C244" s="62">
        <v>1</v>
      </c>
      <c r="D244" s="62">
        <v>0</v>
      </c>
      <c r="E244" s="62">
        <v>0</v>
      </c>
      <c r="F244" s="64">
        <v>42826</v>
      </c>
      <c r="G244" s="62" t="s">
        <v>16</v>
      </c>
      <c r="H244" s="64">
        <v>42826</v>
      </c>
      <c r="I244" s="62" t="s">
        <v>17</v>
      </c>
    </row>
    <row r="245" spans="1:10" x14ac:dyDescent="0.2">
      <c r="A245" s="70" t="s">
        <v>20</v>
      </c>
      <c r="B245" s="71">
        <v>45.88</v>
      </c>
      <c r="C245" s="62">
        <v>1</v>
      </c>
      <c r="D245" s="62">
        <v>0</v>
      </c>
      <c r="E245" s="62">
        <v>0</v>
      </c>
      <c r="F245" s="64">
        <v>42826</v>
      </c>
      <c r="G245" s="62" t="s">
        <v>16</v>
      </c>
      <c r="H245" s="64">
        <v>42826</v>
      </c>
      <c r="I245" s="62" t="s">
        <v>17</v>
      </c>
    </row>
    <row r="246" spans="1:10" x14ac:dyDescent="0.2">
      <c r="A246" s="70" t="s">
        <v>21</v>
      </c>
      <c r="B246" s="71">
        <v>36.96</v>
      </c>
      <c r="C246" s="62">
        <v>1</v>
      </c>
      <c r="D246" s="62">
        <v>0</v>
      </c>
      <c r="E246" s="62">
        <v>0</v>
      </c>
      <c r="F246" s="64">
        <v>42826</v>
      </c>
      <c r="G246" s="62" t="s">
        <v>16</v>
      </c>
      <c r="H246" s="64">
        <v>42826</v>
      </c>
      <c r="I246" s="62" t="s">
        <v>17</v>
      </c>
    </row>
    <row r="247" spans="1:10" x14ac:dyDescent="0.2">
      <c r="A247" s="70" t="s">
        <v>22</v>
      </c>
      <c r="B247" s="71">
        <v>121.62</v>
      </c>
      <c r="C247" s="62">
        <v>1</v>
      </c>
      <c r="D247" s="62">
        <v>0</v>
      </c>
      <c r="E247" s="62">
        <v>0</v>
      </c>
      <c r="F247" s="64">
        <v>42826</v>
      </c>
      <c r="G247" s="62" t="s">
        <v>16</v>
      </c>
      <c r="H247" s="64">
        <v>42826</v>
      </c>
      <c r="I247" s="62" t="s">
        <v>17</v>
      </c>
    </row>
    <row r="248" spans="1:10" x14ac:dyDescent="0.2">
      <c r="A248" s="70" t="s">
        <v>23</v>
      </c>
      <c r="B248" s="71">
        <v>463.53</v>
      </c>
      <c r="C248" s="62">
        <v>1</v>
      </c>
      <c r="D248" s="62">
        <v>0</v>
      </c>
      <c r="E248" s="62">
        <v>0</v>
      </c>
      <c r="F248" s="64">
        <v>42826</v>
      </c>
      <c r="G248" s="62" t="s">
        <v>16</v>
      </c>
      <c r="H248" s="64">
        <v>42826</v>
      </c>
      <c r="I248" s="62" t="s">
        <v>17</v>
      </c>
    </row>
    <row r="249" spans="1:10" x14ac:dyDescent="0.2">
      <c r="A249" s="70" t="s">
        <v>361</v>
      </c>
      <c r="B249" s="71">
        <v>60.84</v>
      </c>
      <c r="C249" s="62">
        <v>1</v>
      </c>
      <c r="D249" s="62">
        <v>0</v>
      </c>
      <c r="E249" s="62">
        <v>0</v>
      </c>
      <c r="F249" s="64">
        <v>42826</v>
      </c>
      <c r="G249" s="62" t="s">
        <v>16</v>
      </c>
      <c r="H249" s="64">
        <v>42826</v>
      </c>
      <c r="I249" s="62" t="s">
        <v>17</v>
      </c>
    </row>
    <row r="250" spans="1:10" x14ac:dyDescent="0.2">
      <c r="A250" s="70" t="s">
        <v>362</v>
      </c>
      <c r="B250" s="71">
        <v>0</v>
      </c>
      <c r="C250" s="62">
        <v>1</v>
      </c>
      <c r="D250" s="62">
        <v>0</v>
      </c>
      <c r="E250" s="62">
        <v>0</v>
      </c>
      <c r="F250" s="64">
        <v>42826</v>
      </c>
      <c r="G250" s="62" t="s">
        <v>16</v>
      </c>
      <c r="H250" s="64">
        <v>42826</v>
      </c>
      <c r="I250" s="62" t="s">
        <v>17</v>
      </c>
      <c r="J250" s="71"/>
    </row>
    <row r="251" spans="1:10" x14ac:dyDescent="0.2">
      <c r="A251" s="70" t="s">
        <v>362</v>
      </c>
      <c r="B251" s="71">
        <v>0</v>
      </c>
      <c r="C251" s="62">
        <v>1</v>
      </c>
      <c r="D251" s="62">
        <v>0</v>
      </c>
      <c r="E251" s="62">
        <v>0</v>
      </c>
      <c r="F251" s="64">
        <v>42826</v>
      </c>
      <c r="G251" s="62" t="s">
        <v>16</v>
      </c>
      <c r="H251" s="64">
        <v>42826</v>
      </c>
      <c r="I251" s="62" t="s">
        <v>17</v>
      </c>
      <c r="J251" s="71"/>
    </row>
    <row r="252" spans="1:10" x14ac:dyDescent="0.2">
      <c r="A252" s="70" t="s">
        <v>363</v>
      </c>
      <c r="B252" s="71">
        <v>0</v>
      </c>
      <c r="C252" s="62">
        <v>1</v>
      </c>
      <c r="D252" s="62">
        <v>0</v>
      </c>
      <c r="E252" s="62">
        <v>0</v>
      </c>
      <c r="F252" s="64">
        <v>42826</v>
      </c>
      <c r="G252" s="62" t="s">
        <v>16</v>
      </c>
      <c r="H252" s="64">
        <v>42826</v>
      </c>
      <c r="I252" s="62" t="s">
        <v>17</v>
      </c>
      <c r="J252" s="71"/>
    </row>
    <row r="253" spans="1:10" x14ac:dyDescent="0.2">
      <c r="A253" s="70" t="s">
        <v>364</v>
      </c>
      <c r="B253" s="71">
        <v>0</v>
      </c>
      <c r="C253" s="62">
        <v>1</v>
      </c>
      <c r="D253" s="62">
        <v>0</v>
      </c>
      <c r="E253" s="62">
        <v>0</v>
      </c>
      <c r="F253" s="64">
        <v>42826</v>
      </c>
      <c r="G253" s="62" t="s">
        <v>16</v>
      </c>
      <c r="H253" s="64">
        <v>42826</v>
      </c>
      <c r="I253" s="62" t="s">
        <v>17</v>
      </c>
      <c r="J253" s="71"/>
    </row>
    <row r="254" spans="1:10" x14ac:dyDescent="0.2">
      <c r="A254" s="70" t="s">
        <v>24</v>
      </c>
      <c r="B254" s="71">
        <v>0</v>
      </c>
      <c r="C254" s="62">
        <v>1</v>
      </c>
      <c r="D254" s="62">
        <v>0</v>
      </c>
      <c r="E254" s="62">
        <v>0</v>
      </c>
      <c r="F254" s="64">
        <v>42826</v>
      </c>
      <c r="G254" s="62" t="s">
        <v>16</v>
      </c>
      <c r="H254" s="64">
        <v>42826</v>
      </c>
      <c r="I254" s="62" t="s">
        <v>17</v>
      </c>
    </row>
    <row r="255" spans="1:10" x14ac:dyDescent="0.2">
      <c r="A255" s="70" t="s">
        <v>331</v>
      </c>
      <c r="B255" s="71">
        <v>3.65</v>
      </c>
      <c r="C255" s="62">
        <v>1</v>
      </c>
      <c r="D255" s="62">
        <v>0</v>
      </c>
      <c r="E255" s="62">
        <v>0</v>
      </c>
      <c r="F255" s="64">
        <v>42826</v>
      </c>
      <c r="G255" s="62" t="s">
        <v>16</v>
      </c>
      <c r="H255" s="64">
        <v>42826</v>
      </c>
      <c r="I255" s="62" t="s">
        <v>17</v>
      </c>
    </row>
    <row r="256" spans="1:10" x14ac:dyDescent="0.2">
      <c r="A256" s="70" t="s">
        <v>330</v>
      </c>
      <c r="B256" s="72">
        <v>283.89999999999998</v>
      </c>
      <c r="C256" s="62">
        <v>1</v>
      </c>
      <c r="D256" s="62">
        <v>0</v>
      </c>
      <c r="E256" s="62">
        <v>0</v>
      </c>
      <c r="F256" s="64">
        <v>42826</v>
      </c>
      <c r="G256" s="62" t="s">
        <v>16</v>
      </c>
      <c r="H256" s="64">
        <v>42826</v>
      </c>
      <c r="I256" s="62" t="s">
        <v>17</v>
      </c>
    </row>
    <row r="257" spans="1:12" x14ac:dyDescent="0.2">
      <c r="A257" s="62" t="s">
        <v>30</v>
      </c>
      <c r="B257" s="72">
        <v>54.95</v>
      </c>
      <c r="C257" s="62">
        <v>1</v>
      </c>
      <c r="D257" s="62">
        <v>0</v>
      </c>
      <c r="E257" s="62">
        <v>0</v>
      </c>
      <c r="F257" s="64">
        <v>42826</v>
      </c>
      <c r="G257" s="62" t="s">
        <v>16</v>
      </c>
      <c r="H257" s="64">
        <v>42829</v>
      </c>
      <c r="I257" s="62" t="s">
        <v>31</v>
      </c>
      <c r="K257" s="73"/>
      <c r="L257" s="74"/>
    </row>
    <row r="258" spans="1:12" x14ac:dyDescent="0.2">
      <c r="A258" s="62" t="s">
        <v>41</v>
      </c>
      <c r="B258" s="72">
        <v>384.89</v>
      </c>
      <c r="C258" s="62">
        <v>1</v>
      </c>
      <c r="D258" s="62">
        <v>0</v>
      </c>
      <c r="E258" s="62">
        <v>0</v>
      </c>
      <c r="F258" s="64">
        <v>42826</v>
      </c>
      <c r="G258" s="62" t="s">
        <v>49</v>
      </c>
      <c r="H258" s="64">
        <v>42836</v>
      </c>
      <c r="I258" s="62" t="s">
        <v>42</v>
      </c>
      <c r="J258" s="63"/>
      <c r="K258" s="73"/>
      <c r="L258" s="74"/>
    </row>
    <row r="259" spans="1:12" x14ac:dyDescent="0.2">
      <c r="A259" s="62" t="s">
        <v>48</v>
      </c>
      <c r="B259" s="72">
        <v>1485.41</v>
      </c>
      <c r="C259" s="62">
        <v>1</v>
      </c>
      <c r="D259" s="62">
        <v>0</v>
      </c>
      <c r="E259" s="62">
        <v>0</v>
      </c>
      <c r="F259" s="64">
        <v>42826</v>
      </c>
      <c r="G259" s="62" t="s">
        <v>49</v>
      </c>
      <c r="H259" s="64">
        <v>42836</v>
      </c>
      <c r="I259" s="62" t="s">
        <v>42</v>
      </c>
      <c r="J259" s="63"/>
      <c r="K259" s="73"/>
      <c r="L259" s="74"/>
    </row>
    <row r="260" spans="1:12" x14ac:dyDescent="0.2">
      <c r="A260" s="62" t="s">
        <v>45</v>
      </c>
      <c r="B260" s="72">
        <v>85.76</v>
      </c>
      <c r="C260" s="62">
        <v>1</v>
      </c>
      <c r="D260" s="62">
        <v>0</v>
      </c>
      <c r="E260" s="62">
        <v>0</v>
      </c>
      <c r="F260" s="64">
        <v>42826</v>
      </c>
      <c r="G260" s="62" t="s">
        <v>49</v>
      </c>
      <c r="H260" s="64">
        <v>42836</v>
      </c>
      <c r="I260" s="62" t="s">
        <v>42</v>
      </c>
      <c r="K260" s="73"/>
      <c r="L260" s="74"/>
    </row>
    <row r="261" spans="1:12" x14ac:dyDescent="0.2">
      <c r="A261" s="62" t="s">
        <v>52</v>
      </c>
      <c r="B261" s="72">
        <v>45.2</v>
      </c>
      <c r="C261" s="62">
        <v>1</v>
      </c>
      <c r="D261" s="62">
        <v>0</v>
      </c>
      <c r="E261" s="62">
        <v>0</v>
      </c>
      <c r="F261" s="64">
        <v>42826</v>
      </c>
      <c r="G261" s="62" t="s">
        <v>64</v>
      </c>
      <c r="H261" s="64">
        <v>42844</v>
      </c>
      <c r="I261" s="62" t="s">
        <v>31</v>
      </c>
      <c r="K261" s="73"/>
      <c r="L261" s="74"/>
    </row>
    <row r="262" spans="1:12" x14ac:dyDescent="0.2">
      <c r="A262" s="62" t="s">
        <v>26</v>
      </c>
      <c r="B262" s="75">
        <f>SUMIFS(credito!$B$2:$B$292,credito!$F$2:$F$292,F262,credito!$G$2:$G$292,0)</f>
        <v>410.09999999999997</v>
      </c>
      <c r="C262" s="62">
        <v>1</v>
      </c>
      <c r="D262" s="62">
        <v>0</v>
      </c>
      <c r="E262" s="62">
        <v>0</v>
      </c>
      <c r="F262" s="64">
        <v>42826</v>
      </c>
      <c r="G262" s="62" t="s">
        <v>49</v>
      </c>
      <c r="H262" s="64">
        <v>42836</v>
      </c>
      <c r="I262" s="62" t="s">
        <v>27</v>
      </c>
      <c r="K262" s="73"/>
      <c r="L262" s="74"/>
    </row>
    <row r="263" spans="1:12" x14ac:dyDescent="0.2">
      <c r="A263" s="62" t="s">
        <v>63</v>
      </c>
      <c r="B263" s="72">
        <v>648.94000000000005</v>
      </c>
      <c r="C263" s="62">
        <v>1</v>
      </c>
      <c r="D263" s="62">
        <v>0</v>
      </c>
      <c r="E263" s="62">
        <v>0</v>
      </c>
      <c r="F263" s="64">
        <v>42826</v>
      </c>
      <c r="G263" s="62" t="s">
        <v>49</v>
      </c>
      <c r="H263" s="64">
        <v>42842</v>
      </c>
      <c r="I263" s="62" t="s">
        <v>65</v>
      </c>
      <c r="K263" s="73"/>
      <c r="L263" s="74"/>
    </row>
    <row r="264" spans="1:12" x14ac:dyDescent="0.2">
      <c r="A264" s="62" t="s">
        <v>53</v>
      </c>
      <c r="B264" s="75">
        <v>158</v>
      </c>
      <c r="C264" s="62">
        <v>1</v>
      </c>
      <c r="D264" s="62">
        <v>0</v>
      </c>
      <c r="E264" s="62">
        <v>0</v>
      </c>
      <c r="F264" s="64">
        <v>42826</v>
      </c>
      <c r="G264" s="62" t="s">
        <v>49</v>
      </c>
      <c r="H264" s="64">
        <v>42838</v>
      </c>
      <c r="I264" s="62" t="s">
        <v>53</v>
      </c>
      <c r="K264" s="73"/>
      <c r="L264" s="74"/>
    </row>
    <row r="265" spans="1:12" x14ac:dyDescent="0.2">
      <c r="A265" s="62" t="s">
        <v>39</v>
      </c>
      <c r="B265" s="75">
        <v>0</v>
      </c>
      <c r="C265" s="62">
        <v>1</v>
      </c>
      <c r="D265" s="62">
        <v>0</v>
      </c>
      <c r="E265" s="62">
        <v>1</v>
      </c>
      <c r="F265" s="64">
        <v>42826</v>
      </c>
      <c r="G265" s="62"/>
      <c r="H265" s="64"/>
      <c r="I265" s="62" t="s">
        <v>40</v>
      </c>
      <c r="K265" s="73"/>
      <c r="L265" s="74"/>
    </row>
    <row r="266" spans="1:12" x14ac:dyDescent="0.2">
      <c r="A266" s="62" t="s">
        <v>76</v>
      </c>
      <c r="B266" s="75">
        <v>0</v>
      </c>
      <c r="C266" s="62">
        <v>1</v>
      </c>
      <c r="D266" s="62">
        <v>0</v>
      </c>
      <c r="E266" s="62">
        <v>1</v>
      </c>
      <c r="F266" s="64">
        <v>42826</v>
      </c>
      <c r="G266" s="62"/>
      <c r="H266" s="64"/>
      <c r="I266" s="62" t="s">
        <v>42</v>
      </c>
      <c r="K266" s="73"/>
      <c r="L266" s="74"/>
    </row>
    <row r="267" spans="1:12" x14ac:dyDescent="0.2">
      <c r="A267" s="62" t="s">
        <v>54</v>
      </c>
      <c r="B267" s="75">
        <v>6.03</v>
      </c>
      <c r="C267" s="62">
        <v>1</v>
      </c>
      <c r="D267" s="62">
        <v>0</v>
      </c>
      <c r="E267" s="62">
        <v>0</v>
      </c>
      <c r="F267" s="64">
        <v>42826</v>
      </c>
      <c r="G267" s="62" t="s">
        <v>49</v>
      </c>
      <c r="H267" s="64">
        <v>42835</v>
      </c>
      <c r="I267" s="62" t="s">
        <v>31</v>
      </c>
      <c r="K267" s="73"/>
      <c r="L267" s="74"/>
    </row>
    <row r="268" spans="1:12" x14ac:dyDescent="0.2">
      <c r="A268" s="62" t="s">
        <v>66</v>
      </c>
      <c r="B268" s="63">
        <v>50</v>
      </c>
      <c r="C268" s="62">
        <v>1</v>
      </c>
      <c r="D268" s="62">
        <v>0</v>
      </c>
      <c r="E268" s="62">
        <v>0</v>
      </c>
      <c r="F268" s="64">
        <v>42826</v>
      </c>
      <c r="G268" s="62" t="s">
        <v>49</v>
      </c>
      <c r="H268" s="64">
        <v>42842</v>
      </c>
      <c r="I268" s="62" t="s">
        <v>67</v>
      </c>
      <c r="K268" s="73"/>
      <c r="L268" s="74"/>
    </row>
    <row r="269" spans="1:12" x14ac:dyDescent="0.2">
      <c r="A269" s="62" t="s">
        <v>46</v>
      </c>
      <c r="B269" s="63">
        <v>250</v>
      </c>
      <c r="C269" s="62">
        <v>0</v>
      </c>
      <c r="D269" s="62">
        <v>1</v>
      </c>
      <c r="E269" s="62">
        <v>0</v>
      </c>
      <c r="F269" s="64">
        <v>42826</v>
      </c>
      <c r="G269" s="62" t="s">
        <v>16</v>
      </c>
      <c r="H269" s="64">
        <v>42827</v>
      </c>
      <c r="I269" s="62" t="s">
        <v>33</v>
      </c>
      <c r="K269" s="73"/>
      <c r="L269" s="74"/>
    </row>
    <row r="270" spans="1:12" x14ac:dyDescent="0.2">
      <c r="A270" s="62" t="s">
        <v>321</v>
      </c>
      <c r="B270" s="63">
        <v>470.66</v>
      </c>
      <c r="C270" s="62">
        <v>0</v>
      </c>
      <c r="D270" s="62">
        <v>1</v>
      </c>
      <c r="E270" s="62">
        <v>0</v>
      </c>
      <c r="F270" s="64">
        <v>42826</v>
      </c>
      <c r="G270" s="62" t="s">
        <v>49</v>
      </c>
      <c r="H270" s="64">
        <v>42838</v>
      </c>
      <c r="I270" s="62" t="s">
        <v>33</v>
      </c>
      <c r="J270" s="69"/>
      <c r="K270" s="73"/>
      <c r="L270" s="74"/>
    </row>
    <row r="271" spans="1:12" x14ac:dyDescent="0.2">
      <c r="A271" s="62" t="s">
        <v>322</v>
      </c>
      <c r="B271" s="63">
        <v>300</v>
      </c>
      <c r="C271" s="62">
        <v>0</v>
      </c>
      <c r="D271" s="62">
        <v>1</v>
      </c>
      <c r="E271" s="62">
        <v>0</v>
      </c>
      <c r="F271" s="64">
        <v>42826</v>
      </c>
      <c r="G271" s="62" t="s">
        <v>16</v>
      </c>
      <c r="H271" s="64">
        <v>42828</v>
      </c>
      <c r="I271" s="62" t="s">
        <v>323</v>
      </c>
      <c r="J271" s="69"/>
      <c r="K271" s="73"/>
      <c r="L271" s="74"/>
    </row>
    <row r="272" spans="1:12" x14ac:dyDescent="0.2">
      <c r="A272" s="62" t="s">
        <v>56</v>
      </c>
      <c r="B272" s="63">
        <v>2</v>
      </c>
      <c r="C272" s="62">
        <v>0</v>
      </c>
      <c r="D272" s="62">
        <v>1</v>
      </c>
      <c r="E272" s="62">
        <v>0</v>
      </c>
      <c r="F272" s="64">
        <v>42826</v>
      </c>
      <c r="G272" s="62" t="s">
        <v>16</v>
      </c>
      <c r="H272" s="64">
        <v>42828</v>
      </c>
      <c r="I272" s="62" t="s">
        <v>35</v>
      </c>
      <c r="J272" s="69"/>
      <c r="K272" s="73"/>
      <c r="L272" s="74"/>
    </row>
    <row r="273" spans="1:12" x14ac:dyDescent="0.2">
      <c r="A273" s="62" t="s">
        <v>79</v>
      </c>
      <c r="B273" s="63">
        <v>4</v>
      </c>
      <c r="C273" s="62">
        <v>0</v>
      </c>
      <c r="D273" s="62">
        <v>1</v>
      </c>
      <c r="E273" s="62">
        <v>0</v>
      </c>
      <c r="F273" s="64">
        <v>42826</v>
      </c>
      <c r="G273" s="62" t="s">
        <v>16</v>
      </c>
      <c r="H273" s="64">
        <v>42828</v>
      </c>
      <c r="I273" s="62" t="s">
        <v>35</v>
      </c>
      <c r="J273" s="69"/>
      <c r="K273" s="73"/>
      <c r="L273" s="74"/>
    </row>
    <row r="274" spans="1:12" x14ac:dyDescent="0.2">
      <c r="A274" s="62" t="s">
        <v>327</v>
      </c>
      <c r="B274" s="63">
        <v>11.8</v>
      </c>
      <c r="C274" s="62">
        <v>0</v>
      </c>
      <c r="D274" s="62">
        <v>1</v>
      </c>
      <c r="E274" s="62">
        <v>0</v>
      </c>
      <c r="F274" s="64">
        <v>42826</v>
      </c>
      <c r="G274" s="62" t="s">
        <v>16</v>
      </c>
      <c r="H274" s="64">
        <v>42826</v>
      </c>
      <c r="I274" s="62" t="s">
        <v>33</v>
      </c>
      <c r="J274" s="69"/>
      <c r="K274" s="73"/>
      <c r="L274" s="74"/>
    </row>
    <row r="275" spans="1:12" x14ac:dyDescent="0.2">
      <c r="A275" s="62" t="s">
        <v>325</v>
      </c>
      <c r="B275" s="63">
        <v>32.299999999999997</v>
      </c>
      <c r="C275" s="62">
        <v>0</v>
      </c>
      <c r="D275" s="62">
        <v>1</v>
      </c>
      <c r="E275" s="62">
        <v>0</v>
      </c>
      <c r="F275" s="64">
        <v>42826</v>
      </c>
      <c r="G275" s="62" t="s">
        <v>16</v>
      </c>
      <c r="H275" s="64">
        <v>42826</v>
      </c>
      <c r="I275" s="62" t="s">
        <v>82</v>
      </c>
      <c r="J275" s="69"/>
      <c r="K275" s="73"/>
      <c r="L275" s="74"/>
    </row>
    <row r="276" spans="1:12" x14ac:dyDescent="0.2">
      <c r="A276" s="62" t="s">
        <v>301</v>
      </c>
      <c r="B276" s="63">
        <v>152.24</v>
      </c>
      <c r="C276" s="62">
        <v>0</v>
      </c>
      <c r="D276" s="62">
        <v>1</v>
      </c>
      <c r="E276" s="62">
        <v>0</v>
      </c>
      <c r="F276" s="64">
        <v>42826</v>
      </c>
      <c r="G276" s="62" t="s">
        <v>16</v>
      </c>
      <c r="H276" s="64">
        <v>42826</v>
      </c>
      <c r="I276" s="62" t="s">
        <v>33</v>
      </c>
      <c r="J276" s="69"/>
      <c r="K276" s="73"/>
      <c r="L276" s="74"/>
    </row>
    <row r="277" spans="1:12" x14ac:dyDescent="0.2">
      <c r="A277" s="62" t="s">
        <v>326</v>
      </c>
      <c r="B277" s="63">
        <v>3.12</v>
      </c>
      <c r="C277" s="62">
        <v>0</v>
      </c>
      <c r="D277" s="62">
        <v>1</v>
      </c>
      <c r="E277" s="62">
        <v>0</v>
      </c>
      <c r="F277" s="64">
        <v>42826</v>
      </c>
      <c r="G277" s="62" t="s">
        <v>16</v>
      </c>
      <c r="H277" s="64">
        <v>42828</v>
      </c>
      <c r="I277" s="62" t="s">
        <v>31</v>
      </c>
      <c r="J277" s="69"/>
      <c r="K277" s="73"/>
      <c r="L277" s="74"/>
    </row>
    <row r="278" spans="1:12" x14ac:dyDescent="0.2">
      <c r="A278" s="62" t="s">
        <v>70</v>
      </c>
      <c r="B278" s="63">
        <v>40</v>
      </c>
      <c r="C278" s="62">
        <v>0</v>
      </c>
      <c r="D278" s="62">
        <v>1</v>
      </c>
      <c r="E278" s="62">
        <v>0</v>
      </c>
      <c r="F278" s="64">
        <v>42826</v>
      </c>
      <c r="G278" s="62" t="s">
        <v>16</v>
      </c>
      <c r="H278" s="64">
        <v>42829</v>
      </c>
      <c r="I278" s="62" t="s">
        <v>70</v>
      </c>
      <c r="J278" s="69"/>
      <c r="K278" s="73"/>
      <c r="L278" s="74"/>
    </row>
    <row r="279" spans="1:12" x14ac:dyDescent="0.2">
      <c r="A279" s="62" t="s">
        <v>264</v>
      </c>
      <c r="B279" s="63">
        <v>21.42</v>
      </c>
      <c r="C279" s="62">
        <v>0</v>
      </c>
      <c r="D279" s="62">
        <v>1</v>
      </c>
      <c r="E279" s="62">
        <v>0</v>
      </c>
      <c r="F279" s="64">
        <v>42826</v>
      </c>
      <c r="G279" s="62" t="s">
        <v>16</v>
      </c>
      <c r="H279" s="64">
        <v>42830</v>
      </c>
      <c r="I279" s="62" t="s">
        <v>31</v>
      </c>
      <c r="J279" s="69"/>
      <c r="K279" s="73"/>
      <c r="L279" s="74"/>
    </row>
    <row r="280" spans="1:12" x14ac:dyDescent="0.2">
      <c r="A280" s="62" t="s">
        <v>328</v>
      </c>
      <c r="B280" s="63">
        <v>4.9000000000000004</v>
      </c>
      <c r="C280" s="62">
        <v>0</v>
      </c>
      <c r="D280" s="62">
        <v>1</v>
      </c>
      <c r="E280" s="62">
        <v>0</v>
      </c>
      <c r="F280" s="64">
        <v>42826</v>
      </c>
      <c r="G280" s="62" t="s">
        <v>16</v>
      </c>
      <c r="H280" s="64">
        <v>42830</v>
      </c>
      <c r="I280" s="62" t="s">
        <v>35</v>
      </c>
      <c r="J280" s="69"/>
      <c r="K280" s="73"/>
      <c r="L280" s="74"/>
    </row>
    <row r="281" spans="1:12" x14ac:dyDescent="0.2">
      <c r="A281" s="62" t="s">
        <v>324</v>
      </c>
      <c r="B281" s="63">
        <v>11.5</v>
      </c>
      <c r="C281" s="62">
        <v>0</v>
      </c>
      <c r="D281" s="62">
        <v>1</v>
      </c>
      <c r="E281" s="62">
        <v>0</v>
      </c>
      <c r="F281" s="64">
        <v>42826</v>
      </c>
      <c r="G281" s="62" t="s">
        <v>16</v>
      </c>
      <c r="H281" s="64">
        <v>42830</v>
      </c>
      <c r="I281" s="62" t="s">
        <v>35</v>
      </c>
      <c r="J281" s="69"/>
      <c r="K281" s="73"/>
      <c r="L281" s="74"/>
    </row>
    <row r="282" spans="1:12" x14ac:dyDescent="0.2">
      <c r="A282" s="62" t="s">
        <v>75</v>
      </c>
      <c r="B282" s="63">
        <v>18</v>
      </c>
      <c r="C282" s="62">
        <v>0</v>
      </c>
      <c r="D282" s="62">
        <v>1</v>
      </c>
      <c r="E282" s="62">
        <v>0</v>
      </c>
      <c r="F282" s="64">
        <v>42826</v>
      </c>
      <c r="G282" s="62" t="s">
        <v>16</v>
      </c>
      <c r="H282" s="64">
        <v>42831</v>
      </c>
      <c r="I282" s="62" t="s">
        <v>35</v>
      </c>
      <c r="J282" s="69"/>
      <c r="K282" s="73"/>
      <c r="L282" s="74"/>
    </row>
    <row r="283" spans="1:12" x14ac:dyDescent="0.2">
      <c r="A283" s="62" t="s">
        <v>70</v>
      </c>
      <c r="B283" s="63">
        <v>50</v>
      </c>
      <c r="C283" s="62">
        <v>0</v>
      </c>
      <c r="D283" s="62">
        <v>1</v>
      </c>
      <c r="E283" s="62">
        <v>0</v>
      </c>
      <c r="F283" s="64">
        <v>42826</v>
      </c>
      <c r="G283" s="62" t="s">
        <v>16</v>
      </c>
      <c r="H283" s="64">
        <v>42831</v>
      </c>
      <c r="I283" s="62" t="s">
        <v>35</v>
      </c>
      <c r="J283" s="69"/>
      <c r="K283" s="73"/>
      <c r="L283" s="74"/>
    </row>
    <row r="284" spans="1:12" x14ac:dyDescent="0.2">
      <c r="A284" s="62" t="s">
        <v>56</v>
      </c>
      <c r="B284" s="63">
        <v>3.49</v>
      </c>
      <c r="C284" s="62">
        <v>0</v>
      </c>
      <c r="D284" s="62">
        <v>1</v>
      </c>
      <c r="E284" s="62">
        <v>0</v>
      </c>
      <c r="F284" s="64">
        <v>42826</v>
      </c>
      <c r="G284" s="62" t="s">
        <v>16</v>
      </c>
      <c r="H284" s="64">
        <v>42832</v>
      </c>
      <c r="I284" s="62" t="s">
        <v>35</v>
      </c>
      <c r="J284" s="69"/>
      <c r="K284" s="73"/>
      <c r="L284" s="74"/>
    </row>
    <row r="285" spans="1:12" x14ac:dyDescent="0.2">
      <c r="A285" s="62" t="s">
        <v>82</v>
      </c>
      <c r="B285" s="63">
        <v>68.66</v>
      </c>
      <c r="C285" s="62">
        <v>0</v>
      </c>
      <c r="D285" s="62">
        <v>1</v>
      </c>
      <c r="E285" s="62">
        <v>0</v>
      </c>
      <c r="F285" s="64">
        <v>42826</v>
      </c>
      <c r="G285" s="62" t="s">
        <v>16</v>
      </c>
      <c r="H285" s="64">
        <v>42832</v>
      </c>
      <c r="I285" s="62" t="s">
        <v>82</v>
      </c>
      <c r="J285" s="69"/>
      <c r="K285" s="73"/>
      <c r="L285" s="74"/>
    </row>
    <row r="286" spans="1:12" x14ac:dyDescent="0.2">
      <c r="A286" s="62" t="s">
        <v>336</v>
      </c>
      <c r="B286" s="63">
        <v>64.88</v>
      </c>
      <c r="C286" s="62">
        <v>0</v>
      </c>
      <c r="D286" s="62">
        <v>1</v>
      </c>
      <c r="E286" s="62">
        <v>0</v>
      </c>
      <c r="F286" s="64">
        <v>42826</v>
      </c>
      <c r="G286" s="62" t="s">
        <v>16</v>
      </c>
      <c r="H286" s="64">
        <v>42832</v>
      </c>
      <c r="I286" s="62" t="s">
        <v>59</v>
      </c>
      <c r="J286" s="69"/>
      <c r="K286" s="73"/>
      <c r="L286" s="74"/>
    </row>
    <row r="287" spans="1:12" x14ac:dyDescent="0.2">
      <c r="A287" s="62" t="s">
        <v>104</v>
      </c>
      <c r="B287" s="63">
        <v>10.99</v>
      </c>
      <c r="C287" s="62">
        <v>0</v>
      </c>
      <c r="D287" s="62">
        <v>1</v>
      </c>
      <c r="E287" s="62">
        <v>0</v>
      </c>
      <c r="F287" s="64">
        <v>42826</v>
      </c>
      <c r="G287" s="62" t="s">
        <v>16</v>
      </c>
      <c r="H287" s="64">
        <v>42833</v>
      </c>
      <c r="I287" s="62" t="s">
        <v>104</v>
      </c>
      <c r="J287" s="69"/>
      <c r="K287" s="73"/>
      <c r="L287" s="74"/>
    </row>
    <row r="288" spans="1:12" x14ac:dyDescent="0.2">
      <c r="A288" s="62" t="s">
        <v>110</v>
      </c>
      <c r="B288" s="63">
        <v>7</v>
      </c>
      <c r="C288" s="62">
        <v>0</v>
      </c>
      <c r="D288" s="62">
        <v>1</v>
      </c>
      <c r="E288" s="62">
        <v>0</v>
      </c>
      <c r="F288" s="64">
        <v>42826</v>
      </c>
      <c r="G288" s="62" t="s">
        <v>16</v>
      </c>
      <c r="H288" s="64">
        <v>42833</v>
      </c>
      <c r="I288" s="62" t="s">
        <v>59</v>
      </c>
      <c r="J288" s="69"/>
      <c r="K288" s="73"/>
      <c r="L288" s="74"/>
    </row>
    <row r="289" spans="1:12" x14ac:dyDescent="0.2">
      <c r="A289" s="62" t="s">
        <v>337</v>
      </c>
      <c r="B289" s="63">
        <v>55.9</v>
      </c>
      <c r="C289" s="62">
        <v>0</v>
      </c>
      <c r="D289" s="62">
        <v>1</v>
      </c>
      <c r="E289" s="62">
        <v>0</v>
      </c>
      <c r="F289" s="64">
        <v>42826</v>
      </c>
      <c r="G289" s="62" t="s">
        <v>16</v>
      </c>
      <c r="H289" s="64">
        <v>42833</v>
      </c>
      <c r="I289" s="62" t="s">
        <v>59</v>
      </c>
      <c r="J289" s="69"/>
      <c r="K289" s="73"/>
      <c r="L289" s="74"/>
    </row>
    <row r="290" spans="1:12" x14ac:dyDescent="0.2">
      <c r="A290" s="62" t="s">
        <v>338</v>
      </c>
      <c r="B290" s="63">
        <v>39.9</v>
      </c>
      <c r="C290" s="62">
        <v>0</v>
      </c>
      <c r="D290" s="62">
        <v>1</v>
      </c>
      <c r="E290" s="62">
        <v>0</v>
      </c>
      <c r="F290" s="64">
        <v>42826</v>
      </c>
      <c r="G290" s="62" t="s">
        <v>16</v>
      </c>
      <c r="H290" s="64">
        <v>42833</v>
      </c>
      <c r="I290" s="62" t="s">
        <v>59</v>
      </c>
      <c r="J290" s="69"/>
      <c r="K290" s="73"/>
      <c r="L290" s="74"/>
    </row>
    <row r="291" spans="1:12" x14ac:dyDescent="0.2">
      <c r="A291" s="62" t="s">
        <v>339</v>
      </c>
      <c r="B291" s="63">
        <v>44</v>
      </c>
      <c r="C291" s="62">
        <v>0</v>
      </c>
      <c r="D291" s="62">
        <v>1</v>
      </c>
      <c r="E291" s="62">
        <v>0</v>
      </c>
      <c r="F291" s="64">
        <v>42826</v>
      </c>
      <c r="G291" s="62" t="s">
        <v>16</v>
      </c>
      <c r="H291" s="64">
        <v>42833</v>
      </c>
      <c r="I291" s="62" t="s">
        <v>59</v>
      </c>
      <c r="J291" s="69"/>
      <c r="K291" s="73"/>
      <c r="L291" s="74"/>
    </row>
    <row r="292" spans="1:12" x14ac:dyDescent="0.2">
      <c r="A292" s="62" t="s">
        <v>61</v>
      </c>
      <c r="B292" s="63">
        <v>60</v>
      </c>
      <c r="C292" s="62">
        <v>0</v>
      </c>
      <c r="D292" s="62">
        <v>1</v>
      </c>
      <c r="E292" s="62">
        <v>0</v>
      </c>
      <c r="F292" s="64">
        <v>42826</v>
      </c>
      <c r="G292" s="62" t="s">
        <v>16</v>
      </c>
      <c r="H292" s="64">
        <v>42833</v>
      </c>
      <c r="I292" s="62" t="s">
        <v>59</v>
      </c>
      <c r="J292" s="69"/>
      <c r="K292" s="73"/>
      <c r="L292" s="74"/>
    </row>
    <row r="293" spans="1:12" x14ac:dyDescent="0.2">
      <c r="A293" s="62" t="s">
        <v>340</v>
      </c>
      <c r="B293" s="63">
        <v>5.19</v>
      </c>
      <c r="C293" s="62">
        <v>0</v>
      </c>
      <c r="D293" s="62">
        <v>1</v>
      </c>
      <c r="E293" s="62">
        <v>0</v>
      </c>
      <c r="F293" s="64">
        <v>42826</v>
      </c>
      <c r="G293" s="62" t="s">
        <v>16</v>
      </c>
      <c r="H293" s="64">
        <v>42833</v>
      </c>
      <c r="I293" s="62" t="s">
        <v>29</v>
      </c>
      <c r="J293" s="69"/>
      <c r="K293" s="73"/>
      <c r="L293" s="74"/>
    </row>
    <row r="294" spans="1:12" x14ac:dyDescent="0.2">
      <c r="A294" s="62" t="s">
        <v>82</v>
      </c>
      <c r="B294" s="63">
        <v>12</v>
      </c>
      <c r="C294" s="62">
        <v>0</v>
      </c>
      <c r="D294" s="62">
        <v>1</v>
      </c>
      <c r="E294" s="62">
        <v>0</v>
      </c>
      <c r="F294" s="64">
        <v>42826</v>
      </c>
      <c r="G294" s="62" t="s">
        <v>16</v>
      </c>
      <c r="H294" s="64">
        <v>42833</v>
      </c>
      <c r="I294" s="62" t="s">
        <v>82</v>
      </c>
      <c r="J294" s="69"/>
      <c r="K294" s="73"/>
      <c r="L294" s="74"/>
    </row>
    <row r="295" spans="1:12" x14ac:dyDescent="0.2">
      <c r="A295" s="62" t="s">
        <v>341</v>
      </c>
      <c r="B295" s="63">
        <v>52</v>
      </c>
      <c r="C295" s="62">
        <v>0</v>
      </c>
      <c r="D295" s="62">
        <v>1</v>
      </c>
      <c r="E295" s="62">
        <v>0</v>
      </c>
      <c r="F295" s="64">
        <v>42826</v>
      </c>
      <c r="G295" s="62" t="s">
        <v>16</v>
      </c>
      <c r="H295" s="64">
        <v>42833</v>
      </c>
      <c r="I295" s="62" t="s">
        <v>33</v>
      </c>
      <c r="J295" s="69"/>
      <c r="K295" s="73"/>
      <c r="L295" s="74"/>
    </row>
    <row r="296" spans="1:12" x14ac:dyDescent="0.2">
      <c r="A296" s="62" t="s">
        <v>47</v>
      </c>
      <c r="B296" s="63">
        <v>50</v>
      </c>
      <c r="C296" s="62">
        <v>0</v>
      </c>
      <c r="D296" s="62">
        <v>1</v>
      </c>
      <c r="E296" s="62">
        <v>0</v>
      </c>
      <c r="F296" s="64">
        <v>42826</v>
      </c>
      <c r="G296" s="62" t="s">
        <v>16</v>
      </c>
      <c r="H296" s="64">
        <v>42834</v>
      </c>
      <c r="I296" s="62" t="s">
        <v>47</v>
      </c>
      <c r="J296" s="69"/>
      <c r="K296" s="73"/>
      <c r="L296" s="74"/>
    </row>
    <row r="297" spans="1:12" x14ac:dyDescent="0.2">
      <c r="A297" s="62" t="s">
        <v>82</v>
      </c>
      <c r="B297" s="63">
        <v>30</v>
      </c>
      <c r="C297" s="62">
        <v>0</v>
      </c>
      <c r="D297" s="62">
        <v>1</v>
      </c>
      <c r="E297" s="62">
        <v>0</v>
      </c>
      <c r="F297" s="64">
        <v>42826</v>
      </c>
      <c r="G297" s="62" t="s">
        <v>16</v>
      </c>
      <c r="H297" s="64">
        <v>42834</v>
      </c>
      <c r="I297" s="62" t="s">
        <v>82</v>
      </c>
      <c r="J297" s="69"/>
      <c r="K297" s="73"/>
      <c r="L297" s="74"/>
    </row>
    <row r="298" spans="1:12" x14ac:dyDescent="0.2">
      <c r="A298" s="62" t="s">
        <v>341</v>
      </c>
      <c r="B298" s="63">
        <v>50</v>
      </c>
      <c r="C298" s="62">
        <v>0</v>
      </c>
      <c r="D298" s="62">
        <v>1</v>
      </c>
      <c r="E298" s="62">
        <v>0</v>
      </c>
      <c r="F298" s="64">
        <v>42826</v>
      </c>
      <c r="G298" s="62" t="s">
        <v>16</v>
      </c>
      <c r="H298" s="64">
        <v>42834</v>
      </c>
      <c r="I298" s="62" t="s">
        <v>33</v>
      </c>
      <c r="J298" s="69"/>
      <c r="K298" s="73"/>
      <c r="L298" s="74"/>
    </row>
    <row r="299" spans="1:12" x14ac:dyDescent="0.2">
      <c r="A299" s="62" t="s">
        <v>72</v>
      </c>
      <c r="B299" s="63">
        <v>5.6</v>
      </c>
      <c r="C299" s="62">
        <v>0</v>
      </c>
      <c r="D299" s="62">
        <v>1</v>
      </c>
      <c r="E299" s="62">
        <v>0</v>
      </c>
      <c r="F299" s="64">
        <v>42826</v>
      </c>
      <c r="G299" s="62" t="s">
        <v>16</v>
      </c>
      <c r="H299" s="64">
        <v>42834</v>
      </c>
      <c r="I299" s="62" t="s">
        <v>72</v>
      </c>
      <c r="J299" s="69"/>
      <c r="K299" s="73"/>
      <c r="L299" s="74"/>
    </row>
    <row r="300" spans="1:12" x14ac:dyDescent="0.2">
      <c r="A300" s="62" t="s">
        <v>342</v>
      </c>
      <c r="B300" s="63">
        <v>80.930000000000007</v>
      </c>
      <c r="C300" s="62">
        <v>0</v>
      </c>
      <c r="D300" s="62">
        <v>1</v>
      </c>
      <c r="E300" s="62">
        <v>0</v>
      </c>
      <c r="F300" s="64">
        <v>42826</v>
      </c>
      <c r="G300" s="62" t="s">
        <v>49</v>
      </c>
      <c r="H300" s="64">
        <v>42835</v>
      </c>
      <c r="I300" s="62" t="s">
        <v>72</v>
      </c>
      <c r="J300" s="69"/>
      <c r="K300" s="73"/>
      <c r="L300" s="74"/>
    </row>
    <row r="301" spans="1:12" x14ac:dyDescent="0.2">
      <c r="A301" s="62" t="s">
        <v>343</v>
      </c>
      <c r="B301" s="63">
        <v>500</v>
      </c>
      <c r="C301" s="62">
        <v>0</v>
      </c>
      <c r="D301" s="62">
        <v>1</v>
      </c>
      <c r="E301" s="62">
        <v>0</v>
      </c>
      <c r="F301" s="64">
        <v>42826</v>
      </c>
      <c r="G301" s="62" t="s">
        <v>49</v>
      </c>
      <c r="H301" s="64">
        <v>42836</v>
      </c>
      <c r="I301" s="62" t="s">
        <v>357</v>
      </c>
      <c r="J301" s="69"/>
      <c r="K301" s="73"/>
      <c r="L301" s="74"/>
    </row>
    <row r="302" spans="1:12" x14ac:dyDescent="0.2">
      <c r="A302" s="62" t="s">
        <v>332</v>
      </c>
      <c r="B302" s="63">
        <v>0</v>
      </c>
      <c r="C302" s="62">
        <v>0</v>
      </c>
      <c r="D302" s="62">
        <v>1</v>
      </c>
      <c r="E302" s="62">
        <v>1</v>
      </c>
      <c r="F302" s="64">
        <v>42826</v>
      </c>
      <c r="G302" s="62"/>
      <c r="H302" s="64"/>
      <c r="I302" s="62" t="s">
        <v>334</v>
      </c>
      <c r="J302" s="63"/>
      <c r="K302" s="73"/>
      <c r="L302" s="74"/>
    </row>
    <row r="303" spans="1:12" x14ac:dyDescent="0.2">
      <c r="A303" s="62" t="s">
        <v>333</v>
      </c>
      <c r="B303" s="63">
        <v>0</v>
      </c>
      <c r="C303" s="62">
        <v>0</v>
      </c>
      <c r="D303" s="62">
        <v>1</v>
      </c>
      <c r="E303" s="62">
        <v>1</v>
      </c>
      <c r="F303" s="64">
        <v>42826</v>
      </c>
      <c r="G303" s="62"/>
      <c r="H303" s="64"/>
      <c r="I303" s="62" t="s">
        <v>334</v>
      </c>
      <c r="J303" s="63"/>
      <c r="K303" s="73"/>
      <c r="L303" s="74"/>
    </row>
    <row r="304" spans="1:12" x14ac:dyDescent="0.2">
      <c r="A304" s="62" t="s">
        <v>335</v>
      </c>
      <c r="B304" s="63">
        <v>0</v>
      </c>
      <c r="C304" s="62">
        <v>0</v>
      </c>
      <c r="D304" s="62">
        <v>1</v>
      </c>
      <c r="E304" s="62">
        <v>1</v>
      </c>
      <c r="F304" s="64">
        <v>42826</v>
      </c>
      <c r="G304" s="62"/>
      <c r="H304" s="64"/>
      <c r="I304" s="62" t="s">
        <v>334</v>
      </c>
      <c r="J304" s="63"/>
      <c r="K304" s="73"/>
      <c r="L304" s="74"/>
    </row>
    <row r="305" spans="1:12" x14ac:dyDescent="0.2">
      <c r="A305" s="62" t="s">
        <v>344</v>
      </c>
      <c r="B305" s="63">
        <v>0</v>
      </c>
      <c r="C305" s="62">
        <v>0</v>
      </c>
      <c r="D305" s="62">
        <v>1</v>
      </c>
      <c r="E305" s="62">
        <v>1</v>
      </c>
      <c r="F305" s="64">
        <v>42826</v>
      </c>
      <c r="G305" s="62"/>
      <c r="H305" s="64"/>
      <c r="I305" s="62" t="s">
        <v>42</v>
      </c>
      <c r="J305" s="69"/>
      <c r="K305" s="73"/>
      <c r="L305" s="74"/>
    </row>
    <row r="306" spans="1:12" x14ac:dyDescent="0.2">
      <c r="A306" s="62" t="s">
        <v>345</v>
      </c>
      <c r="B306" s="63">
        <v>250</v>
      </c>
      <c r="C306" s="62">
        <v>0</v>
      </c>
      <c r="D306" s="62">
        <v>1</v>
      </c>
      <c r="E306" s="62">
        <v>0</v>
      </c>
      <c r="F306" s="64">
        <v>42826</v>
      </c>
      <c r="G306" s="62" t="s">
        <v>77</v>
      </c>
      <c r="H306" s="64">
        <v>42849</v>
      </c>
      <c r="I306" s="62" t="s">
        <v>302</v>
      </c>
      <c r="J306" s="69"/>
      <c r="K306" s="73"/>
      <c r="L306" s="74"/>
    </row>
    <row r="307" spans="1:12" x14ac:dyDescent="0.2">
      <c r="A307" s="62" t="s">
        <v>29</v>
      </c>
      <c r="B307" s="63">
        <v>50.15</v>
      </c>
      <c r="C307" s="62">
        <v>0</v>
      </c>
      <c r="D307" s="62">
        <v>1</v>
      </c>
      <c r="E307" s="62">
        <v>0</v>
      </c>
      <c r="F307" s="64">
        <v>42826</v>
      </c>
      <c r="G307" s="62" t="s">
        <v>49</v>
      </c>
      <c r="H307" s="64">
        <v>42838</v>
      </c>
      <c r="I307" s="62" t="s">
        <v>334</v>
      </c>
      <c r="J307" s="69"/>
      <c r="K307" s="73"/>
      <c r="L307" s="74"/>
    </row>
    <row r="308" spans="1:12" x14ac:dyDescent="0.2">
      <c r="A308" s="62" t="s">
        <v>301</v>
      </c>
      <c r="B308" s="63">
        <v>169</v>
      </c>
      <c r="C308" s="62">
        <v>0</v>
      </c>
      <c r="D308" s="62">
        <v>1</v>
      </c>
      <c r="E308" s="62">
        <v>0</v>
      </c>
      <c r="F308" s="64">
        <v>42826</v>
      </c>
      <c r="G308" s="62" t="s">
        <v>49</v>
      </c>
      <c r="H308" s="64">
        <v>42838</v>
      </c>
      <c r="I308" s="62" t="s">
        <v>334</v>
      </c>
      <c r="J308" s="69"/>
      <c r="K308" s="73"/>
      <c r="L308" s="74"/>
    </row>
    <row r="309" spans="1:12" x14ac:dyDescent="0.2">
      <c r="A309" s="62" t="s">
        <v>207</v>
      </c>
      <c r="B309" s="63">
        <v>54.79</v>
      </c>
      <c r="C309" s="62">
        <v>0</v>
      </c>
      <c r="D309" s="62">
        <v>1</v>
      </c>
      <c r="E309" s="62">
        <v>0</v>
      </c>
      <c r="F309" s="64">
        <v>42826</v>
      </c>
      <c r="G309" s="62" t="s">
        <v>49</v>
      </c>
      <c r="H309" s="64">
        <v>42838</v>
      </c>
      <c r="I309" s="62" t="s">
        <v>334</v>
      </c>
      <c r="J309" s="69"/>
      <c r="K309" s="73"/>
      <c r="L309" s="74"/>
    </row>
    <row r="310" spans="1:12" x14ac:dyDescent="0.2">
      <c r="A310" s="62" t="s">
        <v>346</v>
      </c>
      <c r="B310" s="63">
        <v>12.9</v>
      </c>
      <c r="C310" s="62">
        <v>0</v>
      </c>
      <c r="D310" s="62">
        <v>1</v>
      </c>
      <c r="E310" s="62">
        <v>0</v>
      </c>
      <c r="F310" s="64">
        <v>42826</v>
      </c>
      <c r="G310" s="62" t="s">
        <v>49</v>
      </c>
      <c r="H310" s="64">
        <v>42838</v>
      </c>
      <c r="I310" s="62" t="s">
        <v>334</v>
      </c>
      <c r="J310" s="69"/>
      <c r="K310" s="73"/>
      <c r="L310" s="74"/>
    </row>
    <row r="311" spans="1:12" x14ac:dyDescent="0.2">
      <c r="A311" s="62" t="s">
        <v>347</v>
      </c>
      <c r="B311" s="63">
        <v>97.94</v>
      </c>
      <c r="C311" s="62">
        <v>0</v>
      </c>
      <c r="D311" s="62">
        <v>1</v>
      </c>
      <c r="E311" s="62">
        <v>0</v>
      </c>
      <c r="F311" s="64">
        <v>42826</v>
      </c>
      <c r="G311" s="62" t="s">
        <v>49</v>
      </c>
      <c r="H311" s="64">
        <v>42838</v>
      </c>
      <c r="I311" s="62" t="s">
        <v>334</v>
      </c>
      <c r="J311" s="69"/>
      <c r="K311" s="73"/>
      <c r="L311" s="74"/>
    </row>
    <row r="312" spans="1:12" x14ac:dyDescent="0.2">
      <c r="A312" s="62" t="s">
        <v>29</v>
      </c>
      <c r="B312" s="63">
        <v>76.87</v>
      </c>
      <c r="C312" s="62">
        <v>0</v>
      </c>
      <c r="D312" s="62">
        <v>1</v>
      </c>
      <c r="E312" s="62">
        <v>0</v>
      </c>
      <c r="F312" s="64">
        <v>42826</v>
      </c>
      <c r="G312" s="62" t="s">
        <v>49</v>
      </c>
      <c r="H312" s="64">
        <v>42840</v>
      </c>
      <c r="I312" s="62" t="s">
        <v>334</v>
      </c>
      <c r="J312" s="69"/>
      <c r="K312" s="73"/>
      <c r="L312" s="74"/>
    </row>
    <row r="313" spans="1:12" x14ac:dyDescent="0.2">
      <c r="A313" s="62" t="s">
        <v>348</v>
      </c>
      <c r="B313" s="63">
        <v>130</v>
      </c>
      <c r="C313" s="62">
        <v>0</v>
      </c>
      <c r="D313" s="62">
        <v>1</v>
      </c>
      <c r="E313" s="62">
        <v>0</v>
      </c>
      <c r="F313" s="64">
        <v>42826</v>
      </c>
      <c r="G313" s="62" t="s">
        <v>49</v>
      </c>
      <c r="H313" s="64">
        <v>42839</v>
      </c>
      <c r="I313" s="62" t="s">
        <v>334</v>
      </c>
      <c r="J313" s="69"/>
      <c r="K313" s="73"/>
      <c r="L313" s="74"/>
    </row>
    <row r="314" spans="1:12" x14ac:dyDescent="0.2">
      <c r="A314" s="62" t="s">
        <v>82</v>
      </c>
      <c r="B314" s="63">
        <v>51.7</v>
      </c>
      <c r="C314" s="62">
        <v>0</v>
      </c>
      <c r="D314" s="62">
        <v>1</v>
      </c>
      <c r="E314" s="62">
        <v>0</v>
      </c>
      <c r="F314" s="64">
        <v>42826</v>
      </c>
      <c r="G314" s="62" t="s">
        <v>49</v>
      </c>
      <c r="H314" s="64">
        <v>42839</v>
      </c>
      <c r="I314" s="62" t="s">
        <v>334</v>
      </c>
      <c r="J314" s="69"/>
      <c r="K314" s="73"/>
      <c r="L314" s="74"/>
    </row>
    <row r="315" spans="1:12" x14ac:dyDescent="0.2">
      <c r="A315" s="62" t="s">
        <v>349</v>
      </c>
      <c r="B315" s="63">
        <v>17</v>
      </c>
      <c r="C315" s="62">
        <v>0</v>
      </c>
      <c r="D315" s="62">
        <v>1</v>
      </c>
      <c r="E315" s="62">
        <v>0</v>
      </c>
      <c r="F315" s="64">
        <v>42826</v>
      </c>
      <c r="G315" s="62" t="s">
        <v>49</v>
      </c>
      <c r="H315" s="64">
        <v>42840</v>
      </c>
      <c r="I315" s="62" t="s">
        <v>334</v>
      </c>
      <c r="J315" s="69"/>
      <c r="K315" s="73"/>
      <c r="L315" s="74"/>
    </row>
    <row r="316" spans="1:12" x14ac:dyDescent="0.2">
      <c r="A316" s="62" t="s">
        <v>350</v>
      </c>
      <c r="B316" s="63">
        <v>12.74</v>
      </c>
      <c r="C316" s="62">
        <v>0</v>
      </c>
      <c r="D316" s="62">
        <v>1</v>
      </c>
      <c r="E316" s="62">
        <v>0</v>
      </c>
      <c r="F316" s="64">
        <v>42826</v>
      </c>
      <c r="G316" s="62" t="s">
        <v>49</v>
      </c>
      <c r="H316" s="64">
        <v>42840</v>
      </c>
      <c r="I316" s="62" t="s">
        <v>334</v>
      </c>
      <c r="J316" s="69"/>
      <c r="K316" s="73"/>
      <c r="L316" s="74"/>
    </row>
    <row r="317" spans="1:12" x14ac:dyDescent="0.2">
      <c r="A317" s="62" t="s">
        <v>351</v>
      </c>
      <c r="B317" s="63">
        <v>21.99</v>
      </c>
      <c r="C317" s="62">
        <v>0</v>
      </c>
      <c r="D317" s="62">
        <v>1</v>
      </c>
      <c r="E317" s="62">
        <v>0</v>
      </c>
      <c r="F317" s="64">
        <v>42826</v>
      </c>
      <c r="G317" s="62" t="s">
        <v>49</v>
      </c>
      <c r="H317" s="64">
        <v>42840</v>
      </c>
      <c r="I317" s="62" t="s">
        <v>334</v>
      </c>
      <c r="J317" s="69"/>
      <c r="K317" s="73"/>
      <c r="L317" s="74"/>
    </row>
    <row r="318" spans="1:12" x14ac:dyDescent="0.2">
      <c r="A318" s="62" t="s">
        <v>301</v>
      </c>
      <c r="B318" s="63">
        <v>158</v>
      </c>
      <c r="C318" s="62">
        <v>0</v>
      </c>
      <c r="D318" s="62">
        <v>1</v>
      </c>
      <c r="E318" s="62">
        <v>0</v>
      </c>
      <c r="F318" s="64">
        <v>42826</v>
      </c>
      <c r="G318" s="62" t="s">
        <v>49</v>
      </c>
      <c r="H318" s="64">
        <v>42839</v>
      </c>
      <c r="I318" s="62" t="s">
        <v>334</v>
      </c>
      <c r="J318" s="69"/>
      <c r="K318" s="73"/>
      <c r="L318" s="74"/>
    </row>
    <row r="319" spans="1:12" x14ac:dyDescent="0.2">
      <c r="A319" s="62" t="s">
        <v>301</v>
      </c>
      <c r="B319" s="63">
        <v>141</v>
      </c>
      <c r="C319" s="62">
        <v>0</v>
      </c>
      <c r="D319" s="62">
        <v>1</v>
      </c>
      <c r="E319" s="62">
        <v>0</v>
      </c>
      <c r="F319" s="64">
        <v>42826</v>
      </c>
      <c r="G319" s="62" t="s">
        <v>49</v>
      </c>
      <c r="H319" s="64">
        <v>42839</v>
      </c>
      <c r="I319" s="62" t="s">
        <v>334</v>
      </c>
      <c r="J319" s="69"/>
      <c r="K319" s="73"/>
      <c r="L319" s="74"/>
    </row>
    <row r="320" spans="1:12" x14ac:dyDescent="0.2">
      <c r="A320" s="62" t="s">
        <v>301</v>
      </c>
      <c r="B320" s="63">
        <v>121.31</v>
      </c>
      <c r="C320" s="62">
        <v>0</v>
      </c>
      <c r="D320" s="62">
        <v>1</v>
      </c>
      <c r="E320" s="62">
        <v>0</v>
      </c>
      <c r="F320" s="64">
        <v>42826</v>
      </c>
      <c r="G320" s="62" t="s">
        <v>49</v>
      </c>
      <c r="H320" s="64">
        <v>42840</v>
      </c>
      <c r="I320" s="62" t="s">
        <v>334</v>
      </c>
      <c r="J320" s="69"/>
      <c r="K320" s="73"/>
      <c r="L320" s="74"/>
    </row>
    <row r="321" spans="1:12" x14ac:dyDescent="0.2">
      <c r="A321" s="62" t="s">
        <v>352</v>
      </c>
      <c r="B321" s="63">
        <v>24.42</v>
      </c>
      <c r="C321" s="62">
        <v>0</v>
      </c>
      <c r="D321" s="62">
        <v>1</v>
      </c>
      <c r="E321" s="62">
        <v>0</v>
      </c>
      <c r="F321" s="64">
        <v>42826</v>
      </c>
      <c r="G321" s="62" t="s">
        <v>49</v>
      </c>
      <c r="H321" s="64">
        <v>42839</v>
      </c>
      <c r="I321" s="62" t="s">
        <v>334</v>
      </c>
      <c r="J321" s="69"/>
      <c r="K321" s="73"/>
      <c r="L321" s="74"/>
    </row>
    <row r="322" spans="1:12" x14ac:dyDescent="0.2">
      <c r="A322" s="62" t="s">
        <v>352</v>
      </c>
      <c r="B322" s="63">
        <v>13.2</v>
      </c>
      <c r="C322" s="62">
        <v>0</v>
      </c>
      <c r="D322" s="62">
        <v>1</v>
      </c>
      <c r="E322" s="62">
        <v>0</v>
      </c>
      <c r="F322" s="64">
        <v>42826</v>
      </c>
      <c r="G322" s="62" t="s">
        <v>49</v>
      </c>
      <c r="H322" s="64">
        <v>42839</v>
      </c>
      <c r="I322" s="62" t="s">
        <v>334</v>
      </c>
      <c r="J322" s="69"/>
      <c r="K322" s="73"/>
      <c r="L322" s="74"/>
    </row>
    <row r="323" spans="1:12" x14ac:dyDescent="0.2">
      <c r="A323" s="62" t="s">
        <v>91</v>
      </c>
      <c r="B323" s="63">
        <v>300</v>
      </c>
      <c r="C323" s="62">
        <v>0</v>
      </c>
      <c r="D323" s="62">
        <v>1</v>
      </c>
      <c r="E323" s="62">
        <v>0</v>
      </c>
      <c r="F323" s="64">
        <v>42826</v>
      </c>
      <c r="G323" s="62" t="s">
        <v>64</v>
      </c>
      <c r="H323" s="64">
        <v>42843</v>
      </c>
      <c r="I323" s="62" t="s">
        <v>334</v>
      </c>
      <c r="J323" s="69"/>
      <c r="K323" s="73"/>
      <c r="L323" s="74"/>
    </row>
    <row r="324" spans="1:12" x14ac:dyDescent="0.2">
      <c r="A324" s="62" t="s">
        <v>29</v>
      </c>
      <c r="B324" s="63">
        <v>100</v>
      </c>
      <c r="C324" s="62">
        <v>0</v>
      </c>
      <c r="D324" s="62">
        <v>1</v>
      </c>
      <c r="E324" s="62">
        <v>0</v>
      </c>
      <c r="F324" s="64">
        <v>42826</v>
      </c>
      <c r="G324" s="62" t="s">
        <v>64</v>
      </c>
      <c r="H324" s="64">
        <v>42843</v>
      </c>
      <c r="I324" s="62" t="s">
        <v>334</v>
      </c>
      <c r="J324" s="69"/>
      <c r="K324" s="73"/>
      <c r="L324" s="74"/>
    </row>
    <row r="325" spans="1:12" x14ac:dyDescent="0.2">
      <c r="A325" s="62" t="s">
        <v>47</v>
      </c>
      <c r="B325" s="63">
        <v>100</v>
      </c>
      <c r="C325" s="62">
        <v>0</v>
      </c>
      <c r="D325" s="62">
        <v>1</v>
      </c>
      <c r="E325" s="62">
        <v>0</v>
      </c>
      <c r="F325" s="64">
        <v>42826</v>
      </c>
      <c r="G325" s="62" t="s">
        <v>64</v>
      </c>
      <c r="H325" s="64">
        <v>42843</v>
      </c>
      <c r="I325" s="62" t="s">
        <v>334</v>
      </c>
      <c r="J325" s="69"/>
      <c r="K325" s="73"/>
      <c r="L325" s="74"/>
    </row>
    <row r="326" spans="1:12" x14ac:dyDescent="0.2">
      <c r="A326" s="62" t="s">
        <v>353</v>
      </c>
      <c r="B326" s="63">
        <v>150</v>
      </c>
      <c r="C326" s="62">
        <v>0</v>
      </c>
      <c r="D326" s="62">
        <v>1</v>
      </c>
      <c r="E326" s="62">
        <v>0</v>
      </c>
      <c r="F326" s="64">
        <v>42826</v>
      </c>
      <c r="G326" s="62" t="s">
        <v>77</v>
      </c>
      <c r="H326" s="64">
        <v>42850</v>
      </c>
      <c r="I326" s="62" t="s">
        <v>334</v>
      </c>
      <c r="J326" s="69"/>
      <c r="K326" s="73"/>
      <c r="L326" s="74"/>
    </row>
    <row r="327" spans="1:12" x14ac:dyDescent="0.2">
      <c r="A327" s="62" t="s">
        <v>91</v>
      </c>
      <c r="B327" s="63">
        <v>150</v>
      </c>
      <c r="C327" s="62">
        <v>0</v>
      </c>
      <c r="D327" s="62">
        <v>1</v>
      </c>
      <c r="E327" s="62">
        <v>0</v>
      </c>
      <c r="F327" s="64">
        <v>42826</v>
      </c>
      <c r="G327" s="62" t="s">
        <v>77</v>
      </c>
      <c r="H327" s="64">
        <v>42850</v>
      </c>
      <c r="I327" s="62" t="s">
        <v>334</v>
      </c>
      <c r="J327" s="69"/>
      <c r="K327" s="73"/>
      <c r="L327" s="74"/>
    </row>
    <row r="328" spans="1:12" x14ac:dyDescent="0.2">
      <c r="A328" s="62" t="s">
        <v>91</v>
      </c>
      <c r="B328" s="63">
        <v>300</v>
      </c>
      <c r="C328" s="62">
        <v>0</v>
      </c>
      <c r="D328" s="62">
        <v>1</v>
      </c>
      <c r="E328" s="62">
        <v>0</v>
      </c>
      <c r="F328" s="64">
        <v>42826</v>
      </c>
      <c r="G328" s="62" t="s">
        <v>49</v>
      </c>
      <c r="H328" s="64">
        <v>42837</v>
      </c>
      <c r="I328" s="62" t="s">
        <v>334</v>
      </c>
      <c r="J328" s="69"/>
      <c r="K328" s="73"/>
      <c r="L328" s="74"/>
    </row>
    <row r="329" spans="1:12" x14ac:dyDescent="0.2">
      <c r="A329" s="62" t="s">
        <v>333</v>
      </c>
      <c r="B329" s="63">
        <f>(16*2.1)+4.1+4.1</f>
        <v>41.800000000000004</v>
      </c>
      <c r="C329" s="62">
        <v>0</v>
      </c>
      <c r="D329" s="62">
        <v>1</v>
      </c>
      <c r="E329" s="62">
        <v>0</v>
      </c>
      <c r="F329" s="64">
        <v>42826</v>
      </c>
      <c r="G329" s="62" t="s">
        <v>77</v>
      </c>
      <c r="H329" s="64">
        <v>42852</v>
      </c>
      <c r="I329" s="62" t="s">
        <v>334</v>
      </c>
      <c r="J329" s="69"/>
      <c r="K329" s="73"/>
      <c r="L329" s="74"/>
    </row>
    <row r="330" spans="1:12" x14ac:dyDescent="0.2">
      <c r="A330" s="62" t="s">
        <v>313</v>
      </c>
      <c r="B330" s="63">
        <v>18.440000000000001</v>
      </c>
      <c r="C330" s="62">
        <v>0</v>
      </c>
      <c r="D330" s="62">
        <v>1</v>
      </c>
      <c r="E330" s="62">
        <v>0</v>
      </c>
      <c r="F330" s="64">
        <v>42826</v>
      </c>
      <c r="G330" s="62" t="s">
        <v>49</v>
      </c>
      <c r="H330" s="64">
        <v>42837</v>
      </c>
      <c r="I330" s="62" t="s">
        <v>72</v>
      </c>
      <c r="J330" s="69"/>
      <c r="K330" s="73"/>
      <c r="L330" s="74"/>
    </row>
    <row r="331" spans="1:12" x14ac:dyDescent="0.2">
      <c r="A331" s="62" t="s">
        <v>354</v>
      </c>
      <c r="B331" s="63">
        <v>55</v>
      </c>
      <c r="C331" s="62">
        <v>0</v>
      </c>
      <c r="D331" s="62">
        <v>1</v>
      </c>
      <c r="E331" s="62">
        <v>0</v>
      </c>
      <c r="F331" s="64">
        <v>42826</v>
      </c>
      <c r="G331" s="62" t="s">
        <v>77</v>
      </c>
      <c r="H331" s="64">
        <v>42849</v>
      </c>
      <c r="I331" s="62" t="s">
        <v>334</v>
      </c>
      <c r="J331" s="69"/>
      <c r="K331" s="73"/>
      <c r="L331" s="74"/>
    </row>
    <row r="332" spans="1:12" x14ac:dyDescent="0.2">
      <c r="A332" s="62" t="s">
        <v>355</v>
      </c>
      <c r="B332" s="63">
        <v>61.66</v>
      </c>
      <c r="C332" s="62">
        <v>0</v>
      </c>
      <c r="D332" s="62">
        <v>1</v>
      </c>
      <c r="E332" s="62">
        <v>0</v>
      </c>
      <c r="F332" s="64">
        <v>42826</v>
      </c>
      <c r="G332" s="62" t="s">
        <v>77</v>
      </c>
      <c r="H332" s="64">
        <v>42849</v>
      </c>
      <c r="I332" s="62" t="s">
        <v>334</v>
      </c>
      <c r="J332" s="69"/>
      <c r="K332" s="73"/>
      <c r="L332" s="74"/>
    </row>
    <row r="333" spans="1:12" x14ac:dyDescent="0.2">
      <c r="A333" s="62" t="s">
        <v>355</v>
      </c>
      <c r="B333" s="63">
        <v>31.44</v>
      </c>
      <c r="C333" s="62">
        <v>0</v>
      </c>
      <c r="D333" s="62">
        <v>1</v>
      </c>
      <c r="E333" s="62">
        <v>0</v>
      </c>
      <c r="F333" s="64">
        <v>42826</v>
      </c>
      <c r="G333" s="62" t="s">
        <v>77</v>
      </c>
      <c r="H333" s="64">
        <v>42849</v>
      </c>
      <c r="I333" s="62" t="s">
        <v>334</v>
      </c>
      <c r="J333" s="69"/>
      <c r="K333" s="73"/>
      <c r="L333" s="74"/>
    </row>
    <row r="334" spans="1:12" x14ac:dyDescent="0.2">
      <c r="A334" s="62" t="s">
        <v>355</v>
      </c>
      <c r="B334" s="63">
        <v>49.99</v>
      </c>
      <c r="C334" s="62">
        <v>0</v>
      </c>
      <c r="D334" s="62">
        <v>1</v>
      </c>
      <c r="E334" s="62">
        <v>0</v>
      </c>
      <c r="F334" s="64">
        <v>42826</v>
      </c>
      <c r="G334" s="62" t="s">
        <v>77</v>
      </c>
      <c r="H334" s="64">
        <v>42849</v>
      </c>
      <c r="I334" s="62" t="s">
        <v>334</v>
      </c>
      <c r="J334" s="69"/>
      <c r="K334" s="73"/>
      <c r="L334" s="74"/>
    </row>
    <row r="335" spans="1:12" x14ac:dyDescent="0.2">
      <c r="A335" s="62" t="s">
        <v>301</v>
      </c>
      <c r="B335" s="63">
        <v>163.98</v>
      </c>
      <c r="C335" s="62">
        <v>0</v>
      </c>
      <c r="D335" s="62">
        <v>1</v>
      </c>
      <c r="E335" s="62">
        <v>0</v>
      </c>
      <c r="F335" s="64">
        <v>42826</v>
      </c>
      <c r="G335" s="62" t="s">
        <v>77</v>
      </c>
      <c r="H335" s="64">
        <v>42849</v>
      </c>
      <c r="I335" s="62" t="s">
        <v>334</v>
      </c>
      <c r="J335" s="69"/>
      <c r="K335" s="73"/>
      <c r="L335" s="74"/>
    </row>
    <row r="336" spans="1:12" x14ac:dyDescent="0.2">
      <c r="A336" s="62" t="s">
        <v>56</v>
      </c>
      <c r="B336" s="63">
        <v>10</v>
      </c>
      <c r="C336" s="62">
        <v>0</v>
      </c>
      <c r="D336" s="62">
        <v>1</v>
      </c>
      <c r="E336" s="62">
        <v>0</v>
      </c>
      <c r="F336" s="64">
        <v>42826</v>
      </c>
      <c r="G336" s="62" t="s">
        <v>77</v>
      </c>
      <c r="H336" s="64">
        <v>42849</v>
      </c>
      <c r="I336" s="62" t="s">
        <v>334</v>
      </c>
      <c r="J336" s="69"/>
      <c r="K336" s="73"/>
      <c r="L336" s="74"/>
    </row>
    <row r="337" spans="1:12" x14ac:dyDescent="0.2">
      <c r="A337" s="62" t="s">
        <v>72</v>
      </c>
      <c r="B337" s="63">
        <v>56</v>
      </c>
      <c r="C337" s="62">
        <v>0</v>
      </c>
      <c r="D337" s="62">
        <v>1</v>
      </c>
      <c r="E337" s="62">
        <v>0</v>
      </c>
      <c r="F337" s="64">
        <v>42826</v>
      </c>
      <c r="G337" s="62" t="s">
        <v>77</v>
      </c>
      <c r="H337" s="64">
        <v>42850</v>
      </c>
      <c r="I337" s="62" t="s">
        <v>334</v>
      </c>
      <c r="J337" s="69"/>
      <c r="K337" s="73"/>
      <c r="L337" s="74"/>
    </row>
    <row r="338" spans="1:12" x14ac:dyDescent="0.2">
      <c r="A338" s="62" t="s">
        <v>301</v>
      </c>
      <c r="B338" s="63">
        <v>160</v>
      </c>
      <c r="C338" s="62">
        <v>0</v>
      </c>
      <c r="D338" s="62">
        <v>1</v>
      </c>
      <c r="E338" s="62">
        <v>0</v>
      </c>
      <c r="F338" s="64">
        <v>42826</v>
      </c>
      <c r="G338" s="62" t="s">
        <v>77</v>
      </c>
      <c r="H338" s="64">
        <v>42850</v>
      </c>
      <c r="I338" s="62" t="s">
        <v>334</v>
      </c>
      <c r="J338" s="69"/>
      <c r="K338" s="73"/>
      <c r="L338" s="74"/>
    </row>
    <row r="339" spans="1:12" x14ac:dyDescent="0.2">
      <c r="A339" s="62" t="s">
        <v>356</v>
      </c>
      <c r="B339" s="63">
        <v>36</v>
      </c>
      <c r="C339" s="62">
        <v>0</v>
      </c>
      <c r="D339" s="62">
        <v>1</v>
      </c>
      <c r="E339" s="62">
        <v>0</v>
      </c>
      <c r="F339" s="64">
        <v>42826</v>
      </c>
      <c r="G339" s="62" t="s">
        <v>77</v>
      </c>
      <c r="H339" s="64">
        <v>42852</v>
      </c>
      <c r="I339" s="62" t="s">
        <v>334</v>
      </c>
      <c r="J339" s="69"/>
      <c r="K339" s="73"/>
      <c r="L339" s="74"/>
    </row>
    <row r="340" spans="1:12" x14ac:dyDescent="0.2">
      <c r="A340" s="62" t="s">
        <v>301</v>
      </c>
      <c r="B340" s="63">
        <v>92.44</v>
      </c>
      <c r="C340" s="62">
        <v>0</v>
      </c>
      <c r="D340" s="62">
        <v>1</v>
      </c>
      <c r="E340" s="62">
        <v>0</v>
      </c>
      <c r="F340" s="64">
        <v>42826</v>
      </c>
      <c r="G340" s="62" t="s">
        <v>77</v>
      </c>
      <c r="H340" s="64">
        <v>42852</v>
      </c>
      <c r="I340" s="62" t="s">
        <v>334</v>
      </c>
      <c r="J340" s="69"/>
      <c r="K340" s="73"/>
      <c r="L340" s="74"/>
    </row>
    <row r="341" spans="1:12" x14ac:dyDescent="0.2">
      <c r="A341" s="62" t="s">
        <v>301</v>
      </c>
      <c r="B341" s="63">
        <v>170.02</v>
      </c>
      <c r="C341" s="62">
        <v>0</v>
      </c>
      <c r="D341" s="62">
        <v>1</v>
      </c>
      <c r="E341" s="62">
        <v>0</v>
      </c>
      <c r="F341" s="64">
        <v>42826</v>
      </c>
      <c r="G341" s="62" t="s">
        <v>77</v>
      </c>
      <c r="H341" s="64">
        <v>42852</v>
      </c>
      <c r="I341" s="62" t="s">
        <v>334</v>
      </c>
      <c r="J341" s="69"/>
      <c r="K341" s="73"/>
      <c r="L341" s="74"/>
    </row>
    <row r="342" spans="1:12" x14ac:dyDescent="0.2">
      <c r="A342" s="62" t="s">
        <v>301</v>
      </c>
      <c r="B342" s="63">
        <v>154.09</v>
      </c>
      <c r="C342" s="62">
        <v>0</v>
      </c>
      <c r="D342" s="62">
        <v>1</v>
      </c>
      <c r="E342" s="62">
        <v>0</v>
      </c>
      <c r="F342" s="64">
        <v>42826</v>
      </c>
      <c r="G342" s="62" t="s">
        <v>77</v>
      </c>
      <c r="H342" s="64">
        <v>42852</v>
      </c>
      <c r="I342" s="62" t="s">
        <v>334</v>
      </c>
      <c r="J342" s="69"/>
      <c r="K342" s="73"/>
      <c r="L342" s="74"/>
    </row>
    <row r="343" spans="1:12" x14ac:dyDescent="0.2">
      <c r="A343" s="62" t="s">
        <v>55</v>
      </c>
      <c r="B343" s="63">
        <v>35</v>
      </c>
      <c r="C343" s="62">
        <v>0</v>
      </c>
      <c r="D343" s="62">
        <v>1</v>
      </c>
      <c r="E343" s="62">
        <v>0</v>
      </c>
      <c r="F343" s="64">
        <v>42826</v>
      </c>
      <c r="G343" s="62" t="s">
        <v>77</v>
      </c>
      <c r="H343" s="64">
        <v>42852</v>
      </c>
      <c r="I343" s="62" t="s">
        <v>334</v>
      </c>
      <c r="J343" s="69"/>
      <c r="K343" s="73"/>
      <c r="L343" s="74"/>
    </row>
    <row r="344" spans="1:12" x14ac:dyDescent="0.2">
      <c r="A344" s="62" t="s">
        <v>82</v>
      </c>
      <c r="B344" s="63">
        <v>53</v>
      </c>
      <c r="C344" s="62">
        <v>0</v>
      </c>
      <c r="D344" s="62">
        <v>1</v>
      </c>
      <c r="E344" s="62">
        <v>0</v>
      </c>
      <c r="F344" s="64">
        <v>42826</v>
      </c>
      <c r="G344" s="62" t="s">
        <v>77</v>
      </c>
      <c r="H344" s="64">
        <v>42853</v>
      </c>
      <c r="I344" s="62" t="s">
        <v>82</v>
      </c>
      <c r="J344" s="69"/>
      <c r="K344" s="73"/>
      <c r="L344" s="74"/>
    </row>
    <row r="345" spans="1:12" x14ac:dyDescent="0.2">
      <c r="A345" s="62" t="s">
        <v>358</v>
      </c>
      <c r="B345" s="60">
        <v>38</v>
      </c>
      <c r="C345" s="62">
        <v>0</v>
      </c>
      <c r="D345" s="62">
        <v>1</v>
      </c>
      <c r="E345" s="62">
        <v>0</v>
      </c>
      <c r="F345" s="64">
        <v>42826</v>
      </c>
      <c r="G345" s="62" t="s">
        <v>77</v>
      </c>
      <c r="H345" s="64">
        <v>42854</v>
      </c>
      <c r="I345" s="62" t="s">
        <v>82</v>
      </c>
      <c r="J345" s="60"/>
      <c r="K345" s="73"/>
      <c r="L345" s="74"/>
    </row>
    <row r="346" spans="1:12" x14ac:dyDescent="0.2">
      <c r="A346" s="62" t="s">
        <v>61</v>
      </c>
      <c r="B346" s="60">
        <v>50</v>
      </c>
      <c r="C346" s="62">
        <v>0</v>
      </c>
      <c r="D346" s="62">
        <v>1</v>
      </c>
      <c r="E346" s="62">
        <v>0</v>
      </c>
      <c r="F346" s="64">
        <v>42826</v>
      </c>
      <c r="G346" s="62" t="s">
        <v>77</v>
      </c>
      <c r="H346" s="64">
        <v>42854</v>
      </c>
      <c r="I346" s="62" t="s">
        <v>59</v>
      </c>
      <c r="J346" s="60"/>
      <c r="K346" s="73"/>
      <c r="L346" s="74"/>
    </row>
    <row r="347" spans="1:12" x14ac:dyDescent="0.2">
      <c r="A347" s="62" t="s">
        <v>70</v>
      </c>
      <c r="B347" s="60">
        <v>50</v>
      </c>
      <c r="C347" s="62">
        <v>0</v>
      </c>
      <c r="D347" s="62">
        <v>1</v>
      </c>
      <c r="E347" s="62">
        <v>0</v>
      </c>
      <c r="F347" s="64">
        <v>42826</v>
      </c>
      <c r="G347" s="62" t="s">
        <v>77</v>
      </c>
      <c r="H347" s="64">
        <v>42855</v>
      </c>
      <c r="I347" s="62" t="s">
        <v>70</v>
      </c>
      <c r="J347" s="60"/>
      <c r="K347" s="73"/>
      <c r="L347" s="74"/>
    </row>
    <row r="348" spans="1:12" x14ac:dyDescent="0.2">
      <c r="A348" s="62" t="s">
        <v>301</v>
      </c>
      <c r="B348" s="60">
        <v>50</v>
      </c>
      <c r="C348" s="62">
        <v>0</v>
      </c>
      <c r="D348" s="62">
        <v>1</v>
      </c>
      <c r="E348" s="62">
        <v>0</v>
      </c>
      <c r="F348" s="64">
        <v>42826</v>
      </c>
      <c r="G348" s="62" t="s">
        <v>77</v>
      </c>
      <c r="H348" s="64">
        <v>42855</v>
      </c>
      <c r="I348" s="62" t="s">
        <v>33</v>
      </c>
      <c r="J348" s="60"/>
      <c r="K348" s="73"/>
      <c r="L348" s="74"/>
    </row>
    <row r="349" spans="1:12" x14ac:dyDescent="0.2">
      <c r="A349" s="62" t="s">
        <v>70</v>
      </c>
      <c r="B349" s="60">
        <v>23.5</v>
      </c>
      <c r="C349" s="62">
        <v>0</v>
      </c>
      <c r="D349" s="62">
        <v>1</v>
      </c>
      <c r="E349" s="62">
        <v>0</v>
      </c>
      <c r="F349" s="64">
        <v>42826</v>
      </c>
      <c r="G349" s="62" t="s">
        <v>77</v>
      </c>
      <c r="H349" s="64">
        <v>42854</v>
      </c>
      <c r="I349" s="62" t="s">
        <v>70</v>
      </c>
      <c r="J349" s="60"/>
      <c r="K349" s="73"/>
      <c r="L349" s="74"/>
    </row>
    <row r="350" spans="1:12" x14ac:dyDescent="0.2">
      <c r="A350" s="62" t="s">
        <v>29</v>
      </c>
      <c r="B350" s="60">
        <v>47.98</v>
      </c>
      <c r="C350" s="62">
        <v>0</v>
      </c>
      <c r="D350" s="62">
        <v>1</v>
      </c>
      <c r="E350" s="62">
        <v>0</v>
      </c>
      <c r="F350" s="64">
        <v>42826</v>
      </c>
      <c r="G350" s="62" t="s">
        <v>77</v>
      </c>
      <c r="H350" s="64">
        <v>42855</v>
      </c>
      <c r="I350" s="62" t="s">
        <v>29</v>
      </c>
      <c r="J350" s="60"/>
      <c r="K350" s="73"/>
      <c r="L350" s="74"/>
    </row>
    <row r="351" spans="1:12" x14ac:dyDescent="0.2">
      <c r="A351" s="62" t="s">
        <v>334</v>
      </c>
      <c r="B351" s="60">
        <v>57</v>
      </c>
      <c r="C351" s="62">
        <v>0</v>
      </c>
      <c r="D351" s="62">
        <v>1</v>
      </c>
      <c r="E351" s="62">
        <v>0</v>
      </c>
      <c r="F351" s="64">
        <v>42826</v>
      </c>
      <c r="G351" s="62" t="s">
        <v>77</v>
      </c>
      <c r="H351" s="64">
        <v>42850</v>
      </c>
      <c r="I351" s="62" t="s">
        <v>334</v>
      </c>
      <c r="J351" s="60"/>
      <c r="K351" s="73"/>
      <c r="L351" s="74"/>
    </row>
    <row r="352" spans="1:12" x14ac:dyDescent="0.2">
      <c r="A352" s="62" t="s">
        <v>29</v>
      </c>
      <c r="B352" s="60">
        <v>94.5</v>
      </c>
      <c r="C352" s="62">
        <v>0</v>
      </c>
      <c r="D352" s="62">
        <v>1</v>
      </c>
      <c r="E352" s="62">
        <v>0</v>
      </c>
      <c r="F352" s="64">
        <v>42826</v>
      </c>
      <c r="G352" s="62" t="s">
        <v>77</v>
      </c>
      <c r="H352" s="64">
        <v>42853</v>
      </c>
      <c r="I352" s="62" t="s">
        <v>29</v>
      </c>
      <c r="J352" s="60"/>
      <c r="K352" s="73"/>
      <c r="L352" s="74"/>
    </row>
    <row r="353" spans="3:12" x14ac:dyDescent="0.2">
      <c r="C353" s="62"/>
      <c r="D353" s="62"/>
      <c r="E353" s="62"/>
      <c r="F353" s="64"/>
      <c r="G353" s="62"/>
      <c r="H353" s="73"/>
      <c r="J353" s="60"/>
      <c r="K353" s="73"/>
      <c r="L353" s="74"/>
    </row>
    <row r="354" spans="3:12" x14ac:dyDescent="0.2">
      <c r="C354" s="62"/>
      <c r="D354" s="62"/>
      <c r="E354" s="62"/>
      <c r="F354" s="64"/>
      <c r="G354" s="62"/>
      <c r="H354" s="73"/>
      <c r="J354" s="72"/>
      <c r="K354" s="73"/>
      <c r="L354" s="74"/>
    </row>
    <row r="355" spans="3:12" x14ac:dyDescent="0.2">
      <c r="C355" s="62"/>
      <c r="D355" s="62"/>
      <c r="E355" s="62"/>
      <c r="F355" s="64"/>
      <c r="G355" s="62"/>
      <c r="H355" s="73"/>
      <c r="K355" s="73"/>
      <c r="L355" s="74"/>
    </row>
    <row r="356" spans="3:12" x14ac:dyDescent="0.2">
      <c r="C356" s="62"/>
      <c r="D356" s="62"/>
      <c r="E356" s="62"/>
      <c r="F356" s="64"/>
      <c r="G356" s="62"/>
      <c r="H356" s="73"/>
      <c r="K356" s="73"/>
      <c r="L356" s="74"/>
    </row>
    <row r="357" spans="3:12" x14ac:dyDescent="0.2">
      <c r="C357" s="62"/>
      <c r="D357" s="62"/>
      <c r="E357" s="62"/>
      <c r="F357" s="64"/>
      <c r="G357" s="62"/>
      <c r="H357" s="73"/>
      <c r="K357" s="73"/>
      <c r="L357" s="74"/>
    </row>
    <row r="358" spans="3:12" x14ac:dyDescent="0.2">
      <c r="C358" s="62"/>
      <c r="D358" s="62"/>
      <c r="E358" s="62"/>
      <c r="F358" s="64"/>
      <c r="G358" s="62"/>
      <c r="H358" s="73"/>
      <c r="K358" s="73"/>
      <c r="L358" s="74"/>
    </row>
    <row r="359" spans="3:12" x14ac:dyDescent="0.2">
      <c r="C359" s="62"/>
      <c r="D359" s="62"/>
      <c r="E359" s="62"/>
      <c r="F359" s="64"/>
      <c r="G359" s="62"/>
      <c r="H359" s="73"/>
      <c r="K359" s="73"/>
      <c r="L359" s="74"/>
    </row>
    <row r="360" spans="3:12" x14ac:dyDescent="0.2">
      <c r="C360" s="62"/>
      <c r="D360" s="62"/>
      <c r="E360" s="62"/>
      <c r="F360" s="64"/>
      <c r="G360" s="62"/>
      <c r="H360" s="73"/>
      <c r="K360" s="73"/>
      <c r="L360" s="74"/>
    </row>
    <row r="361" spans="3:12" x14ac:dyDescent="0.2">
      <c r="C361" s="62"/>
      <c r="D361" s="62"/>
      <c r="E361" s="62"/>
      <c r="F361" s="64"/>
      <c r="G361" s="62"/>
      <c r="H361" s="73"/>
      <c r="K361" s="73"/>
      <c r="L361" s="74"/>
    </row>
    <row r="362" spans="3:12" x14ac:dyDescent="0.2">
      <c r="C362" s="62"/>
      <c r="D362" s="62"/>
      <c r="E362" s="62"/>
      <c r="F362" s="64"/>
      <c r="G362" s="62"/>
      <c r="H362" s="73"/>
      <c r="K362" s="73"/>
      <c r="L362" s="74"/>
    </row>
    <row r="363" spans="3:12" x14ac:dyDescent="0.2">
      <c r="C363" s="62"/>
      <c r="D363" s="62"/>
      <c r="E363" s="62"/>
      <c r="F363" s="64"/>
      <c r="G363" s="62"/>
      <c r="H363" s="73"/>
      <c r="K363" s="73"/>
      <c r="L363" s="74"/>
    </row>
    <row r="364" spans="3:12" x14ac:dyDescent="0.2">
      <c r="C364" s="62"/>
      <c r="D364" s="62"/>
      <c r="E364" s="62"/>
      <c r="F364" s="64"/>
      <c r="G364" s="62"/>
      <c r="H364" s="73"/>
      <c r="K364" s="73"/>
      <c r="L364" s="74"/>
    </row>
    <row r="365" spans="3:12" x14ac:dyDescent="0.2">
      <c r="C365" s="62"/>
      <c r="D365" s="62"/>
      <c r="E365" s="62"/>
      <c r="F365" s="64"/>
      <c r="G365" s="62"/>
      <c r="H365" s="73"/>
      <c r="K365" s="73"/>
      <c r="L365" s="74"/>
    </row>
    <row r="366" spans="3:12" x14ac:dyDescent="0.2">
      <c r="C366" s="62"/>
      <c r="D366" s="62"/>
      <c r="E366" s="62"/>
      <c r="F366" s="64"/>
      <c r="G366" s="62"/>
      <c r="H366" s="73"/>
      <c r="K366" s="73"/>
      <c r="L366" s="74"/>
    </row>
    <row r="367" spans="3:12" x14ac:dyDescent="0.2">
      <c r="C367" s="62"/>
      <c r="D367" s="62"/>
      <c r="E367" s="62"/>
      <c r="F367" s="64"/>
      <c r="G367" s="62"/>
      <c r="H367" s="73"/>
      <c r="K367" s="73"/>
      <c r="L367" s="74"/>
    </row>
    <row r="368" spans="3:12" x14ac:dyDescent="0.2">
      <c r="C368" s="62"/>
      <c r="D368" s="62"/>
      <c r="E368" s="62"/>
      <c r="F368" s="64"/>
      <c r="G368" s="62"/>
      <c r="H368" s="73"/>
      <c r="K368" s="73"/>
      <c r="L368" s="74"/>
    </row>
    <row r="369" spans="3:12" x14ac:dyDescent="0.2">
      <c r="C369" s="62"/>
      <c r="D369" s="62"/>
      <c r="E369" s="62"/>
      <c r="F369" s="64"/>
      <c r="G369" s="62"/>
      <c r="H369" s="73"/>
      <c r="I369" s="66"/>
      <c r="K369" s="73"/>
      <c r="L369" s="74"/>
    </row>
    <row r="370" spans="3:12" x14ac:dyDescent="0.2">
      <c r="C370" s="62"/>
      <c r="D370" s="62"/>
      <c r="E370" s="62"/>
      <c r="F370" s="64"/>
      <c r="G370" s="62"/>
      <c r="H370" s="73"/>
      <c r="I370" s="62"/>
      <c r="K370" s="73"/>
      <c r="L370" s="74"/>
    </row>
    <row r="371" spans="3:12" x14ac:dyDescent="0.2">
      <c r="C371" s="62"/>
      <c r="D371" s="62"/>
      <c r="E371" s="62"/>
      <c r="F371" s="64"/>
      <c r="G371" s="62"/>
      <c r="H371" s="73"/>
      <c r="I371" s="62"/>
      <c r="K371" s="73"/>
      <c r="L371" s="74"/>
    </row>
    <row r="372" spans="3:12" x14ac:dyDescent="0.2">
      <c r="C372" s="62"/>
      <c r="D372" s="62"/>
      <c r="E372" s="62"/>
      <c r="F372" s="64"/>
      <c r="G372" s="62"/>
      <c r="H372" s="73"/>
      <c r="I372" s="62"/>
      <c r="K372" s="73"/>
      <c r="L372" s="74"/>
    </row>
    <row r="373" spans="3:12" x14ac:dyDescent="0.2">
      <c r="C373" s="62"/>
      <c r="D373" s="62"/>
      <c r="E373" s="62"/>
      <c r="F373" s="64"/>
      <c r="G373" s="62"/>
      <c r="H373" s="73"/>
      <c r="I373" s="62"/>
      <c r="K373" s="73"/>
      <c r="L373" s="74"/>
    </row>
    <row r="374" spans="3:12" x14ac:dyDescent="0.2">
      <c r="C374" s="62"/>
      <c r="D374" s="62"/>
      <c r="E374" s="62"/>
      <c r="F374" s="64"/>
      <c r="G374" s="62"/>
      <c r="H374" s="73"/>
      <c r="I374" s="62"/>
      <c r="K374" s="73"/>
      <c r="L374" s="74"/>
    </row>
    <row r="375" spans="3:12" x14ac:dyDescent="0.2">
      <c r="C375" s="62"/>
      <c r="D375" s="62"/>
      <c r="E375" s="62"/>
      <c r="F375" s="64"/>
      <c r="G375" s="62"/>
      <c r="H375" s="73"/>
      <c r="I375" s="62"/>
      <c r="K375" s="73"/>
      <c r="L375" s="74"/>
    </row>
    <row r="376" spans="3:12" x14ac:dyDescent="0.2">
      <c r="C376" s="62"/>
      <c r="D376" s="62"/>
      <c r="E376" s="62"/>
      <c r="F376" s="64"/>
      <c r="G376" s="62"/>
      <c r="H376" s="73"/>
      <c r="I376" s="62"/>
      <c r="K376" s="73"/>
      <c r="L376" s="74"/>
    </row>
    <row r="377" spans="3:12" x14ac:dyDescent="0.2">
      <c r="C377" s="62"/>
      <c r="D377" s="62"/>
      <c r="E377" s="62"/>
      <c r="F377" s="64"/>
      <c r="G377" s="62"/>
      <c r="H377" s="73"/>
      <c r="I377" s="62"/>
      <c r="K377" s="73"/>
      <c r="L377" s="74"/>
    </row>
    <row r="378" spans="3:12" x14ac:dyDescent="0.2">
      <c r="C378" s="62"/>
      <c r="D378" s="62"/>
      <c r="E378" s="62"/>
      <c r="F378" s="64"/>
      <c r="G378" s="62"/>
      <c r="H378" s="73"/>
      <c r="I378" s="62"/>
      <c r="K378" s="73"/>
      <c r="L378" s="74"/>
    </row>
    <row r="379" spans="3:12" x14ac:dyDescent="0.2">
      <c r="C379" s="62"/>
      <c r="D379" s="62"/>
      <c r="E379" s="62"/>
      <c r="F379" s="64"/>
      <c r="G379" s="62"/>
      <c r="H379" s="73"/>
      <c r="I379" s="62"/>
      <c r="K379" s="73"/>
      <c r="L379" s="74"/>
    </row>
    <row r="380" spans="3:12" x14ac:dyDescent="0.2">
      <c r="C380" s="62"/>
      <c r="D380" s="62"/>
      <c r="E380" s="62"/>
      <c r="F380" s="64"/>
      <c r="G380" s="62"/>
      <c r="H380" s="73"/>
      <c r="I380" s="62"/>
      <c r="K380" s="73"/>
      <c r="L380" s="74"/>
    </row>
    <row r="381" spans="3:12" x14ac:dyDescent="0.2">
      <c r="C381" s="62"/>
      <c r="D381" s="62"/>
      <c r="E381" s="62"/>
      <c r="F381" s="64"/>
      <c r="G381" s="62"/>
      <c r="H381" s="73"/>
      <c r="I381" s="62"/>
      <c r="K381" s="73"/>
      <c r="L381" s="74"/>
    </row>
    <row r="382" spans="3:12" x14ac:dyDescent="0.2">
      <c r="C382" s="62"/>
      <c r="D382" s="62"/>
      <c r="E382" s="62"/>
      <c r="F382" s="64"/>
      <c r="G382" s="62"/>
      <c r="H382" s="73"/>
      <c r="I382" s="62"/>
      <c r="K382" s="73"/>
      <c r="L382" s="74"/>
    </row>
    <row r="383" spans="3:12" x14ac:dyDescent="0.2">
      <c r="C383" s="62"/>
      <c r="D383" s="62"/>
      <c r="E383" s="62"/>
      <c r="F383" s="64"/>
      <c r="G383" s="62"/>
      <c r="H383" s="73"/>
      <c r="I383" s="62"/>
      <c r="K383" s="73"/>
      <c r="L383" s="74"/>
    </row>
    <row r="384" spans="3:12" x14ac:dyDescent="0.2">
      <c r="C384" s="62"/>
      <c r="D384" s="62"/>
      <c r="E384" s="62"/>
      <c r="F384" s="64"/>
      <c r="G384" s="62"/>
      <c r="H384" s="73"/>
      <c r="I384" s="62"/>
      <c r="K384" s="73"/>
      <c r="L384" s="74"/>
    </row>
    <row r="385" spans="3:12" x14ac:dyDescent="0.2">
      <c r="C385" s="62"/>
      <c r="D385" s="62"/>
      <c r="E385" s="62"/>
      <c r="F385" s="64"/>
      <c r="G385" s="62"/>
      <c r="H385" s="73"/>
      <c r="I385" s="62"/>
      <c r="K385" s="73"/>
      <c r="L385" s="74"/>
    </row>
    <row r="386" spans="3:12" x14ac:dyDescent="0.2">
      <c r="C386" s="62"/>
      <c r="D386" s="62"/>
      <c r="E386" s="62"/>
      <c r="F386" s="64"/>
      <c r="G386" s="62"/>
      <c r="H386" s="73"/>
      <c r="I386" s="62"/>
      <c r="K386" s="73"/>
      <c r="L386" s="74"/>
    </row>
    <row r="387" spans="3:12" x14ac:dyDescent="0.2">
      <c r="C387" s="62"/>
      <c r="D387" s="62"/>
      <c r="E387" s="62"/>
      <c r="F387" s="64"/>
      <c r="G387" s="62"/>
      <c r="H387" s="73"/>
      <c r="I387" s="62"/>
      <c r="K387" s="73"/>
      <c r="L387" s="74"/>
    </row>
    <row r="388" spans="3:12" x14ac:dyDescent="0.2">
      <c r="C388" s="62"/>
      <c r="D388" s="62"/>
      <c r="E388" s="62"/>
      <c r="F388" s="64"/>
      <c r="G388" s="62"/>
      <c r="H388" s="73"/>
      <c r="I388" s="62"/>
      <c r="K388" s="73"/>
      <c r="L388" s="74"/>
    </row>
    <row r="389" spans="3:12" x14ac:dyDescent="0.2">
      <c r="C389" s="62"/>
      <c r="D389" s="62"/>
      <c r="E389" s="62"/>
      <c r="F389" s="64"/>
      <c r="G389" s="62"/>
      <c r="H389" s="73"/>
      <c r="I389" s="62"/>
      <c r="K389" s="73"/>
      <c r="L389" s="74"/>
    </row>
    <row r="390" spans="3:12" x14ac:dyDescent="0.2">
      <c r="C390" s="62"/>
      <c r="D390" s="62"/>
      <c r="E390" s="62"/>
      <c r="F390" s="64"/>
      <c r="G390" s="62"/>
      <c r="H390" s="73"/>
      <c r="I390" s="62"/>
      <c r="K390" s="73"/>
      <c r="L390" s="74"/>
    </row>
    <row r="391" spans="3:12" x14ac:dyDescent="0.2">
      <c r="C391" s="62"/>
      <c r="D391" s="62"/>
      <c r="E391" s="62"/>
      <c r="F391" s="64"/>
      <c r="G391" s="62"/>
      <c r="H391" s="73"/>
      <c r="I391" s="62"/>
      <c r="K391" s="73"/>
      <c r="L391" s="74"/>
    </row>
    <row r="392" spans="3:12" x14ac:dyDescent="0.2">
      <c r="C392" s="62"/>
      <c r="D392" s="62"/>
      <c r="E392" s="62"/>
      <c r="F392" s="64"/>
      <c r="G392" s="62"/>
      <c r="H392" s="73"/>
      <c r="I392" s="62"/>
      <c r="K392" s="73"/>
      <c r="L392" s="74"/>
    </row>
    <row r="393" spans="3:12" x14ac:dyDescent="0.2">
      <c r="C393" s="62"/>
      <c r="D393" s="62"/>
      <c r="E393" s="62"/>
      <c r="F393" s="64"/>
      <c r="G393" s="62"/>
      <c r="H393" s="73"/>
      <c r="K393" s="73"/>
      <c r="L393" s="74"/>
    </row>
    <row r="394" spans="3:12" x14ac:dyDescent="0.2">
      <c r="C394" s="62"/>
      <c r="D394" s="62"/>
      <c r="E394" s="62"/>
      <c r="F394" s="64"/>
      <c r="G394" s="62"/>
      <c r="H394" s="73"/>
      <c r="K394" s="73"/>
      <c r="L394" s="74"/>
    </row>
    <row r="395" spans="3:12" x14ac:dyDescent="0.2">
      <c r="C395" s="62"/>
      <c r="D395" s="62"/>
      <c r="E395" s="62"/>
      <c r="F395" s="64"/>
      <c r="G395" s="62"/>
      <c r="H395" s="73"/>
      <c r="K395" s="73"/>
      <c r="L395" s="74"/>
    </row>
    <row r="396" spans="3:12" x14ac:dyDescent="0.2">
      <c r="C396" s="62"/>
      <c r="D396" s="62"/>
      <c r="E396" s="62"/>
      <c r="F396" s="64"/>
      <c r="G396" s="62"/>
      <c r="H396" s="73"/>
      <c r="K396" s="73"/>
      <c r="L396" s="74"/>
    </row>
    <row r="397" spans="3:12" x14ac:dyDescent="0.2">
      <c r="C397" s="62"/>
      <c r="D397" s="62"/>
      <c r="E397" s="62"/>
      <c r="F397" s="64"/>
      <c r="G397" s="62"/>
      <c r="H397" s="73"/>
      <c r="K397" s="73"/>
      <c r="L397" s="74"/>
    </row>
    <row r="398" spans="3:12" x14ac:dyDescent="0.2">
      <c r="C398" s="62"/>
      <c r="D398" s="62"/>
      <c r="E398" s="62"/>
      <c r="F398" s="64"/>
      <c r="G398" s="62"/>
      <c r="H398" s="73"/>
      <c r="K398" s="73"/>
      <c r="L398" s="74"/>
    </row>
    <row r="399" spans="3:12" x14ac:dyDescent="0.2">
      <c r="C399" s="62"/>
      <c r="D399" s="62"/>
      <c r="E399" s="62"/>
      <c r="F399" s="64"/>
      <c r="G399" s="62"/>
      <c r="H399" s="73"/>
      <c r="K399" s="73"/>
      <c r="L399" s="74"/>
    </row>
    <row r="400" spans="3:12" x14ac:dyDescent="0.2">
      <c r="C400" s="62"/>
      <c r="D400" s="62"/>
      <c r="E400" s="62"/>
      <c r="F400" s="64"/>
      <c r="G400" s="62"/>
      <c r="H400" s="73"/>
      <c r="K400" s="73"/>
      <c r="L400" s="74"/>
    </row>
    <row r="401" spans="3:12" x14ac:dyDescent="0.2">
      <c r="C401" s="62"/>
      <c r="D401" s="62"/>
      <c r="E401" s="62"/>
      <c r="F401" s="64"/>
      <c r="G401" s="62"/>
      <c r="H401" s="73"/>
      <c r="K401" s="73"/>
      <c r="L401" s="74"/>
    </row>
    <row r="402" spans="3:12" x14ac:dyDescent="0.2">
      <c r="C402" s="62"/>
      <c r="D402" s="62"/>
      <c r="E402" s="62"/>
      <c r="F402" s="64"/>
      <c r="G402" s="62"/>
      <c r="H402" s="73"/>
      <c r="K402" s="73"/>
      <c r="L402" s="74"/>
    </row>
    <row r="403" spans="3:12" x14ac:dyDescent="0.2">
      <c r="C403" s="62"/>
      <c r="D403" s="62"/>
      <c r="E403" s="62"/>
      <c r="F403" s="64"/>
      <c r="G403" s="62"/>
      <c r="H403" s="73"/>
      <c r="K403" s="73"/>
      <c r="L403" s="74"/>
    </row>
    <row r="404" spans="3:12" x14ac:dyDescent="0.2">
      <c r="C404" s="62"/>
      <c r="D404" s="62"/>
      <c r="E404" s="62"/>
      <c r="F404" s="64"/>
      <c r="G404" s="62"/>
      <c r="H404" s="73"/>
      <c r="K404" s="73"/>
      <c r="L404" s="74"/>
    </row>
    <row r="405" spans="3:12" x14ac:dyDescent="0.2">
      <c r="C405" s="62"/>
      <c r="D405" s="62"/>
      <c r="E405" s="62"/>
      <c r="F405" s="64"/>
      <c r="G405" s="62"/>
      <c r="H405" s="73"/>
      <c r="K405" s="73"/>
      <c r="L405" s="74"/>
    </row>
    <row r="406" spans="3:12" x14ac:dyDescent="0.2">
      <c r="C406" s="62"/>
      <c r="D406" s="62"/>
      <c r="E406" s="62"/>
      <c r="F406" s="64"/>
      <c r="G406" s="62"/>
      <c r="H406" s="73"/>
      <c r="K406" s="73"/>
      <c r="L406" s="74"/>
    </row>
    <row r="407" spans="3:12" x14ac:dyDescent="0.2">
      <c r="C407" s="62"/>
      <c r="D407" s="62"/>
      <c r="E407" s="62"/>
      <c r="F407" s="64"/>
      <c r="G407" s="62"/>
      <c r="H407" s="73"/>
      <c r="K407" s="73"/>
      <c r="L407" s="74"/>
    </row>
    <row r="408" spans="3:12" x14ac:dyDescent="0.2">
      <c r="C408" s="62"/>
      <c r="D408" s="62"/>
      <c r="E408" s="62"/>
      <c r="F408" s="64"/>
      <c r="G408" s="62"/>
      <c r="H408" s="73"/>
      <c r="K408" s="73"/>
      <c r="L408" s="74"/>
    </row>
    <row r="409" spans="3:12" x14ac:dyDescent="0.2">
      <c r="C409" s="62"/>
      <c r="D409" s="62"/>
      <c r="E409" s="62"/>
      <c r="F409" s="64"/>
      <c r="G409" s="62"/>
      <c r="H409" s="73"/>
      <c r="K409" s="73"/>
      <c r="L409" s="74"/>
    </row>
    <row r="410" spans="3:12" x14ac:dyDescent="0.2">
      <c r="C410" s="62"/>
      <c r="D410" s="62"/>
      <c r="E410" s="62"/>
      <c r="F410" s="64"/>
      <c r="G410" s="62"/>
      <c r="H410" s="73"/>
      <c r="K410" s="73"/>
      <c r="L410" s="74"/>
    </row>
    <row r="411" spans="3:12" x14ac:dyDescent="0.2">
      <c r="C411" s="62"/>
      <c r="D411" s="62"/>
      <c r="E411" s="62"/>
      <c r="F411" s="64"/>
      <c r="G411" s="62"/>
      <c r="H411" s="73"/>
      <c r="K411" s="73"/>
      <c r="L411" s="74"/>
    </row>
    <row r="412" spans="3:12" x14ac:dyDescent="0.2">
      <c r="C412" s="62"/>
      <c r="D412" s="62"/>
      <c r="E412" s="62"/>
      <c r="F412" s="64"/>
      <c r="G412" s="62"/>
      <c r="H412" s="73"/>
      <c r="K412" s="73"/>
      <c r="L412" s="74"/>
    </row>
    <row r="413" spans="3:12" x14ac:dyDescent="0.2">
      <c r="C413" s="62"/>
      <c r="D413" s="62"/>
      <c r="E413" s="62"/>
      <c r="F413" s="64"/>
      <c r="G413" s="62"/>
      <c r="H413" s="73"/>
      <c r="K413" s="73"/>
      <c r="L413" s="74"/>
    </row>
    <row r="414" spans="3:12" x14ac:dyDescent="0.2">
      <c r="C414" s="62"/>
      <c r="D414" s="62"/>
      <c r="E414" s="62"/>
      <c r="F414" s="64"/>
      <c r="G414" s="62"/>
      <c r="H414" s="73"/>
      <c r="K414" s="73"/>
      <c r="L414" s="74"/>
    </row>
    <row r="415" spans="3:12" x14ac:dyDescent="0.2">
      <c r="C415" s="62"/>
      <c r="D415" s="62"/>
      <c r="E415" s="62"/>
      <c r="F415" s="64"/>
      <c r="G415" s="62"/>
      <c r="H415" s="73"/>
      <c r="K415" s="73"/>
      <c r="L415" s="74"/>
    </row>
    <row r="416" spans="3:12" x14ac:dyDescent="0.2">
      <c r="C416" s="62"/>
      <c r="D416" s="62"/>
      <c r="E416" s="62"/>
      <c r="F416" s="64"/>
      <c r="G416" s="62"/>
      <c r="H416" s="73"/>
      <c r="K416" s="73"/>
      <c r="L416" s="74"/>
    </row>
    <row r="417" spans="3:12" x14ac:dyDescent="0.2">
      <c r="C417" s="62"/>
      <c r="D417" s="62"/>
      <c r="E417" s="62"/>
      <c r="F417" s="64"/>
      <c r="G417" s="62"/>
      <c r="H417" s="73"/>
      <c r="I417" s="66"/>
      <c r="K417" s="73"/>
      <c r="L417" s="74"/>
    </row>
    <row r="418" spans="3:12" x14ac:dyDescent="0.2">
      <c r="C418" s="62"/>
      <c r="D418" s="62"/>
      <c r="E418" s="62"/>
      <c r="F418" s="64"/>
      <c r="G418" s="62"/>
      <c r="H418" s="73"/>
      <c r="I418" s="62"/>
      <c r="K418" s="73"/>
      <c r="L418" s="74"/>
    </row>
    <row r="419" spans="3:12" x14ac:dyDescent="0.2">
      <c r="C419" s="62"/>
      <c r="D419" s="62"/>
      <c r="E419" s="62"/>
      <c r="F419" s="64"/>
      <c r="G419" s="62"/>
      <c r="H419" s="73"/>
      <c r="I419" s="62"/>
      <c r="K419" s="73"/>
      <c r="L419" s="74"/>
    </row>
    <row r="420" spans="3:12" x14ac:dyDescent="0.2">
      <c r="C420" s="62"/>
      <c r="D420" s="62"/>
      <c r="E420" s="62"/>
      <c r="F420" s="64"/>
      <c r="G420" s="62"/>
      <c r="H420" s="73"/>
      <c r="I420" s="62"/>
      <c r="K420" s="73"/>
      <c r="L420" s="74"/>
    </row>
    <row r="421" spans="3:12" x14ac:dyDescent="0.2">
      <c r="C421" s="62"/>
      <c r="D421" s="62"/>
      <c r="E421" s="62"/>
      <c r="F421" s="64"/>
      <c r="G421" s="62"/>
      <c r="H421" s="73"/>
      <c r="I421" s="62"/>
      <c r="K421" s="73"/>
      <c r="L421" s="74"/>
    </row>
    <row r="422" spans="3:12" x14ac:dyDescent="0.2">
      <c r="C422" s="62"/>
      <c r="D422" s="62"/>
      <c r="E422" s="62"/>
      <c r="F422" s="64"/>
      <c r="G422" s="62"/>
      <c r="H422" s="73"/>
      <c r="I422" s="62"/>
      <c r="K422" s="73"/>
      <c r="L422" s="74"/>
    </row>
    <row r="423" spans="3:12" x14ac:dyDescent="0.2">
      <c r="C423" s="62"/>
      <c r="D423" s="62"/>
      <c r="E423" s="62"/>
      <c r="F423" s="64"/>
      <c r="G423" s="62"/>
      <c r="H423" s="73"/>
      <c r="I423" s="62"/>
      <c r="K423" s="73"/>
      <c r="L423" s="74"/>
    </row>
    <row r="424" spans="3:12" x14ac:dyDescent="0.2">
      <c r="C424" s="62"/>
      <c r="D424" s="62"/>
      <c r="E424" s="62"/>
      <c r="F424" s="64"/>
      <c r="G424" s="62"/>
      <c r="H424" s="73"/>
      <c r="I424" s="62"/>
      <c r="K424" s="73"/>
      <c r="L424" s="74"/>
    </row>
    <row r="425" spans="3:12" x14ac:dyDescent="0.2">
      <c r="C425" s="62"/>
      <c r="D425" s="62"/>
      <c r="E425" s="62"/>
      <c r="F425" s="64"/>
      <c r="G425" s="62"/>
      <c r="H425" s="73"/>
      <c r="I425" s="62"/>
      <c r="K425" s="73"/>
      <c r="L425" s="74"/>
    </row>
    <row r="426" spans="3:12" x14ac:dyDescent="0.2">
      <c r="C426" s="62"/>
      <c r="D426" s="62"/>
      <c r="E426" s="62"/>
      <c r="F426" s="64"/>
      <c r="G426" s="62"/>
      <c r="H426" s="73"/>
      <c r="I426" s="62"/>
      <c r="K426" s="73"/>
      <c r="L426" s="74"/>
    </row>
    <row r="427" spans="3:12" x14ac:dyDescent="0.2">
      <c r="C427" s="62"/>
      <c r="D427" s="62"/>
      <c r="E427" s="62"/>
      <c r="F427" s="64"/>
      <c r="G427" s="62"/>
      <c r="H427" s="73"/>
      <c r="I427" s="62"/>
      <c r="K427" s="73"/>
      <c r="L427" s="74"/>
    </row>
    <row r="428" spans="3:12" x14ac:dyDescent="0.2">
      <c r="C428" s="62"/>
      <c r="D428" s="62"/>
      <c r="E428" s="62"/>
      <c r="F428" s="64"/>
      <c r="G428" s="62"/>
      <c r="H428" s="73"/>
      <c r="I428" s="62"/>
      <c r="K428" s="73"/>
      <c r="L428" s="74"/>
    </row>
    <row r="429" spans="3:12" x14ac:dyDescent="0.2">
      <c r="C429" s="62"/>
      <c r="D429" s="62"/>
      <c r="E429" s="62"/>
      <c r="F429" s="64"/>
      <c r="G429" s="62"/>
      <c r="H429" s="73"/>
      <c r="I429" s="62"/>
      <c r="K429" s="73"/>
      <c r="L429" s="74"/>
    </row>
    <row r="430" spans="3:12" x14ac:dyDescent="0.2">
      <c r="C430" s="62"/>
      <c r="D430" s="62"/>
      <c r="E430" s="62"/>
      <c r="F430" s="64"/>
      <c r="G430" s="62"/>
      <c r="H430" s="73"/>
      <c r="I430" s="62"/>
      <c r="K430" s="73"/>
      <c r="L430" s="74"/>
    </row>
    <row r="431" spans="3:12" x14ac:dyDescent="0.2">
      <c r="C431" s="62"/>
      <c r="D431" s="62"/>
      <c r="E431" s="62"/>
      <c r="F431" s="64"/>
      <c r="G431" s="62"/>
      <c r="H431" s="73"/>
      <c r="I431" s="62"/>
      <c r="K431" s="73"/>
      <c r="L431" s="74"/>
    </row>
    <row r="432" spans="3:12" x14ac:dyDescent="0.2">
      <c r="C432" s="62"/>
      <c r="D432" s="62"/>
      <c r="E432" s="62"/>
      <c r="F432" s="64"/>
      <c r="G432" s="62"/>
      <c r="H432" s="73"/>
      <c r="I432" s="62"/>
      <c r="K432" s="73"/>
      <c r="L432" s="74"/>
    </row>
    <row r="433" spans="1:12" x14ac:dyDescent="0.2">
      <c r="C433" s="62"/>
      <c r="D433" s="62"/>
      <c r="E433" s="62"/>
      <c r="F433" s="64"/>
      <c r="G433" s="62"/>
      <c r="H433" s="73"/>
      <c r="I433" s="62"/>
      <c r="K433" s="73"/>
      <c r="L433" s="74"/>
    </row>
    <row r="434" spans="1:12" x14ac:dyDescent="0.2">
      <c r="C434" s="62"/>
      <c r="D434" s="62"/>
      <c r="E434" s="62"/>
      <c r="F434" s="64"/>
      <c r="G434" s="62"/>
      <c r="H434" s="73"/>
      <c r="I434" s="62"/>
      <c r="K434" s="73"/>
      <c r="L434" s="74"/>
    </row>
    <row r="435" spans="1:12" x14ac:dyDescent="0.2">
      <c r="C435" s="62"/>
      <c r="D435" s="62"/>
      <c r="E435" s="62"/>
      <c r="F435" s="64"/>
      <c r="G435" s="62"/>
      <c r="H435" s="73"/>
      <c r="I435" s="62"/>
      <c r="K435" s="73"/>
      <c r="L435" s="74"/>
    </row>
    <row r="436" spans="1:12" x14ac:dyDescent="0.2">
      <c r="C436" s="62"/>
      <c r="D436" s="62"/>
      <c r="E436" s="62"/>
      <c r="F436" s="64"/>
      <c r="G436" s="62"/>
      <c r="H436" s="73"/>
      <c r="I436" s="62"/>
      <c r="K436" s="73"/>
      <c r="L436" s="74"/>
    </row>
    <row r="437" spans="1:12" x14ac:dyDescent="0.2">
      <c r="C437" s="62"/>
      <c r="D437" s="62"/>
      <c r="E437" s="62"/>
      <c r="F437" s="64"/>
      <c r="G437" s="62"/>
      <c r="H437" s="73"/>
      <c r="I437" s="62"/>
      <c r="K437" s="73"/>
      <c r="L437" s="74"/>
    </row>
    <row r="438" spans="1:12" x14ac:dyDescent="0.2">
      <c r="A438" s="62"/>
      <c r="B438" s="63"/>
      <c r="C438" s="62"/>
      <c r="D438" s="62"/>
      <c r="E438" s="62"/>
      <c r="F438" s="64"/>
      <c r="G438" s="62"/>
      <c r="H438" s="64"/>
      <c r="I438" s="62"/>
    </row>
    <row r="439" spans="1:12" x14ac:dyDescent="0.2">
      <c r="A439" s="62"/>
      <c r="B439" s="63"/>
      <c r="C439" s="62"/>
      <c r="D439" s="62"/>
      <c r="E439" s="62"/>
      <c r="F439" s="64"/>
      <c r="G439" s="62"/>
      <c r="H439" s="64"/>
      <c r="I439" s="62"/>
    </row>
    <row r="440" spans="1:12" x14ac:dyDescent="0.2">
      <c r="B440" s="60"/>
    </row>
    <row r="441" spans="1:12" x14ac:dyDescent="0.2">
      <c r="B441" s="60"/>
    </row>
    <row r="442" spans="1:12" x14ac:dyDescent="0.2">
      <c r="B442" s="60"/>
    </row>
    <row r="443" spans="1:12" x14ac:dyDescent="0.2">
      <c r="B443" s="60"/>
    </row>
    <row r="444" spans="1:12" x14ac:dyDescent="0.2">
      <c r="B444" s="60"/>
    </row>
    <row r="445" spans="1:12" x14ac:dyDescent="0.2">
      <c r="B445" s="60"/>
    </row>
    <row r="446" spans="1:12" x14ac:dyDescent="0.2">
      <c r="B446" s="60"/>
    </row>
    <row r="447" spans="1:12" x14ac:dyDescent="0.2">
      <c r="B447" s="60"/>
    </row>
    <row r="448" spans="1:12" x14ac:dyDescent="0.2">
      <c r="A448" s="66"/>
      <c r="B448" s="67"/>
      <c r="C448" s="66"/>
    </row>
    <row r="449" spans="1:3" x14ac:dyDescent="0.2">
      <c r="A449" s="66"/>
      <c r="B449" s="67"/>
      <c r="C449" s="66"/>
    </row>
    <row r="450" spans="1:3" x14ac:dyDescent="0.2">
      <c r="A450" s="66"/>
      <c r="B450" s="67"/>
      <c r="C450" s="66"/>
    </row>
    <row r="451" spans="1:3" x14ac:dyDescent="0.2">
      <c r="A451" s="66"/>
      <c r="B451" s="67"/>
      <c r="C451" s="66"/>
    </row>
    <row r="452" spans="1:3" x14ac:dyDescent="0.2">
      <c r="A452" s="66"/>
      <c r="B452" s="67"/>
      <c r="C452" s="66"/>
    </row>
    <row r="453" spans="1:3" x14ac:dyDescent="0.2">
      <c r="A453" s="66"/>
      <c r="B453" s="67"/>
      <c r="C453" s="66"/>
    </row>
    <row r="454" spans="1:3" x14ac:dyDescent="0.2">
      <c r="A454" s="66"/>
      <c r="B454" s="67"/>
      <c r="C454" s="66"/>
    </row>
    <row r="455" spans="1:3" x14ac:dyDescent="0.2">
      <c r="A455" s="66"/>
      <c r="B455" s="67"/>
      <c r="C455" s="66"/>
    </row>
    <row r="456" spans="1:3" x14ac:dyDescent="0.2">
      <c r="B456" s="60"/>
    </row>
    <row r="457" spans="1:3" x14ac:dyDescent="0.2">
      <c r="B457" s="60"/>
    </row>
    <row r="458" spans="1:3" x14ac:dyDescent="0.2">
      <c r="B458" s="60"/>
    </row>
    <row r="459" spans="1:3" x14ac:dyDescent="0.2">
      <c r="B459" s="60"/>
    </row>
    <row r="460" spans="1:3" x14ac:dyDescent="0.2">
      <c r="B460" s="60"/>
    </row>
    <row r="461" spans="1:3" x14ac:dyDescent="0.2">
      <c r="B461" s="60"/>
    </row>
    <row r="462" spans="1:3" x14ac:dyDescent="0.2">
      <c r="B462" s="60"/>
    </row>
    <row r="463" spans="1:3" x14ac:dyDescent="0.2">
      <c r="B463" s="60"/>
    </row>
  </sheetData>
  <pageMargins left="0.51180555555555496" right="0.51180555555555496" top="0.78749999999999998" bottom="0.78749999999999998" header="0.51180555555555496" footer="0.51180555555555496"/>
  <pageSetup paperSize="9" firstPageNumber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10"/>
  <sheetViews>
    <sheetView topLeftCell="A10" workbookViewId="0">
      <selection activeCell="A15" sqref="A15:I110"/>
    </sheetView>
  </sheetViews>
  <sheetFormatPr defaultRowHeight="12.75" x14ac:dyDescent="0.2"/>
  <sheetData>
    <row r="1" spans="1:9" x14ac:dyDescent="0.2">
      <c r="A1" t="s">
        <v>365</v>
      </c>
    </row>
    <row r="2" spans="1:9" x14ac:dyDescent="0.2">
      <c r="A2" t="s">
        <v>366</v>
      </c>
    </row>
    <row r="3" spans="1:9" x14ac:dyDescent="0.2">
      <c r="A3" t="s">
        <v>367</v>
      </c>
    </row>
    <row r="4" spans="1:9" x14ac:dyDescent="0.2">
      <c r="A4" t="s">
        <v>368</v>
      </c>
    </row>
    <row r="5" spans="1:9" x14ac:dyDescent="0.2">
      <c r="A5" t="s">
        <v>369</v>
      </c>
    </row>
    <row r="6" spans="1:9" x14ac:dyDescent="0.2">
      <c r="A6" t="s">
        <v>370</v>
      </c>
    </row>
    <row r="7" spans="1:9" x14ac:dyDescent="0.2">
      <c r="A7" t="s">
        <v>371</v>
      </c>
    </row>
    <row r="8" spans="1:9" x14ac:dyDescent="0.2">
      <c r="A8" t="s">
        <v>372</v>
      </c>
    </row>
    <row r="9" spans="1:9" x14ac:dyDescent="0.2">
      <c r="A9" t="s">
        <v>373</v>
      </c>
    </row>
    <row r="10" spans="1:9" x14ac:dyDescent="0.2">
      <c r="A10" t="s">
        <v>374</v>
      </c>
    </row>
    <row r="11" spans="1:9" x14ac:dyDescent="0.2">
      <c r="A11" t="s">
        <v>375</v>
      </c>
    </row>
    <row r="12" spans="1:9" x14ac:dyDescent="0.2">
      <c r="A12" t="s">
        <v>376</v>
      </c>
    </row>
    <row r="13" spans="1:9" x14ac:dyDescent="0.2">
      <c r="A13" t="s">
        <v>377</v>
      </c>
    </row>
    <row r="14" spans="1:9" x14ac:dyDescent="0.2">
      <c r="A14" t="s">
        <v>377</v>
      </c>
    </row>
    <row r="15" spans="1:9" x14ac:dyDescent="0.2">
      <c r="A15" s="9" t="s">
        <v>30</v>
      </c>
      <c r="B15" s="54">
        <v>54.95</v>
      </c>
      <c r="C15" s="9">
        <v>1</v>
      </c>
      <c r="D15" s="9">
        <v>0</v>
      </c>
      <c r="E15" s="9">
        <v>0</v>
      </c>
      <c r="F15" s="35">
        <v>42826</v>
      </c>
      <c r="G15" s="9" t="s">
        <v>16</v>
      </c>
      <c r="H15" s="35">
        <v>42829</v>
      </c>
      <c r="I15" s="9" t="s">
        <v>31</v>
      </c>
    </row>
    <row r="16" spans="1:9" x14ac:dyDescent="0.2">
      <c r="A16" s="9" t="s">
        <v>41</v>
      </c>
      <c r="B16" s="54">
        <v>384.89</v>
      </c>
      <c r="C16" s="9">
        <v>1</v>
      </c>
      <c r="D16" s="9">
        <v>0</v>
      </c>
      <c r="E16" s="9">
        <v>0</v>
      </c>
      <c r="F16" s="35">
        <v>42826</v>
      </c>
      <c r="G16" s="9" t="s">
        <v>49</v>
      </c>
      <c r="H16" s="35">
        <v>42836</v>
      </c>
      <c r="I16" s="9" t="s">
        <v>42</v>
      </c>
    </row>
    <row r="17" spans="1:9" x14ac:dyDescent="0.2">
      <c r="A17" s="9" t="s">
        <v>48</v>
      </c>
      <c r="B17" s="54">
        <v>1485.41</v>
      </c>
      <c r="C17" s="9">
        <v>1</v>
      </c>
      <c r="D17" s="9">
        <v>0</v>
      </c>
      <c r="E17" s="9">
        <v>0</v>
      </c>
      <c r="F17" s="35">
        <v>42826</v>
      </c>
      <c r="G17" s="9" t="s">
        <v>49</v>
      </c>
      <c r="H17" s="35">
        <v>42836</v>
      </c>
      <c r="I17" s="9" t="s">
        <v>42</v>
      </c>
    </row>
    <row r="18" spans="1:9" x14ac:dyDescent="0.2">
      <c r="A18" s="9" t="s">
        <v>45</v>
      </c>
      <c r="B18" s="54">
        <v>85.76</v>
      </c>
      <c r="C18" s="9">
        <v>1</v>
      </c>
      <c r="D18" s="9">
        <v>0</v>
      </c>
      <c r="E18" s="9">
        <v>0</v>
      </c>
      <c r="F18" s="35">
        <v>42826</v>
      </c>
      <c r="G18" s="9" t="s">
        <v>49</v>
      </c>
      <c r="H18" s="35">
        <v>42836</v>
      </c>
      <c r="I18" s="9" t="s">
        <v>42</v>
      </c>
    </row>
    <row r="19" spans="1:9" x14ac:dyDescent="0.2">
      <c r="A19" s="9" t="s">
        <v>52</v>
      </c>
      <c r="B19" s="54">
        <v>45.2</v>
      </c>
      <c r="C19" s="9">
        <v>1</v>
      </c>
      <c r="D19" s="9">
        <v>0</v>
      </c>
      <c r="E19" s="9">
        <v>0</v>
      </c>
      <c r="F19" s="35">
        <v>42826</v>
      </c>
      <c r="G19" s="9" t="s">
        <v>64</v>
      </c>
      <c r="H19" s="35">
        <v>42844</v>
      </c>
      <c r="I19" s="9" t="s">
        <v>31</v>
      </c>
    </row>
    <row r="20" spans="1:9" x14ac:dyDescent="0.2">
      <c r="A20" s="9" t="s">
        <v>26</v>
      </c>
      <c r="B20" s="53">
        <f>SUMIFS(credito!$B$2:$B$292,credito!$F$2:$F$292,F20,credito!$G$2:$G$292,0)</f>
        <v>410.09999999999997</v>
      </c>
      <c r="C20" s="9">
        <v>1</v>
      </c>
      <c r="D20" s="9">
        <v>0</v>
      </c>
      <c r="E20" s="9">
        <v>0</v>
      </c>
      <c r="F20" s="35">
        <v>42826</v>
      </c>
      <c r="G20" s="9" t="s">
        <v>49</v>
      </c>
      <c r="H20" s="35">
        <v>42836</v>
      </c>
      <c r="I20" s="9" t="s">
        <v>27</v>
      </c>
    </row>
    <row r="21" spans="1:9" x14ac:dyDescent="0.2">
      <c r="A21" s="9" t="s">
        <v>63</v>
      </c>
      <c r="B21" s="54">
        <v>648.94000000000005</v>
      </c>
      <c r="C21" s="9">
        <v>1</v>
      </c>
      <c r="D21" s="9">
        <v>0</v>
      </c>
      <c r="E21" s="9">
        <v>0</v>
      </c>
      <c r="F21" s="35">
        <v>42826</v>
      </c>
      <c r="G21" s="9" t="s">
        <v>49</v>
      </c>
      <c r="H21" s="35">
        <v>42842</v>
      </c>
      <c r="I21" s="9" t="s">
        <v>65</v>
      </c>
    </row>
    <row r="22" spans="1:9" x14ac:dyDescent="0.2">
      <c r="A22" s="9" t="s">
        <v>53</v>
      </c>
      <c r="B22" s="53">
        <v>158</v>
      </c>
      <c r="C22" s="9">
        <v>1</v>
      </c>
      <c r="D22" s="9">
        <v>0</v>
      </c>
      <c r="E22" s="9">
        <v>0</v>
      </c>
      <c r="F22" s="35">
        <v>42826</v>
      </c>
      <c r="G22" s="9" t="s">
        <v>49</v>
      </c>
      <c r="H22" s="35">
        <v>42838</v>
      </c>
      <c r="I22" s="9" t="s">
        <v>53</v>
      </c>
    </row>
    <row r="23" spans="1:9" x14ac:dyDescent="0.2">
      <c r="A23" s="9" t="s">
        <v>39</v>
      </c>
      <c r="B23" s="53">
        <v>0</v>
      </c>
      <c r="C23" s="9">
        <v>1</v>
      </c>
      <c r="D23" s="9">
        <v>0</v>
      </c>
      <c r="E23" s="9">
        <v>1</v>
      </c>
      <c r="F23" s="35">
        <v>42826</v>
      </c>
      <c r="G23" s="9"/>
      <c r="H23" s="35"/>
      <c r="I23" s="9" t="s">
        <v>40</v>
      </c>
    </row>
    <row r="24" spans="1:9" x14ac:dyDescent="0.2">
      <c r="A24" s="9" t="s">
        <v>76</v>
      </c>
      <c r="B24" s="53">
        <v>0</v>
      </c>
      <c r="C24" s="9">
        <v>1</v>
      </c>
      <c r="D24" s="9">
        <v>0</v>
      </c>
      <c r="E24" s="9">
        <v>1</v>
      </c>
      <c r="F24" s="35">
        <v>42826</v>
      </c>
      <c r="G24" s="9"/>
      <c r="H24" s="35"/>
      <c r="I24" s="9" t="s">
        <v>42</v>
      </c>
    </row>
    <row r="25" spans="1:9" x14ac:dyDescent="0.2">
      <c r="A25" s="9" t="s">
        <v>54</v>
      </c>
      <c r="B25" s="53">
        <v>6.03</v>
      </c>
      <c r="C25" s="9">
        <v>1</v>
      </c>
      <c r="D25" s="9">
        <v>0</v>
      </c>
      <c r="E25" s="9">
        <v>0</v>
      </c>
      <c r="F25" s="35">
        <v>42826</v>
      </c>
      <c r="G25" s="9" t="s">
        <v>49</v>
      </c>
      <c r="H25" s="35">
        <v>42835</v>
      </c>
      <c r="I25" s="9" t="s">
        <v>31</v>
      </c>
    </row>
    <row r="26" spans="1:9" x14ac:dyDescent="0.2">
      <c r="A26" s="9" t="s">
        <v>66</v>
      </c>
      <c r="B26" s="10">
        <v>50</v>
      </c>
      <c r="C26" s="9">
        <v>1</v>
      </c>
      <c r="D26" s="9">
        <v>0</v>
      </c>
      <c r="E26" s="9">
        <v>0</v>
      </c>
      <c r="F26" s="35">
        <v>42826</v>
      </c>
      <c r="G26" s="9" t="s">
        <v>49</v>
      </c>
      <c r="H26" s="35">
        <v>42842</v>
      </c>
      <c r="I26" s="9" t="s">
        <v>67</v>
      </c>
    </row>
    <row r="27" spans="1:9" x14ac:dyDescent="0.2">
      <c r="A27" s="9" t="s">
        <v>46</v>
      </c>
      <c r="B27" s="10">
        <v>250</v>
      </c>
      <c r="C27" s="9">
        <v>0</v>
      </c>
      <c r="D27" s="9">
        <v>1</v>
      </c>
      <c r="E27" s="9">
        <v>0</v>
      </c>
      <c r="F27" s="35">
        <v>42826</v>
      </c>
      <c r="G27" s="9" t="s">
        <v>16</v>
      </c>
      <c r="H27" s="35">
        <v>42827</v>
      </c>
      <c r="I27" s="9" t="s">
        <v>33</v>
      </c>
    </row>
    <row r="28" spans="1:9" x14ac:dyDescent="0.2">
      <c r="A28" s="9" t="s">
        <v>321</v>
      </c>
      <c r="B28" s="10">
        <v>470.66</v>
      </c>
      <c r="C28" s="9">
        <v>0</v>
      </c>
      <c r="D28" s="9">
        <v>1</v>
      </c>
      <c r="E28" s="9">
        <v>0</v>
      </c>
      <c r="F28" s="35">
        <v>42826</v>
      </c>
      <c r="G28" s="9" t="s">
        <v>49</v>
      </c>
      <c r="H28" s="35">
        <v>42838</v>
      </c>
      <c r="I28" s="9" t="s">
        <v>33</v>
      </c>
    </row>
    <row r="29" spans="1:9" x14ac:dyDescent="0.2">
      <c r="A29" s="9" t="s">
        <v>322</v>
      </c>
      <c r="B29" s="10">
        <v>300</v>
      </c>
      <c r="C29" s="9">
        <v>0</v>
      </c>
      <c r="D29" s="9">
        <v>1</v>
      </c>
      <c r="E29" s="9">
        <v>0</v>
      </c>
      <c r="F29" s="35">
        <v>42826</v>
      </c>
      <c r="G29" s="9" t="s">
        <v>16</v>
      </c>
      <c r="H29" s="35">
        <v>42828</v>
      </c>
      <c r="I29" s="9" t="s">
        <v>323</v>
      </c>
    </row>
    <row r="30" spans="1:9" x14ac:dyDescent="0.2">
      <c r="A30" s="9" t="s">
        <v>56</v>
      </c>
      <c r="B30" s="10">
        <v>2</v>
      </c>
      <c r="C30" s="9">
        <v>0</v>
      </c>
      <c r="D30" s="9">
        <v>1</v>
      </c>
      <c r="E30" s="9">
        <v>0</v>
      </c>
      <c r="F30" s="35">
        <v>42826</v>
      </c>
      <c r="G30" s="9" t="s">
        <v>16</v>
      </c>
      <c r="H30" s="35">
        <v>42828</v>
      </c>
      <c r="I30" s="9" t="s">
        <v>35</v>
      </c>
    </row>
    <row r="31" spans="1:9" x14ac:dyDescent="0.2">
      <c r="A31" s="9" t="s">
        <v>79</v>
      </c>
      <c r="B31" s="10">
        <v>4</v>
      </c>
      <c r="C31" s="9">
        <v>0</v>
      </c>
      <c r="D31" s="9">
        <v>1</v>
      </c>
      <c r="E31" s="9">
        <v>0</v>
      </c>
      <c r="F31" s="35">
        <v>42826</v>
      </c>
      <c r="G31" s="9" t="s">
        <v>16</v>
      </c>
      <c r="H31" s="35">
        <v>42828</v>
      </c>
      <c r="I31" s="9" t="s">
        <v>35</v>
      </c>
    </row>
    <row r="32" spans="1:9" x14ac:dyDescent="0.2">
      <c r="A32" s="9" t="s">
        <v>327</v>
      </c>
      <c r="B32" s="10">
        <v>11.8</v>
      </c>
      <c r="C32" s="9">
        <v>0</v>
      </c>
      <c r="D32" s="9">
        <v>1</v>
      </c>
      <c r="E32" s="9">
        <v>0</v>
      </c>
      <c r="F32" s="35">
        <v>42826</v>
      </c>
      <c r="G32" s="9" t="s">
        <v>16</v>
      </c>
      <c r="H32" s="35">
        <v>42826</v>
      </c>
      <c r="I32" s="9" t="s">
        <v>33</v>
      </c>
    </row>
    <row r="33" spans="1:9" x14ac:dyDescent="0.2">
      <c r="A33" s="9" t="s">
        <v>325</v>
      </c>
      <c r="B33" s="10">
        <v>32.299999999999997</v>
      </c>
      <c r="C33" s="9">
        <v>0</v>
      </c>
      <c r="D33" s="9">
        <v>1</v>
      </c>
      <c r="E33" s="9">
        <v>0</v>
      </c>
      <c r="F33" s="35">
        <v>42826</v>
      </c>
      <c r="G33" s="9" t="s">
        <v>16</v>
      </c>
      <c r="H33" s="35">
        <v>42826</v>
      </c>
      <c r="I33" s="9" t="s">
        <v>82</v>
      </c>
    </row>
    <row r="34" spans="1:9" x14ac:dyDescent="0.2">
      <c r="A34" s="9" t="s">
        <v>301</v>
      </c>
      <c r="B34" s="10">
        <v>152.24</v>
      </c>
      <c r="C34" s="9">
        <v>0</v>
      </c>
      <c r="D34" s="9">
        <v>1</v>
      </c>
      <c r="E34" s="9">
        <v>0</v>
      </c>
      <c r="F34" s="35">
        <v>42826</v>
      </c>
      <c r="G34" s="9" t="s">
        <v>16</v>
      </c>
      <c r="H34" s="35">
        <v>42826</v>
      </c>
      <c r="I34" s="9" t="s">
        <v>33</v>
      </c>
    </row>
    <row r="35" spans="1:9" x14ac:dyDescent="0.2">
      <c r="A35" s="9" t="s">
        <v>326</v>
      </c>
      <c r="B35" s="10">
        <v>3.12</v>
      </c>
      <c r="C35" s="9">
        <v>0</v>
      </c>
      <c r="D35" s="9">
        <v>1</v>
      </c>
      <c r="E35" s="9">
        <v>0</v>
      </c>
      <c r="F35" s="35">
        <v>42826</v>
      </c>
      <c r="G35" s="9" t="s">
        <v>16</v>
      </c>
      <c r="H35" s="35">
        <v>42828</v>
      </c>
      <c r="I35" s="9" t="s">
        <v>31</v>
      </c>
    </row>
    <row r="36" spans="1:9" x14ac:dyDescent="0.2">
      <c r="A36" s="9" t="s">
        <v>70</v>
      </c>
      <c r="B36" s="10">
        <v>40</v>
      </c>
      <c r="C36" s="9">
        <v>0</v>
      </c>
      <c r="D36" s="9">
        <v>1</v>
      </c>
      <c r="E36" s="9">
        <v>0</v>
      </c>
      <c r="F36" s="35">
        <v>42826</v>
      </c>
      <c r="G36" s="9" t="s">
        <v>16</v>
      </c>
      <c r="H36" s="35">
        <v>42829</v>
      </c>
      <c r="I36" s="9" t="s">
        <v>70</v>
      </c>
    </row>
    <row r="37" spans="1:9" x14ac:dyDescent="0.2">
      <c r="A37" s="9" t="s">
        <v>264</v>
      </c>
      <c r="B37" s="10">
        <v>21.42</v>
      </c>
      <c r="C37" s="9">
        <v>0</v>
      </c>
      <c r="D37" s="9">
        <v>1</v>
      </c>
      <c r="E37" s="9">
        <v>0</v>
      </c>
      <c r="F37" s="35">
        <v>42826</v>
      </c>
      <c r="G37" s="9" t="s">
        <v>16</v>
      </c>
      <c r="H37" s="35">
        <v>42830</v>
      </c>
      <c r="I37" s="9" t="s">
        <v>31</v>
      </c>
    </row>
    <row r="38" spans="1:9" x14ac:dyDescent="0.2">
      <c r="A38" s="9" t="s">
        <v>328</v>
      </c>
      <c r="B38" s="10">
        <v>4.9000000000000004</v>
      </c>
      <c r="C38" s="9">
        <v>0</v>
      </c>
      <c r="D38" s="9">
        <v>1</v>
      </c>
      <c r="E38" s="9">
        <v>0</v>
      </c>
      <c r="F38" s="35">
        <v>42826</v>
      </c>
      <c r="G38" s="9" t="s">
        <v>16</v>
      </c>
      <c r="H38" s="35">
        <v>42830</v>
      </c>
      <c r="I38" s="9" t="s">
        <v>35</v>
      </c>
    </row>
    <row r="39" spans="1:9" x14ac:dyDescent="0.2">
      <c r="A39" s="9" t="s">
        <v>324</v>
      </c>
      <c r="B39" s="10">
        <v>11.5</v>
      </c>
      <c r="C39" s="9">
        <v>0</v>
      </c>
      <c r="D39" s="9">
        <v>1</v>
      </c>
      <c r="E39" s="9">
        <v>0</v>
      </c>
      <c r="F39" s="35">
        <v>42826</v>
      </c>
      <c r="G39" s="9" t="s">
        <v>16</v>
      </c>
      <c r="H39" s="35">
        <v>42830</v>
      </c>
      <c r="I39" s="9" t="s">
        <v>35</v>
      </c>
    </row>
    <row r="40" spans="1:9" x14ac:dyDescent="0.2">
      <c r="A40" s="9" t="s">
        <v>75</v>
      </c>
      <c r="B40" s="10">
        <v>18</v>
      </c>
      <c r="C40" s="9">
        <v>0</v>
      </c>
      <c r="D40" s="9">
        <v>1</v>
      </c>
      <c r="E40" s="9">
        <v>0</v>
      </c>
      <c r="F40" s="35">
        <v>42826</v>
      </c>
      <c r="G40" s="9" t="s">
        <v>16</v>
      </c>
      <c r="H40" s="35">
        <v>42831</v>
      </c>
      <c r="I40" s="9" t="s">
        <v>35</v>
      </c>
    </row>
    <row r="41" spans="1:9" x14ac:dyDescent="0.2">
      <c r="A41" s="9" t="s">
        <v>70</v>
      </c>
      <c r="B41" s="10">
        <v>50</v>
      </c>
      <c r="C41" s="9">
        <v>0</v>
      </c>
      <c r="D41" s="9">
        <v>1</v>
      </c>
      <c r="E41" s="9">
        <v>0</v>
      </c>
      <c r="F41" s="35">
        <v>42826</v>
      </c>
      <c r="G41" s="9" t="s">
        <v>16</v>
      </c>
      <c r="H41" s="35">
        <v>42831</v>
      </c>
      <c r="I41" s="9" t="s">
        <v>35</v>
      </c>
    </row>
    <row r="42" spans="1:9" x14ac:dyDescent="0.2">
      <c r="A42" s="9" t="s">
        <v>56</v>
      </c>
      <c r="B42" s="10">
        <v>3.49</v>
      </c>
      <c r="C42" s="9">
        <v>0</v>
      </c>
      <c r="D42" s="9">
        <v>1</v>
      </c>
      <c r="E42" s="9">
        <v>0</v>
      </c>
      <c r="F42" s="35">
        <v>42826</v>
      </c>
      <c r="G42" s="9" t="s">
        <v>16</v>
      </c>
      <c r="H42" s="35">
        <v>42832</v>
      </c>
      <c r="I42" s="9" t="s">
        <v>35</v>
      </c>
    </row>
    <row r="43" spans="1:9" x14ac:dyDescent="0.2">
      <c r="A43" s="9" t="s">
        <v>82</v>
      </c>
      <c r="B43" s="10">
        <v>68.66</v>
      </c>
      <c r="C43" s="9">
        <v>0</v>
      </c>
      <c r="D43" s="9">
        <v>1</v>
      </c>
      <c r="E43" s="9">
        <v>0</v>
      </c>
      <c r="F43" s="35">
        <v>42826</v>
      </c>
      <c r="G43" s="9" t="s">
        <v>16</v>
      </c>
      <c r="H43" s="35">
        <v>42832</v>
      </c>
      <c r="I43" s="9" t="s">
        <v>82</v>
      </c>
    </row>
    <row r="44" spans="1:9" x14ac:dyDescent="0.2">
      <c r="A44" s="9" t="s">
        <v>336</v>
      </c>
      <c r="B44" s="10">
        <v>64.88</v>
      </c>
      <c r="C44" s="9">
        <v>0</v>
      </c>
      <c r="D44" s="9">
        <v>1</v>
      </c>
      <c r="E44" s="9">
        <v>0</v>
      </c>
      <c r="F44" s="35">
        <v>42826</v>
      </c>
      <c r="G44" s="9" t="s">
        <v>16</v>
      </c>
      <c r="H44" s="35">
        <v>42832</v>
      </c>
      <c r="I44" s="9" t="s">
        <v>59</v>
      </c>
    </row>
    <row r="45" spans="1:9" x14ac:dyDescent="0.2">
      <c r="A45" s="9" t="s">
        <v>104</v>
      </c>
      <c r="B45" s="10">
        <v>10.99</v>
      </c>
      <c r="C45" s="9">
        <v>0</v>
      </c>
      <c r="D45" s="9">
        <v>1</v>
      </c>
      <c r="E45" s="9">
        <v>0</v>
      </c>
      <c r="F45" s="35">
        <v>42826</v>
      </c>
      <c r="G45" s="9" t="s">
        <v>16</v>
      </c>
      <c r="H45" s="35">
        <v>42833</v>
      </c>
      <c r="I45" s="9" t="s">
        <v>104</v>
      </c>
    </row>
    <row r="46" spans="1:9" x14ac:dyDescent="0.2">
      <c r="A46" s="9" t="s">
        <v>110</v>
      </c>
      <c r="B46" s="10">
        <v>7</v>
      </c>
      <c r="C46" s="9">
        <v>0</v>
      </c>
      <c r="D46" s="9">
        <v>1</v>
      </c>
      <c r="E46" s="9">
        <v>0</v>
      </c>
      <c r="F46" s="35">
        <v>42826</v>
      </c>
      <c r="G46" s="9" t="s">
        <v>16</v>
      </c>
      <c r="H46" s="35">
        <v>42833</v>
      </c>
      <c r="I46" s="9" t="s">
        <v>59</v>
      </c>
    </row>
    <row r="47" spans="1:9" x14ac:dyDescent="0.2">
      <c r="A47" s="9" t="s">
        <v>337</v>
      </c>
      <c r="B47" s="10">
        <v>55.9</v>
      </c>
      <c r="C47" s="9">
        <v>0</v>
      </c>
      <c r="D47" s="9">
        <v>1</v>
      </c>
      <c r="E47" s="9">
        <v>0</v>
      </c>
      <c r="F47" s="35">
        <v>42826</v>
      </c>
      <c r="G47" s="9" t="s">
        <v>16</v>
      </c>
      <c r="H47" s="35">
        <v>42833</v>
      </c>
      <c r="I47" s="9" t="s">
        <v>59</v>
      </c>
    </row>
    <row r="48" spans="1:9" x14ac:dyDescent="0.2">
      <c r="A48" s="9" t="s">
        <v>338</v>
      </c>
      <c r="B48" s="10">
        <v>39.9</v>
      </c>
      <c r="C48" s="9">
        <v>0</v>
      </c>
      <c r="D48" s="9">
        <v>1</v>
      </c>
      <c r="E48" s="9">
        <v>0</v>
      </c>
      <c r="F48" s="35">
        <v>42826</v>
      </c>
      <c r="G48" s="9" t="s">
        <v>16</v>
      </c>
      <c r="H48" s="35">
        <v>42833</v>
      </c>
      <c r="I48" s="9" t="s">
        <v>59</v>
      </c>
    </row>
    <row r="49" spans="1:9" x14ac:dyDescent="0.2">
      <c r="A49" s="9" t="s">
        <v>339</v>
      </c>
      <c r="B49" s="10">
        <v>44</v>
      </c>
      <c r="C49" s="9">
        <v>0</v>
      </c>
      <c r="D49" s="9">
        <v>1</v>
      </c>
      <c r="E49" s="9">
        <v>0</v>
      </c>
      <c r="F49" s="35">
        <v>42826</v>
      </c>
      <c r="G49" s="9" t="s">
        <v>16</v>
      </c>
      <c r="H49" s="35">
        <v>42833</v>
      </c>
      <c r="I49" s="9" t="s">
        <v>59</v>
      </c>
    </row>
    <row r="50" spans="1:9" x14ac:dyDescent="0.2">
      <c r="A50" s="9" t="s">
        <v>61</v>
      </c>
      <c r="B50" s="10">
        <v>60</v>
      </c>
      <c r="C50" s="9">
        <v>0</v>
      </c>
      <c r="D50" s="9">
        <v>1</v>
      </c>
      <c r="E50" s="9">
        <v>0</v>
      </c>
      <c r="F50" s="35">
        <v>42826</v>
      </c>
      <c r="G50" s="9" t="s">
        <v>16</v>
      </c>
      <c r="H50" s="35">
        <v>42833</v>
      </c>
      <c r="I50" s="9" t="s">
        <v>59</v>
      </c>
    </row>
    <row r="51" spans="1:9" x14ac:dyDescent="0.2">
      <c r="A51" s="9" t="s">
        <v>340</v>
      </c>
      <c r="B51" s="10">
        <v>5.19</v>
      </c>
      <c r="C51" s="9">
        <v>0</v>
      </c>
      <c r="D51" s="9">
        <v>1</v>
      </c>
      <c r="E51" s="9">
        <v>0</v>
      </c>
      <c r="F51" s="35">
        <v>42826</v>
      </c>
      <c r="G51" s="9" t="s">
        <v>16</v>
      </c>
      <c r="H51" s="35">
        <v>42833</v>
      </c>
      <c r="I51" s="9" t="s">
        <v>29</v>
      </c>
    </row>
    <row r="52" spans="1:9" x14ac:dyDescent="0.2">
      <c r="A52" s="9" t="s">
        <v>82</v>
      </c>
      <c r="B52" s="10">
        <v>12</v>
      </c>
      <c r="C52" s="9">
        <v>0</v>
      </c>
      <c r="D52" s="9">
        <v>1</v>
      </c>
      <c r="E52" s="9">
        <v>0</v>
      </c>
      <c r="F52" s="35">
        <v>42826</v>
      </c>
      <c r="G52" s="9" t="s">
        <v>16</v>
      </c>
      <c r="H52" s="35">
        <v>42833</v>
      </c>
      <c r="I52" s="9" t="s">
        <v>82</v>
      </c>
    </row>
    <row r="53" spans="1:9" x14ac:dyDescent="0.2">
      <c r="A53" s="9" t="s">
        <v>341</v>
      </c>
      <c r="B53" s="10">
        <v>52</v>
      </c>
      <c r="C53" s="9">
        <v>0</v>
      </c>
      <c r="D53" s="9">
        <v>1</v>
      </c>
      <c r="E53" s="9">
        <v>0</v>
      </c>
      <c r="F53" s="35">
        <v>42826</v>
      </c>
      <c r="G53" s="9" t="s">
        <v>16</v>
      </c>
      <c r="H53" s="35">
        <v>42833</v>
      </c>
      <c r="I53" s="9" t="s">
        <v>33</v>
      </c>
    </row>
    <row r="54" spans="1:9" x14ac:dyDescent="0.2">
      <c r="A54" s="9" t="s">
        <v>47</v>
      </c>
      <c r="B54" s="10">
        <v>50</v>
      </c>
      <c r="C54" s="9">
        <v>0</v>
      </c>
      <c r="D54" s="9">
        <v>1</v>
      </c>
      <c r="E54" s="9">
        <v>0</v>
      </c>
      <c r="F54" s="35">
        <v>42826</v>
      </c>
      <c r="G54" s="9" t="s">
        <v>16</v>
      </c>
      <c r="H54" s="35">
        <v>42834</v>
      </c>
      <c r="I54" s="9" t="s">
        <v>47</v>
      </c>
    </row>
    <row r="55" spans="1:9" x14ac:dyDescent="0.2">
      <c r="A55" s="9" t="s">
        <v>82</v>
      </c>
      <c r="B55" s="10">
        <v>30</v>
      </c>
      <c r="C55" s="9">
        <v>0</v>
      </c>
      <c r="D55" s="9">
        <v>1</v>
      </c>
      <c r="E55" s="9">
        <v>0</v>
      </c>
      <c r="F55" s="35">
        <v>42826</v>
      </c>
      <c r="G55" s="9" t="s">
        <v>16</v>
      </c>
      <c r="H55" s="35">
        <v>42834</v>
      </c>
      <c r="I55" s="9" t="s">
        <v>82</v>
      </c>
    </row>
    <row r="56" spans="1:9" x14ac:dyDescent="0.2">
      <c r="A56" s="9" t="s">
        <v>341</v>
      </c>
      <c r="B56" s="10">
        <v>50</v>
      </c>
      <c r="C56" s="9">
        <v>0</v>
      </c>
      <c r="D56" s="9">
        <v>1</v>
      </c>
      <c r="E56" s="9">
        <v>0</v>
      </c>
      <c r="F56" s="35">
        <v>42826</v>
      </c>
      <c r="G56" s="9" t="s">
        <v>16</v>
      </c>
      <c r="H56" s="35">
        <v>42834</v>
      </c>
      <c r="I56" s="9" t="s">
        <v>33</v>
      </c>
    </row>
    <row r="57" spans="1:9" x14ac:dyDescent="0.2">
      <c r="A57" s="9" t="s">
        <v>72</v>
      </c>
      <c r="B57" s="10">
        <v>5.6</v>
      </c>
      <c r="C57" s="9">
        <v>0</v>
      </c>
      <c r="D57" s="9">
        <v>1</v>
      </c>
      <c r="E57" s="9">
        <v>0</v>
      </c>
      <c r="F57" s="35">
        <v>42826</v>
      </c>
      <c r="G57" s="9" t="s">
        <v>16</v>
      </c>
      <c r="H57" s="35">
        <v>42834</v>
      </c>
      <c r="I57" s="9" t="s">
        <v>72</v>
      </c>
    </row>
    <row r="58" spans="1:9" x14ac:dyDescent="0.2">
      <c r="A58" s="9" t="s">
        <v>342</v>
      </c>
      <c r="B58" s="10">
        <v>80.930000000000007</v>
      </c>
      <c r="C58" s="9">
        <v>0</v>
      </c>
      <c r="D58" s="9">
        <v>1</v>
      </c>
      <c r="E58" s="9">
        <v>0</v>
      </c>
      <c r="F58" s="35">
        <v>42826</v>
      </c>
      <c r="G58" s="9" t="s">
        <v>49</v>
      </c>
      <c r="H58" s="35">
        <v>42835</v>
      </c>
      <c r="I58" s="9" t="s">
        <v>72</v>
      </c>
    </row>
    <row r="59" spans="1:9" x14ac:dyDescent="0.2">
      <c r="A59" s="9" t="s">
        <v>343</v>
      </c>
      <c r="B59" s="10">
        <v>500</v>
      </c>
      <c r="C59" s="9">
        <v>0</v>
      </c>
      <c r="D59" s="9">
        <v>1</v>
      </c>
      <c r="E59" s="9">
        <v>0</v>
      </c>
      <c r="F59" s="35">
        <v>42826</v>
      </c>
      <c r="G59" s="9" t="s">
        <v>49</v>
      </c>
      <c r="H59" s="35">
        <v>42836</v>
      </c>
      <c r="I59" s="9" t="s">
        <v>357</v>
      </c>
    </row>
    <row r="60" spans="1:9" x14ac:dyDescent="0.2">
      <c r="A60" s="9" t="s">
        <v>332</v>
      </c>
      <c r="B60" s="10">
        <v>0</v>
      </c>
      <c r="C60" s="9">
        <v>0</v>
      </c>
      <c r="D60" s="9">
        <v>1</v>
      </c>
      <c r="E60" s="9">
        <v>1</v>
      </c>
      <c r="F60" s="35">
        <v>42826</v>
      </c>
      <c r="G60" s="9"/>
      <c r="H60" s="35"/>
      <c r="I60" s="9" t="s">
        <v>334</v>
      </c>
    </row>
    <row r="61" spans="1:9" x14ac:dyDescent="0.2">
      <c r="A61" s="9" t="s">
        <v>333</v>
      </c>
      <c r="B61" s="10">
        <v>0</v>
      </c>
      <c r="C61" s="9">
        <v>0</v>
      </c>
      <c r="D61" s="9">
        <v>1</v>
      </c>
      <c r="E61" s="9">
        <v>1</v>
      </c>
      <c r="F61" s="35">
        <v>42826</v>
      </c>
      <c r="G61" s="9"/>
      <c r="H61" s="35"/>
      <c r="I61" s="9" t="s">
        <v>334</v>
      </c>
    </row>
    <row r="62" spans="1:9" x14ac:dyDescent="0.2">
      <c r="A62" s="9" t="s">
        <v>335</v>
      </c>
      <c r="B62" s="10">
        <v>0</v>
      </c>
      <c r="C62" s="9">
        <v>0</v>
      </c>
      <c r="D62" s="9">
        <v>1</v>
      </c>
      <c r="E62" s="9">
        <v>1</v>
      </c>
      <c r="F62" s="35">
        <v>42826</v>
      </c>
      <c r="G62" s="9"/>
      <c r="H62" s="35"/>
      <c r="I62" s="9" t="s">
        <v>334</v>
      </c>
    </row>
    <row r="63" spans="1:9" x14ac:dyDescent="0.2">
      <c r="A63" s="9" t="s">
        <v>344</v>
      </c>
      <c r="B63" s="10">
        <v>0</v>
      </c>
      <c r="C63" s="9">
        <v>0</v>
      </c>
      <c r="D63" s="9">
        <v>1</v>
      </c>
      <c r="E63" s="9">
        <v>1</v>
      </c>
      <c r="F63" s="35">
        <v>42826</v>
      </c>
      <c r="G63" s="9"/>
      <c r="H63" s="35"/>
      <c r="I63" s="9" t="s">
        <v>42</v>
      </c>
    </row>
    <row r="64" spans="1:9" x14ac:dyDescent="0.2">
      <c r="A64" s="9" t="s">
        <v>345</v>
      </c>
      <c r="B64" s="10">
        <v>250</v>
      </c>
      <c r="C64" s="9">
        <v>0</v>
      </c>
      <c r="D64" s="9">
        <v>1</v>
      </c>
      <c r="E64" s="9">
        <v>0</v>
      </c>
      <c r="F64" s="35">
        <v>42826</v>
      </c>
      <c r="G64" s="9" t="s">
        <v>77</v>
      </c>
      <c r="H64" s="35">
        <v>42849</v>
      </c>
      <c r="I64" s="9" t="s">
        <v>302</v>
      </c>
    </row>
    <row r="65" spans="1:9" x14ac:dyDescent="0.2">
      <c r="A65" s="9" t="s">
        <v>29</v>
      </c>
      <c r="B65" s="10">
        <v>50.15</v>
      </c>
      <c r="C65" s="9">
        <v>0</v>
      </c>
      <c r="D65" s="9">
        <v>1</v>
      </c>
      <c r="E65" s="9">
        <v>0</v>
      </c>
      <c r="F65" s="35">
        <v>42826</v>
      </c>
      <c r="G65" s="9" t="s">
        <v>49</v>
      </c>
      <c r="H65" s="35">
        <v>42838</v>
      </c>
      <c r="I65" s="9" t="s">
        <v>334</v>
      </c>
    </row>
    <row r="66" spans="1:9" x14ac:dyDescent="0.2">
      <c r="A66" s="9" t="s">
        <v>301</v>
      </c>
      <c r="B66" s="10">
        <v>169</v>
      </c>
      <c r="C66" s="9">
        <v>0</v>
      </c>
      <c r="D66" s="9">
        <v>1</v>
      </c>
      <c r="E66" s="9">
        <v>0</v>
      </c>
      <c r="F66" s="35">
        <v>42826</v>
      </c>
      <c r="G66" s="9" t="s">
        <v>49</v>
      </c>
      <c r="H66" s="35">
        <v>42838</v>
      </c>
      <c r="I66" s="9" t="s">
        <v>334</v>
      </c>
    </row>
    <row r="67" spans="1:9" x14ac:dyDescent="0.2">
      <c r="A67" s="9" t="s">
        <v>207</v>
      </c>
      <c r="B67" s="10">
        <v>54.79</v>
      </c>
      <c r="C67" s="9">
        <v>0</v>
      </c>
      <c r="D67" s="9">
        <v>1</v>
      </c>
      <c r="E67" s="9">
        <v>0</v>
      </c>
      <c r="F67" s="35">
        <v>42826</v>
      </c>
      <c r="G67" s="9" t="s">
        <v>49</v>
      </c>
      <c r="H67" s="35">
        <v>42838</v>
      </c>
      <c r="I67" s="9" t="s">
        <v>334</v>
      </c>
    </row>
    <row r="68" spans="1:9" x14ac:dyDescent="0.2">
      <c r="A68" s="9" t="s">
        <v>346</v>
      </c>
      <c r="B68" s="10">
        <v>12.9</v>
      </c>
      <c r="C68" s="9">
        <v>0</v>
      </c>
      <c r="D68" s="9">
        <v>1</v>
      </c>
      <c r="E68" s="9">
        <v>0</v>
      </c>
      <c r="F68" s="35">
        <v>42826</v>
      </c>
      <c r="G68" s="9" t="s">
        <v>49</v>
      </c>
      <c r="H68" s="35">
        <v>42838</v>
      </c>
      <c r="I68" s="9" t="s">
        <v>334</v>
      </c>
    </row>
    <row r="69" spans="1:9" x14ac:dyDescent="0.2">
      <c r="A69" s="9" t="s">
        <v>347</v>
      </c>
      <c r="B69" s="10">
        <v>97.94</v>
      </c>
      <c r="C69" s="9">
        <v>0</v>
      </c>
      <c r="D69" s="9">
        <v>1</v>
      </c>
      <c r="E69" s="9">
        <v>0</v>
      </c>
      <c r="F69" s="35">
        <v>42826</v>
      </c>
      <c r="G69" s="9" t="s">
        <v>49</v>
      </c>
      <c r="H69" s="35">
        <v>42838</v>
      </c>
      <c r="I69" s="9" t="s">
        <v>334</v>
      </c>
    </row>
    <row r="70" spans="1:9" x14ac:dyDescent="0.2">
      <c r="A70" s="9" t="s">
        <v>29</v>
      </c>
      <c r="B70" s="10">
        <v>76.87</v>
      </c>
      <c r="C70" s="9">
        <v>0</v>
      </c>
      <c r="D70" s="9">
        <v>1</v>
      </c>
      <c r="E70" s="9">
        <v>0</v>
      </c>
      <c r="F70" s="35">
        <v>42826</v>
      </c>
      <c r="G70" s="9" t="s">
        <v>49</v>
      </c>
      <c r="H70" s="35">
        <v>42840</v>
      </c>
      <c r="I70" s="9" t="s">
        <v>334</v>
      </c>
    </row>
    <row r="71" spans="1:9" x14ac:dyDescent="0.2">
      <c r="A71" s="9" t="s">
        <v>348</v>
      </c>
      <c r="B71" s="10">
        <v>130</v>
      </c>
      <c r="C71" s="9">
        <v>0</v>
      </c>
      <c r="D71" s="9">
        <v>1</v>
      </c>
      <c r="E71" s="9">
        <v>0</v>
      </c>
      <c r="F71" s="35">
        <v>42826</v>
      </c>
      <c r="G71" s="9" t="s">
        <v>49</v>
      </c>
      <c r="H71" s="35">
        <v>42839</v>
      </c>
      <c r="I71" s="9" t="s">
        <v>334</v>
      </c>
    </row>
    <row r="72" spans="1:9" x14ac:dyDescent="0.2">
      <c r="A72" s="9" t="s">
        <v>82</v>
      </c>
      <c r="B72" s="10">
        <v>51.7</v>
      </c>
      <c r="C72" s="9">
        <v>0</v>
      </c>
      <c r="D72" s="9">
        <v>1</v>
      </c>
      <c r="E72" s="9">
        <v>0</v>
      </c>
      <c r="F72" s="35">
        <v>42826</v>
      </c>
      <c r="G72" s="9" t="s">
        <v>49</v>
      </c>
      <c r="H72" s="35">
        <v>42839</v>
      </c>
      <c r="I72" s="9" t="s">
        <v>334</v>
      </c>
    </row>
    <row r="73" spans="1:9" x14ac:dyDescent="0.2">
      <c r="A73" s="9" t="s">
        <v>349</v>
      </c>
      <c r="B73" s="10">
        <v>17</v>
      </c>
      <c r="C73" s="9">
        <v>0</v>
      </c>
      <c r="D73" s="9">
        <v>1</v>
      </c>
      <c r="E73" s="9">
        <v>0</v>
      </c>
      <c r="F73" s="35">
        <v>42826</v>
      </c>
      <c r="G73" s="9" t="s">
        <v>49</v>
      </c>
      <c r="H73" s="35">
        <v>42840</v>
      </c>
      <c r="I73" s="9" t="s">
        <v>334</v>
      </c>
    </row>
    <row r="74" spans="1:9" x14ac:dyDescent="0.2">
      <c r="A74" s="9" t="s">
        <v>350</v>
      </c>
      <c r="B74" s="10">
        <v>12.74</v>
      </c>
      <c r="C74" s="9">
        <v>0</v>
      </c>
      <c r="D74" s="9">
        <v>1</v>
      </c>
      <c r="E74" s="9">
        <v>0</v>
      </c>
      <c r="F74" s="35">
        <v>42826</v>
      </c>
      <c r="G74" s="9" t="s">
        <v>49</v>
      </c>
      <c r="H74" s="35">
        <v>42840</v>
      </c>
      <c r="I74" s="9" t="s">
        <v>334</v>
      </c>
    </row>
    <row r="75" spans="1:9" x14ac:dyDescent="0.2">
      <c r="A75" s="9" t="s">
        <v>351</v>
      </c>
      <c r="B75" s="10">
        <v>21.99</v>
      </c>
      <c r="C75" s="9">
        <v>0</v>
      </c>
      <c r="D75" s="9">
        <v>1</v>
      </c>
      <c r="E75" s="9">
        <v>0</v>
      </c>
      <c r="F75" s="35">
        <v>42826</v>
      </c>
      <c r="G75" s="9" t="s">
        <v>49</v>
      </c>
      <c r="H75" s="35">
        <v>42840</v>
      </c>
      <c r="I75" s="9" t="s">
        <v>334</v>
      </c>
    </row>
    <row r="76" spans="1:9" x14ac:dyDescent="0.2">
      <c r="A76" s="9" t="s">
        <v>301</v>
      </c>
      <c r="B76" s="10">
        <v>158</v>
      </c>
      <c r="C76" s="9">
        <v>0</v>
      </c>
      <c r="D76" s="9">
        <v>1</v>
      </c>
      <c r="E76" s="9">
        <v>0</v>
      </c>
      <c r="F76" s="35">
        <v>42826</v>
      </c>
      <c r="G76" s="9" t="s">
        <v>49</v>
      </c>
      <c r="H76" s="35">
        <v>42839</v>
      </c>
      <c r="I76" s="9" t="s">
        <v>334</v>
      </c>
    </row>
    <row r="77" spans="1:9" x14ac:dyDescent="0.2">
      <c r="A77" s="9" t="s">
        <v>301</v>
      </c>
      <c r="B77" s="10">
        <v>141</v>
      </c>
      <c r="C77" s="9">
        <v>0</v>
      </c>
      <c r="D77" s="9">
        <v>1</v>
      </c>
      <c r="E77" s="9">
        <v>0</v>
      </c>
      <c r="F77" s="35">
        <v>42826</v>
      </c>
      <c r="G77" s="9" t="s">
        <v>49</v>
      </c>
      <c r="H77" s="35">
        <v>42839</v>
      </c>
      <c r="I77" s="9" t="s">
        <v>334</v>
      </c>
    </row>
    <row r="78" spans="1:9" x14ac:dyDescent="0.2">
      <c r="A78" s="9" t="s">
        <v>301</v>
      </c>
      <c r="B78" s="10">
        <v>121.31</v>
      </c>
      <c r="C78" s="9">
        <v>0</v>
      </c>
      <c r="D78" s="9">
        <v>1</v>
      </c>
      <c r="E78" s="9">
        <v>0</v>
      </c>
      <c r="F78" s="35">
        <v>42826</v>
      </c>
      <c r="G78" s="9" t="s">
        <v>49</v>
      </c>
      <c r="H78" s="35">
        <v>42840</v>
      </c>
      <c r="I78" s="9" t="s">
        <v>334</v>
      </c>
    </row>
    <row r="79" spans="1:9" x14ac:dyDescent="0.2">
      <c r="A79" s="9" t="s">
        <v>352</v>
      </c>
      <c r="B79" s="10">
        <v>24.42</v>
      </c>
      <c r="C79" s="9">
        <v>0</v>
      </c>
      <c r="D79" s="9">
        <v>1</v>
      </c>
      <c r="E79" s="9">
        <v>0</v>
      </c>
      <c r="F79" s="35">
        <v>42826</v>
      </c>
      <c r="G79" s="9" t="s">
        <v>49</v>
      </c>
      <c r="H79" s="35">
        <v>42839</v>
      </c>
      <c r="I79" s="9" t="s">
        <v>334</v>
      </c>
    </row>
    <row r="80" spans="1:9" x14ac:dyDescent="0.2">
      <c r="A80" s="9" t="s">
        <v>352</v>
      </c>
      <c r="B80" s="10">
        <v>13.2</v>
      </c>
      <c r="C80" s="9">
        <v>0</v>
      </c>
      <c r="D80" s="9">
        <v>1</v>
      </c>
      <c r="E80" s="9">
        <v>0</v>
      </c>
      <c r="F80" s="35">
        <v>42826</v>
      </c>
      <c r="G80" s="9" t="s">
        <v>49</v>
      </c>
      <c r="H80" s="35">
        <v>42839</v>
      </c>
      <c r="I80" s="9" t="s">
        <v>334</v>
      </c>
    </row>
    <row r="81" spans="1:9" x14ac:dyDescent="0.2">
      <c r="A81" s="9" t="s">
        <v>91</v>
      </c>
      <c r="B81" s="10">
        <v>300</v>
      </c>
      <c r="C81" s="9">
        <v>0</v>
      </c>
      <c r="D81" s="9">
        <v>1</v>
      </c>
      <c r="E81" s="9">
        <v>0</v>
      </c>
      <c r="F81" s="35">
        <v>42826</v>
      </c>
      <c r="G81" s="9" t="s">
        <v>64</v>
      </c>
      <c r="H81" s="35">
        <v>42843</v>
      </c>
      <c r="I81" s="9" t="s">
        <v>334</v>
      </c>
    </row>
    <row r="82" spans="1:9" x14ac:dyDescent="0.2">
      <c r="A82" s="9" t="s">
        <v>29</v>
      </c>
      <c r="B82" s="10">
        <v>100</v>
      </c>
      <c r="C82" s="9">
        <v>0</v>
      </c>
      <c r="D82" s="9">
        <v>1</v>
      </c>
      <c r="E82" s="9">
        <v>0</v>
      </c>
      <c r="F82" s="35">
        <v>42826</v>
      </c>
      <c r="G82" s="9" t="s">
        <v>64</v>
      </c>
      <c r="H82" s="35">
        <v>42843</v>
      </c>
      <c r="I82" s="9" t="s">
        <v>334</v>
      </c>
    </row>
    <row r="83" spans="1:9" x14ac:dyDescent="0.2">
      <c r="A83" s="9" t="s">
        <v>47</v>
      </c>
      <c r="B83" s="10">
        <v>100</v>
      </c>
      <c r="C83" s="9">
        <v>0</v>
      </c>
      <c r="D83" s="9">
        <v>1</v>
      </c>
      <c r="E83" s="9">
        <v>0</v>
      </c>
      <c r="F83" s="35">
        <v>42826</v>
      </c>
      <c r="G83" s="9" t="s">
        <v>64</v>
      </c>
      <c r="H83" s="35">
        <v>42843</v>
      </c>
      <c r="I83" s="9" t="s">
        <v>334</v>
      </c>
    </row>
    <row r="84" spans="1:9" x14ac:dyDescent="0.2">
      <c r="A84" s="9" t="s">
        <v>353</v>
      </c>
      <c r="B84" s="10">
        <v>150</v>
      </c>
      <c r="C84" s="9">
        <v>0</v>
      </c>
      <c r="D84" s="9">
        <v>1</v>
      </c>
      <c r="E84" s="9">
        <v>0</v>
      </c>
      <c r="F84" s="35">
        <v>42826</v>
      </c>
      <c r="G84" s="9" t="s">
        <v>77</v>
      </c>
      <c r="H84" s="35">
        <v>42850</v>
      </c>
      <c r="I84" s="9" t="s">
        <v>334</v>
      </c>
    </row>
    <row r="85" spans="1:9" x14ac:dyDescent="0.2">
      <c r="A85" s="9" t="s">
        <v>91</v>
      </c>
      <c r="B85" s="10">
        <v>150</v>
      </c>
      <c r="C85" s="9">
        <v>0</v>
      </c>
      <c r="D85" s="9">
        <v>1</v>
      </c>
      <c r="E85" s="9">
        <v>0</v>
      </c>
      <c r="F85" s="35">
        <v>42826</v>
      </c>
      <c r="G85" s="9" t="s">
        <v>77</v>
      </c>
      <c r="H85" s="35">
        <v>42850</v>
      </c>
      <c r="I85" s="9" t="s">
        <v>334</v>
      </c>
    </row>
    <row r="86" spans="1:9" x14ac:dyDescent="0.2">
      <c r="A86" s="9" t="s">
        <v>91</v>
      </c>
      <c r="B86" s="10">
        <v>300</v>
      </c>
      <c r="C86" s="9">
        <v>0</v>
      </c>
      <c r="D86" s="9">
        <v>1</v>
      </c>
      <c r="E86" s="9">
        <v>0</v>
      </c>
      <c r="F86" s="35">
        <v>42826</v>
      </c>
      <c r="G86" s="9" t="s">
        <v>49</v>
      </c>
      <c r="H86" s="35">
        <v>42837</v>
      </c>
      <c r="I86" s="9" t="s">
        <v>334</v>
      </c>
    </row>
    <row r="87" spans="1:9" x14ac:dyDescent="0.2">
      <c r="A87" s="9" t="s">
        <v>333</v>
      </c>
      <c r="B87" s="10">
        <f>(16*2.1)+4.1+4.1</f>
        <v>41.800000000000004</v>
      </c>
      <c r="C87" s="9">
        <v>0</v>
      </c>
      <c r="D87" s="9">
        <v>1</v>
      </c>
      <c r="E87" s="9">
        <v>0</v>
      </c>
      <c r="F87" s="35">
        <v>42826</v>
      </c>
      <c r="G87" s="9" t="s">
        <v>77</v>
      </c>
      <c r="H87" s="35">
        <v>42852</v>
      </c>
      <c r="I87" s="9" t="s">
        <v>334</v>
      </c>
    </row>
    <row r="88" spans="1:9" x14ac:dyDescent="0.2">
      <c r="A88" s="9" t="s">
        <v>313</v>
      </c>
      <c r="B88" s="10">
        <v>18.440000000000001</v>
      </c>
      <c r="C88" s="9">
        <v>0</v>
      </c>
      <c r="D88" s="9">
        <v>1</v>
      </c>
      <c r="E88" s="9">
        <v>0</v>
      </c>
      <c r="F88" s="35">
        <v>42826</v>
      </c>
      <c r="G88" s="9" t="s">
        <v>49</v>
      </c>
      <c r="H88" s="35">
        <v>42837</v>
      </c>
      <c r="I88" s="9" t="s">
        <v>72</v>
      </c>
    </row>
    <row r="89" spans="1:9" x14ac:dyDescent="0.2">
      <c r="A89" s="9" t="s">
        <v>354</v>
      </c>
      <c r="B89" s="10">
        <v>55</v>
      </c>
      <c r="C89" s="9">
        <v>0</v>
      </c>
      <c r="D89" s="9">
        <v>1</v>
      </c>
      <c r="E89" s="9">
        <v>0</v>
      </c>
      <c r="F89" s="35">
        <v>42826</v>
      </c>
      <c r="G89" s="9" t="s">
        <v>77</v>
      </c>
      <c r="H89" s="35">
        <v>42849</v>
      </c>
      <c r="I89" s="9" t="s">
        <v>334</v>
      </c>
    </row>
    <row r="90" spans="1:9" x14ac:dyDescent="0.2">
      <c r="A90" s="9" t="s">
        <v>355</v>
      </c>
      <c r="B90" s="10">
        <v>61.66</v>
      </c>
      <c r="C90" s="9">
        <v>0</v>
      </c>
      <c r="D90" s="9">
        <v>1</v>
      </c>
      <c r="E90" s="9">
        <v>0</v>
      </c>
      <c r="F90" s="35">
        <v>42826</v>
      </c>
      <c r="G90" s="9" t="s">
        <v>77</v>
      </c>
      <c r="H90" s="35">
        <v>42849</v>
      </c>
      <c r="I90" s="9" t="s">
        <v>334</v>
      </c>
    </row>
    <row r="91" spans="1:9" x14ac:dyDescent="0.2">
      <c r="A91" s="9" t="s">
        <v>355</v>
      </c>
      <c r="B91" s="10">
        <v>31.44</v>
      </c>
      <c r="C91" s="9">
        <v>0</v>
      </c>
      <c r="D91" s="9">
        <v>1</v>
      </c>
      <c r="E91" s="9">
        <v>0</v>
      </c>
      <c r="F91" s="35">
        <v>42826</v>
      </c>
      <c r="G91" s="9" t="s">
        <v>77</v>
      </c>
      <c r="H91" s="35">
        <v>42849</v>
      </c>
      <c r="I91" s="9" t="s">
        <v>334</v>
      </c>
    </row>
    <row r="92" spans="1:9" x14ac:dyDescent="0.2">
      <c r="A92" s="9" t="s">
        <v>355</v>
      </c>
      <c r="B92" s="10">
        <v>49.99</v>
      </c>
      <c r="C92" s="9">
        <v>0</v>
      </c>
      <c r="D92" s="9">
        <v>1</v>
      </c>
      <c r="E92" s="9">
        <v>0</v>
      </c>
      <c r="F92" s="35">
        <v>42826</v>
      </c>
      <c r="G92" s="9" t="s">
        <v>77</v>
      </c>
      <c r="H92" s="35">
        <v>42849</v>
      </c>
      <c r="I92" s="9" t="s">
        <v>334</v>
      </c>
    </row>
    <row r="93" spans="1:9" x14ac:dyDescent="0.2">
      <c r="A93" s="9" t="s">
        <v>301</v>
      </c>
      <c r="B93" s="10">
        <v>163.98</v>
      </c>
      <c r="C93" s="9">
        <v>0</v>
      </c>
      <c r="D93" s="9">
        <v>1</v>
      </c>
      <c r="E93" s="9">
        <v>0</v>
      </c>
      <c r="F93" s="35">
        <v>42826</v>
      </c>
      <c r="G93" s="9" t="s">
        <v>77</v>
      </c>
      <c r="H93" s="35">
        <v>42849</v>
      </c>
      <c r="I93" s="9" t="s">
        <v>334</v>
      </c>
    </row>
    <row r="94" spans="1:9" x14ac:dyDescent="0.2">
      <c r="A94" s="9" t="s">
        <v>56</v>
      </c>
      <c r="B94" s="10">
        <v>10</v>
      </c>
      <c r="C94" s="9">
        <v>0</v>
      </c>
      <c r="D94" s="9">
        <v>1</v>
      </c>
      <c r="E94" s="9">
        <v>0</v>
      </c>
      <c r="F94" s="35">
        <v>42826</v>
      </c>
      <c r="G94" s="9" t="s">
        <v>77</v>
      </c>
      <c r="H94" s="35">
        <v>42849</v>
      </c>
      <c r="I94" s="9" t="s">
        <v>334</v>
      </c>
    </row>
    <row r="95" spans="1:9" x14ac:dyDescent="0.2">
      <c r="A95" s="9" t="s">
        <v>72</v>
      </c>
      <c r="B95" s="10">
        <v>56</v>
      </c>
      <c r="C95" s="9">
        <v>0</v>
      </c>
      <c r="D95" s="9">
        <v>1</v>
      </c>
      <c r="E95" s="9">
        <v>0</v>
      </c>
      <c r="F95" s="35">
        <v>42826</v>
      </c>
      <c r="G95" s="9" t="s">
        <v>77</v>
      </c>
      <c r="H95" s="35">
        <v>42850</v>
      </c>
      <c r="I95" s="9" t="s">
        <v>334</v>
      </c>
    </row>
    <row r="96" spans="1:9" x14ac:dyDescent="0.2">
      <c r="A96" s="9" t="s">
        <v>301</v>
      </c>
      <c r="B96" s="10">
        <v>160</v>
      </c>
      <c r="C96" s="9">
        <v>0</v>
      </c>
      <c r="D96" s="9">
        <v>1</v>
      </c>
      <c r="E96" s="9">
        <v>0</v>
      </c>
      <c r="F96" s="35">
        <v>42826</v>
      </c>
      <c r="G96" s="9" t="s">
        <v>77</v>
      </c>
      <c r="H96" s="35">
        <v>42850</v>
      </c>
      <c r="I96" s="9" t="s">
        <v>334</v>
      </c>
    </row>
    <row r="97" spans="1:9" x14ac:dyDescent="0.2">
      <c r="A97" s="9" t="s">
        <v>356</v>
      </c>
      <c r="B97" s="10">
        <v>36</v>
      </c>
      <c r="C97" s="9">
        <v>0</v>
      </c>
      <c r="D97" s="9">
        <v>1</v>
      </c>
      <c r="E97" s="9">
        <v>0</v>
      </c>
      <c r="F97" s="35">
        <v>42826</v>
      </c>
      <c r="G97" s="9" t="s">
        <v>77</v>
      </c>
      <c r="H97" s="35">
        <v>42852</v>
      </c>
      <c r="I97" s="9" t="s">
        <v>334</v>
      </c>
    </row>
    <row r="98" spans="1:9" x14ac:dyDescent="0.2">
      <c r="A98" s="9" t="s">
        <v>301</v>
      </c>
      <c r="B98" s="10">
        <v>92.44</v>
      </c>
      <c r="C98" s="9">
        <v>0</v>
      </c>
      <c r="D98" s="9">
        <v>1</v>
      </c>
      <c r="E98" s="9">
        <v>0</v>
      </c>
      <c r="F98" s="35">
        <v>42826</v>
      </c>
      <c r="G98" s="9" t="s">
        <v>77</v>
      </c>
      <c r="H98" s="35">
        <v>42852</v>
      </c>
      <c r="I98" s="9" t="s">
        <v>334</v>
      </c>
    </row>
    <row r="99" spans="1:9" x14ac:dyDescent="0.2">
      <c r="A99" s="9" t="s">
        <v>301</v>
      </c>
      <c r="B99" s="10">
        <v>170.02</v>
      </c>
      <c r="C99" s="9">
        <v>0</v>
      </c>
      <c r="D99" s="9">
        <v>1</v>
      </c>
      <c r="E99" s="9">
        <v>0</v>
      </c>
      <c r="F99" s="35">
        <v>42826</v>
      </c>
      <c r="G99" s="9" t="s">
        <v>77</v>
      </c>
      <c r="H99" s="35">
        <v>42852</v>
      </c>
      <c r="I99" s="9" t="s">
        <v>334</v>
      </c>
    </row>
    <row r="100" spans="1:9" x14ac:dyDescent="0.2">
      <c r="A100" s="9" t="s">
        <v>301</v>
      </c>
      <c r="B100" s="10">
        <v>154.09</v>
      </c>
      <c r="C100" s="9">
        <v>0</v>
      </c>
      <c r="D100" s="9">
        <v>1</v>
      </c>
      <c r="E100" s="9">
        <v>0</v>
      </c>
      <c r="F100" s="35">
        <v>42826</v>
      </c>
      <c r="G100" s="9" t="s">
        <v>77</v>
      </c>
      <c r="H100" s="35">
        <v>42852</v>
      </c>
      <c r="I100" s="9" t="s">
        <v>334</v>
      </c>
    </row>
    <row r="101" spans="1:9" x14ac:dyDescent="0.2">
      <c r="A101" s="9" t="s">
        <v>55</v>
      </c>
      <c r="B101" s="10">
        <v>35</v>
      </c>
      <c r="C101" s="9">
        <v>0</v>
      </c>
      <c r="D101" s="9">
        <v>1</v>
      </c>
      <c r="E101" s="9">
        <v>0</v>
      </c>
      <c r="F101" s="35">
        <v>42826</v>
      </c>
      <c r="G101" s="9" t="s">
        <v>77</v>
      </c>
      <c r="H101" s="35">
        <v>42852</v>
      </c>
      <c r="I101" s="9" t="s">
        <v>334</v>
      </c>
    </row>
    <row r="102" spans="1:9" x14ac:dyDescent="0.2">
      <c r="A102" s="9" t="s">
        <v>82</v>
      </c>
      <c r="B102" s="10">
        <v>53</v>
      </c>
      <c r="C102" s="9">
        <v>0</v>
      </c>
      <c r="D102" s="9">
        <v>1</v>
      </c>
      <c r="E102" s="9">
        <v>0</v>
      </c>
      <c r="F102" s="35">
        <v>42826</v>
      </c>
      <c r="G102" s="9" t="s">
        <v>77</v>
      </c>
      <c r="H102" s="35">
        <v>42853</v>
      </c>
      <c r="I102" s="9" t="s">
        <v>82</v>
      </c>
    </row>
    <row r="103" spans="1:9" x14ac:dyDescent="0.2">
      <c r="A103" s="9" t="s">
        <v>358</v>
      </c>
      <c r="B103" s="8">
        <v>38</v>
      </c>
      <c r="C103" s="9">
        <v>0</v>
      </c>
      <c r="D103" s="9">
        <v>1</v>
      </c>
      <c r="E103" s="9">
        <v>0</v>
      </c>
      <c r="F103" s="35">
        <v>42826</v>
      </c>
      <c r="G103" s="9" t="s">
        <v>77</v>
      </c>
      <c r="H103" s="35">
        <v>42854</v>
      </c>
      <c r="I103" s="9" t="s">
        <v>82</v>
      </c>
    </row>
    <row r="104" spans="1:9" x14ac:dyDescent="0.2">
      <c r="A104" s="9" t="s">
        <v>61</v>
      </c>
      <c r="B104" s="8">
        <v>50</v>
      </c>
      <c r="C104" s="9">
        <v>0</v>
      </c>
      <c r="D104" s="9">
        <v>1</v>
      </c>
      <c r="E104" s="9">
        <v>0</v>
      </c>
      <c r="F104" s="35">
        <v>42826</v>
      </c>
      <c r="G104" s="9" t="s">
        <v>77</v>
      </c>
      <c r="H104" s="35">
        <v>42854</v>
      </c>
      <c r="I104" s="9" t="s">
        <v>59</v>
      </c>
    </row>
    <row r="105" spans="1:9" x14ac:dyDescent="0.2">
      <c r="A105" s="9" t="s">
        <v>70</v>
      </c>
      <c r="B105" s="8">
        <v>50</v>
      </c>
      <c r="C105" s="9">
        <v>0</v>
      </c>
      <c r="D105" s="9">
        <v>1</v>
      </c>
      <c r="E105" s="9">
        <v>0</v>
      </c>
      <c r="F105" s="35">
        <v>42826</v>
      </c>
      <c r="G105" s="9" t="s">
        <v>77</v>
      </c>
      <c r="H105" s="35">
        <v>42855</v>
      </c>
      <c r="I105" s="9" t="s">
        <v>70</v>
      </c>
    </row>
    <row r="106" spans="1:9" x14ac:dyDescent="0.2">
      <c r="A106" s="9" t="s">
        <v>301</v>
      </c>
      <c r="B106" s="8">
        <v>50</v>
      </c>
      <c r="C106" s="9">
        <v>0</v>
      </c>
      <c r="D106" s="9">
        <v>1</v>
      </c>
      <c r="E106" s="9">
        <v>0</v>
      </c>
      <c r="F106" s="35">
        <v>42826</v>
      </c>
      <c r="G106" s="9" t="s">
        <v>77</v>
      </c>
      <c r="H106" s="35">
        <v>42855</v>
      </c>
      <c r="I106" s="9" t="s">
        <v>33</v>
      </c>
    </row>
    <row r="107" spans="1:9" x14ac:dyDescent="0.2">
      <c r="A107" s="9" t="s">
        <v>70</v>
      </c>
      <c r="B107" s="8">
        <v>23.5</v>
      </c>
      <c r="C107" s="9">
        <v>0</v>
      </c>
      <c r="D107" s="9">
        <v>1</v>
      </c>
      <c r="E107" s="9">
        <v>0</v>
      </c>
      <c r="F107" s="35">
        <v>42826</v>
      </c>
      <c r="G107" s="9" t="s">
        <v>77</v>
      </c>
      <c r="H107" s="35">
        <v>42854</v>
      </c>
      <c r="I107" s="9" t="s">
        <v>70</v>
      </c>
    </row>
    <row r="108" spans="1:9" x14ac:dyDescent="0.2">
      <c r="A108" s="9" t="s">
        <v>29</v>
      </c>
      <c r="B108" s="8">
        <v>47.98</v>
      </c>
      <c r="C108" s="9">
        <v>0</v>
      </c>
      <c r="D108" s="9">
        <v>1</v>
      </c>
      <c r="E108" s="9">
        <v>0</v>
      </c>
      <c r="F108" s="35">
        <v>42826</v>
      </c>
      <c r="G108" s="9" t="s">
        <v>77</v>
      </c>
      <c r="H108" s="35">
        <v>42855</v>
      </c>
      <c r="I108" s="9" t="s">
        <v>29</v>
      </c>
    </row>
    <row r="109" spans="1:9" x14ac:dyDescent="0.2">
      <c r="A109" s="9" t="s">
        <v>334</v>
      </c>
      <c r="B109" s="8">
        <v>57</v>
      </c>
      <c r="C109" s="9">
        <v>0</v>
      </c>
      <c r="D109" s="9">
        <v>1</v>
      </c>
      <c r="E109" s="9">
        <v>0</v>
      </c>
      <c r="F109" s="35">
        <v>42826</v>
      </c>
      <c r="G109" s="9" t="s">
        <v>77</v>
      </c>
      <c r="H109" s="35">
        <v>42850</v>
      </c>
      <c r="I109" s="9" t="s">
        <v>334</v>
      </c>
    </row>
    <row r="110" spans="1:9" x14ac:dyDescent="0.2">
      <c r="A110" s="9" t="s">
        <v>29</v>
      </c>
      <c r="B110" s="8">
        <v>94.5</v>
      </c>
      <c r="C110" s="9">
        <v>0</v>
      </c>
      <c r="D110" s="9">
        <v>1</v>
      </c>
      <c r="E110" s="9">
        <v>0</v>
      </c>
      <c r="F110" s="35">
        <v>42826</v>
      </c>
      <c r="G110" s="9" t="s">
        <v>77</v>
      </c>
      <c r="H110" s="35">
        <v>42853</v>
      </c>
      <c r="I110" s="9" t="s">
        <v>29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64"/>
  <sheetViews>
    <sheetView tabSelected="1" workbookViewId="0">
      <selection activeCell="E4" sqref="E4"/>
    </sheetView>
  </sheetViews>
  <sheetFormatPr defaultRowHeight="12.75" x14ac:dyDescent="0.2"/>
  <cols>
    <col min="1" max="1" width="29.140625" style="51" bestFit="1" customWidth="1"/>
    <col min="2" max="2" width="11.85546875" style="46" bestFit="1" customWidth="1"/>
    <col min="3" max="3" width="10.7109375" style="52" bestFit="1" customWidth="1"/>
    <col min="4" max="4" width="16" style="8" bestFit="1" customWidth="1"/>
    <col min="5" max="5" width="11" bestFit="1" customWidth="1"/>
  </cols>
  <sheetData>
    <row r="1" spans="1:6" x14ac:dyDescent="0.2">
      <c r="A1" s="50" t="s">
        <v>6</v>
      </c>
      <c r="B1" s="76" t="s">
        <v>7</v>
      </c>
      <c r="C1" s="77" t="s">
        <v>11</v>
      </c>
      <c r="D1" s="50" t="s">
        <v>13</v>
      </c>
      <c r="E1" s="50" t="s">
        <v>14</v>
      </c>
      <c r="F1" s="2"/>
    </row>
    <row r="2" spans="1:6" x14ac:dyDescent="0.2">
      <c r="A2" s="78" t="s">
        <v>291</v>
      </c>
      <c r="B2" s="79">
        <v>6.7</v>
      </c>
      <c r="C2" s="80">
        <v>42767</v>
      </c>
      <c r="D2" s="80">
        <v>42767</v>
      </c>
      <c r="E2" s="78" t="s">
        <v>35</v>
      </c>
    </row>
    <row r="3" spans="1:6" x14ac:dyDescent="0.2">
      <c r="A3" s="78" t="s">
        <v>288</v>
      </c>
      <c r="B3" s="79">
        <v>13</v>
      </c>
      <c r="C3" s="80">
        <v>42767</v>
      </c>
      <c r="D3" s="80">
        <v>42768</v>
      </c>
      <c r="E3" s="78" t="s">
        <v>35</v>
      </c>
    </row>
    <row r="4" spans="1:6" x14ac:dyDescent="0.2">
      <c r="A4" s="78" t="s">
        <v>285</v>
      </c>
      <c r="B4" s="79">
        <v>7.9</v>
      </c>
      <c r="C4" s="80">
        <v>42767</v>
      </c>
      <c r="D4" s="80">
        <v>42768</v>
      </c>
      <c r="E4" s="78" t="s">
        <v>35</v>
      </c>
    </row>
    <row r="5" spans="1:6" x14ac:dyDescent="0.2">
      <c r="A5" s="78" t="s">
        <v>291</v>
      </c>
      <c r="B5" s="79">
        <v>15.8</v>
      </c>
      <c r="C5" s="80">
        <v>42767</v>
      </c>
      <c r="D5" s="80">
        <v>42769</v>
      </c>
      <c r="E5" s="78" t="s">
        <v>35</v>
      </c>
    </row>
    <row r="6" spans="1:6" x14ac:dyDescent="0.2">
      <c r="A6" s="78" t="s">
        <v>284</v>
      </c>
      <c r="B6" s="79">
        <v>18.5</v>
      </c>
      <c r="C6" s="80">
        <v>42767</v>
      </c>
      <c r="D6" s="80">
        <v>42769</v>
      </c>
      <c r="E6" s="78" t="s">
        <v>35</v>
      </c>
    </row>
    <row r="7" spans="1:6" x14ac:dyDescent="0.2">
      <c r="A7" s="78" t="s">
        <v>275</v>
      </c>
      <c r="B7" s="79">
        <v>10</v>
      </c>
      <c r="C7" s="80">
        <v>42767</v>
      </c>
      <c r="D7" s="80">
        <v>42774</v>
      </c>
      <c r="E7" s="78" t="s">
        <v>35</v>
      </c>
    </row>
    <row r="8" spans="1:6" x14ac:dyDescent="0.2">
      <c r="A8" s="78" t="s">
        <v>286</v>
      </c>
      <c r="B8" s="79">
        <v>2.99</v>
      </c>
      <c r="C8" s="80">
        <v>42767</v>
      </c>
      <c r="D8" s="80">
        <v>42774</v>
      </c>
      <c r="E8" s="78" t="s">
        <v>35</v>
      </c>
    </row>
    <row r="9" spans="1:6" x14ac:dyDescent="0.2">
      <c r="A9" s="78" t="s">
        <v>290</v>
      </c>
      <c r="B9" s="79">
        <v>20.7</v>
      </c>
      <c r="C9" s="80">
        <v>42767</v>
      </c>
      <c r="D9" s="80">
        <v>42775</v>
      </c>
      <c r="E9" s="78" t="s">
        <v>35</v>
      </c>
    </row>
    <row r="10" spans="1:6" x14ac:dyDescent="0.2">
      <c r="A10" s="78" t="s">
        <v>289</v>
      </c>
      <c r="B10" s="79">
        <v>58.45</v>
      </c>
      <c r="C10" s="80">
        <v>42767</v>
      </c>
      <c r="D10" s="80">
        <v>42776</v>
      </c>
      <c r="E10" s="78" t="s">
        <v>82</v>
      </c>
    </row>
    <row r="11" spans="1:6" x14ac:dyDescent="0.2">
      <c r="A11" s="78" t="s">
        <v>147</v>
      </c>
      <c r="B11" s="79">
        <v>8.5</v>
      </c>
      <c r="C11" s="80">
        <v>42767</v>
      </c>
      <c r="D11" s="80">
        <v>42776</v>
      </c>
      <c r="E11" s="78" t="s">
        <v>35</v>
      </c>
    </row>
    <row r="12" spans="1:6" x14ac:dyDescent="0.2">
      <c r="A12" s="78" t="s">
        <v>268</v>
      </c>
      <c r="B12" s="79">
        <v>16.940000000000001</v>
      </c>
      <c r="C12" s="80">
        <v>42767</v>
      </c>
      <c r="D12" s="80">
        <v>42778</v>
      </c>
      <c r="E12" s="78" t="s">
        <v>72</v>
      </c>
    </row>
    <row r="13" spans="1:6" x14ac:dyDescent="0.2">
      <c r="A13" s="78" t="s">
        <v>288</v>
      </c>
      <c r="B13" s="79">
        <v>11</v>
      </c>
      <c r="C13" s="80">
        <v>42767</v>
      </c>
      <c r="D13" s="80">
        <v>42779</v>
      </c>
      <c r="E13" s="78" t="s">
        <v>35</v>
      </c>
    </row>
    <row r="14" spans="1:6" x14ac:dyDescent="0.2">
      <c r="A14" s="78" t="s">
        <v>286</v>
      </c>
      <c r="B14" s="79">
        <v>2.99</v>
      </c>
      <c r="C14" s="80">
        <v>42767</v>
      </c>
      <c r="D14" s="80">
        <v>42779</v>
      </c>
      <c r="E14" s="78" t="s">
        <v>35</v>
      </c>
    </row>
    <row r="15" spans="1:6" x14ac:dyDescent="0.2">
      <c r="A15" s="78" t="s">
        <v>287</v>
      </c>
      <c r="B15" s="79">
        <v>5</v>
      </c>
      <c r="C15" s="80">
        <v>42767</v>
      </c>
      <c r="D15" s="80">
        <v>42780</v>
      </c>
      <c r="E15" s="78" t="s">
        <v>35</v>
      </c>
    </row>
    <row r="16" spans="1:6" x14ac:dyDescent="0.2">
      <c r="A16" s="78" t="s">
        <v>275</v>
      </c>
      <c r="B16" s="79">
        <v>13</v>
      </c>
      <c r="C16" s="80">
        <v>42767</v>
      </c>
      <c r="D16" s="80">
        <v>42780</v>
      </c>
      <c r="E16" s="78" t="s">
        <v>35</v>
      </c>
    </row>
    <row r="17" spans="1:5" x14ac:dyDescent="0.2">
      <c r="A17" s="78" t="s">
        <v>276</v>
      </c>
      <c r="B17" s="79">
        <v>5.9</v>
      </c>
      <c r="C17" s="80">
        <v>42767</v>
      </c>
      <c r="D17" s="80">
        <v>42781</v>
      </c>
      <c r="E17" s="78" t="s">
        <v>35</v>
      </c>
    </row>
    <row r="18" spans="1:5" x14ac:dyDescent="0.2">
      <c r="A18" s="78" t="s">
        <v>286</v>
      </c>
      <c r="B18" s="79">
        <v>2.99</v>
      </c>
      <c r="C18" s="80">
        <v>42767</v>
      </c>
      <c r="D18" s="80">
        <v>42781</v>
      </c>
      <c r="E18" s="78" t="s">
        <v>35</v>
      </c>
    </row>
    <row r="19" spans="1:5" x14ac:dyDescent="0.2">
      <c r="A19" s="78" t="s">
        <v>285</v>
      </c>
      <c r="B19" s="79">
        <v>8.5</v>
      </c>
      <c r="C19" s="80">
        <v>42767</v>
      </c>
      <c r="D19" s="80">
        <v>42783</v>
      </c>
      <c r="E19" s="78" t="s">
        <v>35</v>
      </c>
    </row>
    <row r="20" spans="1:5" x14ac:dyDescent="0.2">
      <c r="A20" s="78" t="s">
        <v>271</v>
      </c>
      <c r="B20" s="79">
        <v>25.98</v>
      </c>
      <c r="C20" s="80">
        <v>42767</v>
      </c>
      <c r="D20" s="80">
        <v>42783</v>
      </c>
      <c r="E20" s="78" t="s">
        <v>82</v>
      </c>
    </row>
    <row r="21" spans="1:5" x14ac:dyDescent="0.2">
      <c r="A21" s="78" t="s">
        <v>282</v>
      </c>
      <c r="B21" s="79">
        <v>5.5</v>
      </c>
      <c r="C21" s="80">
        <v>42767</v>
      </c>
      <c r="D21" s="80">
        <v>42786</v>
      </c>
      <c r="E21" s="78" t="s">
        <v>35</v>
      </c>
    </row>
    <row r="22" spans="1:5" x14ac:dyDescent="0.2">
      <c r="A22" s="78" t="s">
        <v>270</v>
      </c>
      <c r="B22" s="79">
        <v>5</v>
      </c>
      <c r="C22" s="80">
        <v>42767</v>
      </c>
      <c r="D22" s="80">
        <v>42786</v>
      </c>
      <c r="E22" s="78" t="s">
        <v>35</v>
      </c>
    </row>
    <row r="23" spans="1:5" x14ac:dyDescent="0.2">
      <c r="A23" s="78" t="s">
        <v>283</v>
      </c>
      <c r="B23" s="79">
        <v>29.11</v>
      </c>
      <c r="C23" s="80">
        <v>42767</v>
      </c>
      <c r="D23" s="80">
        <v>42786</v>
      </c>
      <c r="E23" s="78" t="s">
        <v>82</v>
      </c>
    </row>
    <row r="24" spans="1:5" x14ac:dyDescent="0.2">
      <c r="A24" s="78" t="s">
        <v>284</v>
      </c>
      <c r="B24" s="79">
        <v>6</v>
      </c>
      <c r="C24" s="80">
        <v>42767</v>
      </c>
      <c r="D24" s="80">
        <v>42786</v>
      </c>
      <c r="E24" s="78" t="s">
        <v>35</v>
      </c>
    </row>
    <row r="25" spans="1:5" x14ac:dyDescent="0.2">
      <c r="A25" s="78" t="s">
        <v>284</v>
      </c>
      <c r="B25" s="79">
        <v>4.5999999999999996</v>
      </c>
      <c r="C25" s="80">
        <v>42767</v>
      </c>
      <c r="D25" s="80">
        <v>42786</v>
      </c>
      <c r="E25" s="78" t="s">
        <v>35</v>
      </c>
    </row>
    <row r="26" spans="1:5" x14ac:dyDescent="0.2">
      <c r="A26" s="78" t="s">
        <v>280</v>
      </c>
      <c r="B26" s="79">
        <v>12</v>
      </c>
      <c r="C26" s="80">
        <v>42767</v>
      </c>
      <c r="D26" s="80">
        <v>42787</v>
      </c>
      <c r="E26" s="78" t="s">
        <v>35</v>
      </c>
    </row>
    <row r="27" spans="1:5" x14ac:dyDescent="0.2">
      <c r="A27" s="78" t="s">
        <v>281</v>
      </c>
      <c r="B27" s="79">
        <v>12.8</v>
      </c>
      <c r="C27" s="80">
        <v>42767</v>
      </c>
      <c r="D27" s="80">
        <v>42787</v>
      </c>
      <c r="E27" s="78" t="s">
        <v>35</v>
      </c>
    </row>
    <row r="28" spans="1:5" x14ac:dyDescent="0.2">
      <c r="A28" s="78" t="s">
        <v>276</v>
      </c>
      <c r="B28" s="79">
        <v>5.9</v>
      </c>
      <c r="C28" s="80">
        <v>42767</v>
      </c>
      <c r="D28" s="80">
        <v>42789</v>
      </c>
      <c r="E28" s="78" t="s">
        <v>35</v>
      </c>
    </row>
    <row r="29" spans="1:5" x14ac:dyDescent="0.2">
      <c r="A29" s="78" t="s">
        <v>277</v>
      </c>
      <c r="B29" s="79">
        <v>7</v>
      </c>
      <c r="C29" s="80">
        <v>42767</v>
      </c>
      <c r="D29" s="80">
        <v>42789</v>
      </c>
      <c r="E29" s="78" t="s">
        <v>35</v>
      </c>
    </row>
    <row r="30" spans="1:5" x14ac:dyDescent="0.2">
      <c r="A30" s="78" t="s">
        <v>278</v>
      </c>
      <c r="B30" s="79">
        <v>13</v>
      </c>
      <c r="C30" s="80">
        <v>42767</v>
      </c>
      <c r="D30" s="80">
        <v>42789</v>
      </c>
      <c r="E30" s="78" t="s">
        <v>35</v>
      </c>
    </row>
    <row r="31" spans="1:5" x14ac:dyDescent="0.2">
      <c r="A31" s="78" t="s">
        <v>279</v>
      </c>
      <c r="B31" s="79">
        <v>22.85</v>
      </c>
      <c r="C31" s="80">
        <v>42767</v>
      </c>
      <c r="D31" s="80">
        <v>42789</v>
      </c>
      <c r="E31" s="78" t="s">
        <v>35</v>
      </c>
    </row>
    <row r="32" spans="1:5" x14ac:dyDescent="0.2">
      <c r="A32" s="78" t="s">
        <v>274</v>
      </c>
      <c r="B32" s="79">
        <v>31.7</v>
      </c>
      <c r="C32" s="80">
        <v>42767</v>
      </c>
      <c r="D32" s="80">
        <v>42790</v>
      </c>
      <c r="E32" s="78" t="s">
        <v>72</v>
      </c>
    </row>
    <row r="33" spans="1:5" x14ac:dyDescent="0.2">
      <c r="A33" s="78" t="s">
        <v>275</v>
      </c>
      <c r="B33" s="79">
        <v>14</v>
      </c>
      <c r="C33" s="80">
        <v>42767</v>
      </c>
      <c r="D33" s="80">
        <v>42790</v>
      </c>
      <c r="E33" s="78" t="s">
        <v>144</v>
      </c>
    </row>
    <row r="34" spans="1:5" x14ac:dyDescent="0.2">
      <c r="A34" s="78" t="s">
        <v>147</v>
      </c>
      <c r="B34" s="79">
        <v>9</v>
      </c>
      <c r="C34" s="80">
        <v>42767</v>
      </c>
      <c r="D34" s="80">
        <v>42790</v>
      </c>
      <c r="E34" s="78" t="s">
        <v>35</v>
      </c>
    </row>
    <row r="35" spans="1:5" x14ac:dyDescent="0.2">
      <c r="A35" s="78" t="s">
        <v>273</v>
      </c>
      <c r="B35" s="79">
        <v>31</v>
      </c>
      <c r="C35" s="80">
        <v>42767</v>
      </c>
      <c r="D35" s="80">
        <v>42791</v>
      </c>
      <c r="E35" s="78" t="s">
        <v>82</v>
      </c>
    </row>
    <row r="36" spans="1:5" x14ac:dyDescent="0.2">
      <c r="A36" s="78" t="s">
        <v>268</v>
      </c>
      <c r="B36" s="79">
        <v>49.78</v>
      </c>
      <c r="C36" s="80">
        <v>42767</v>
      </c>
      <c r="D36" s="80">
        <v>42791</v>
      </c>
      <c r="E36" s="78" t="s">
        <v>72</v>
      </c>
    </row>
    <row r="37" spans="1:5" x14ac:dyDescent="0.2">
      <c r="A37" s="78" t="s">
        <v>145</v>
      </c>
      <c r="B37" s="79">
        <v>8.36</v>
      </c>
      <c r="C37" s="80">
        <v>42767</v>
      </c>
      <c r="D37" s="80">
        <v>42792</v>
      </c>
      <c r="E37" s="78" t="s">
        <v>35</v>
      </c>
    </row>
    <row r="38" spans="1:5" x14ac:dyDescent="0.2">
      <c r="A38" s="78" t="s">
        <v>268</v>
      </c>
      <c r="B38" s="79">
        <v>26.81</v>
      </c>
      <c r="C38" s="80">
        <v>42767</v>
      </c>
      <c r="D38" s="80">
        <v>42792</v>
      </c>
      <c r="E38" s="78" t="s">
        <v>72</v>
      </c>
    </row>
    <row r="39" spans="1:5" x14ac:dyDescent="0.2">
      <c r="A39" s="78" t="s">
        <v>268</v>
      </c>
      <c r="B39" s="79">
        <v>22.41</v>
      </c>
      <c r="C39" s="80">
        <v>42767</v>
      </c>
      <c r="D39" s="80">
        <v>42793</v>
      </c>
      <c r="E39" s="78" t="s">
        <v>72</v>
      </c>
    </row>
    <row r="40" spans="1:5" x14ac:dyDescent="0.2">
      <c r="A40" s="78" t="s">
        <v>272</v>
      </c>
      <c r="B40" s="79">
        <v>47</v>
      </c>
      <c r="C40" s="80">
        <v>42767</v>
      </c>
      <c r="D40" s="80">
        <v>42794</v>
      </c>
      <c r="E40" s="78" t="s">
        <v>35</v>
      </c>
    </row>
    <row r="41" spans="1:5" x14ac:dyDescent="0.2">
      <c r="A41" s="78" t="s">
        <v>268</v>
      </c>
      <c r="B41" s="79">
        <v>22.67</v>
      </c>
      <c r="C41" s="80">
        <v>42767</v>
      </c>
      <c r="D41" s="80">
        <v>42794</v>
      </c>
      <c r="E41" s="78" t="s">
        <v>72</v>
      </c>
    </row>
    <row r="42" spans="1:5" x14ac:dyDescent="0.2">
      <c r="A42" s="78" t="s">
        <v>271</v>
      </c>
      <c r="B42" s="79">
        <v>2.99</v>
      </c>
      <c r="C42" s="80">
        <v>42795</v>
      </c>
      <c r="D42" s="80">
        <v>42795</v>
      </c>
      <c r="E42" s="78" t="s">
        <v>35</v>
      </c>
    </row>
    <row r="43" spans="1:5" x14ac:dyDescent="0.2">
      <c r="A43" s="78" t="s">
        <v>269</v>
      </c>
      <c r="B43" s="79">
        <v>15.5</v>
      </c>
      <c r="C43" s="80">
        <v>42795</v>
      </c>
      <c r="D43" s="80">
        <v>42796</v>
      </c>
      <c r="E43" s="78" t="s">
        <v>35</v>
      </c>
    </row>
    <row r="44" spans="1:5" x14ac:dyDescent="0.2">
      <c r="A44" s="78" t="s">
        <v>270</v>
      </c>
      <c r="B44" s="79">
        <v>5</v>
      </c>
      <c r="C44" s="80">
        <v>42795</v>
      </c>
      <c r="D44" s="80">
        <v>42796</v>
      </c>
      <c r="E44" s="78" t="s">
        <v>35</v>
      </c>
    </row>
    <row r="45" spans="1:5" x14ac:dyDescent="0.2">
      <c r="A45" s="78" t="s">
        <v>147</v>
      </c>
      <c r="B45" s="79">
        <v>4</v>
      </c>
      <c r="C45" s="80">
        <v>42795</v>
      </c>
      <c r="D45" s="80">
        <v>42796</v>
      </c>
      <c r="E45" s="78" t="s">
        <v>35</v>
      </c>
    </row>
    <row r="46" spans="1:5" x14ac:dyDescent="0.2">
      <c r="A46" s="78" t="s">
        <v>268</v>
      </c>
      <c r="B46" s="79">
        <v>25.27</v>
      </c>
      <c r="C46" s="80">
        <v>42795</v>
      </c>
      <c r="D46" s="80">
        <v>42798</v>
      </c>
      <c r="E46" s="78" t="s">
        <v>72</v>
      </c>
    </row>
    <row r="47" spans="1:5" x14ac:dyDescent="0.2">
      <c r="A47" s="78" t="s">
        <v>268</v>
      </c>
      <c r="B47" s="79">
        <v>12.47</v>
      </c>
      <c r="C47" s="80">
        <v>42826</v>
      </c>
      <c r="D47" s="81">
        <v>42824</v>
      </c>
      <c r="E47" s="78" t="s">
        <v>72</v>
      </c>
    </row>
    <row r="48" spans="1:5" x14ac:dyDescent="0.2">
      <c r="A48" s="79" t="s">
        <v>383</v>
      </c>
      <c r="B48" s="82">
        <v>141.36000000000001</v>
      </c>
      <c r="C48" s="80">
        <v>42826</v>
      </c>
      <c r="D48" s="81">
        <v>42825</v>
      </c>
      <c r="E48" s="78" t="s">
        <v>29</v>
      </c>
    </row>
    <row r="49" spans="1:5" x14ac:dyDescent="0.2">
      <c r="A49" s="79" t="s">
        <v>385</v>
      </c>
      <c r="B49" s="82">
        <v>29.78</v>
      </c>
      <c r="C49" s="80">
        <v>42826</v>
      </c>
      <c r="D49" s="81">
        <v>42827</v>
      </c>
      <c r="E49" s="78" t="s">
        <v>72</v>
      </c>
    </row>
    <row r="50" spans="1:5" x14ac:dyDescent="0.2">
      <c r="A50" s="79" t="s">
        <v>268</v>
      </c>
      <c r="B50" s="82">
        <v>23.81</v>
      </c>
      <c r="C50" s="80">
        <v>42826</v>
      </c>
      <c r="D50" s="81">
        <v>42827</v>
      </c>
      <c r="E50" s="78" t="s">
        <v>72</v>
      </c>
    </row>
    <row r="51" spans="1:5" x14ac:dyDescent="0.2">
      <c r="A51" s="79" t="s">
        <v>381</v>
      </c>
      <c r="B51" s="82">
        <v>146.97</v>
      </c>
      <c r="C51" s="80">
        <v>42826</v>
      </c>
      <c r="D51" s="81">
        <v>42829</v>
      </c>
      <c r="E51" s="78" t="s">
        <v>29</v>
      </c>
    </row>
    <row r="52" spans="1:5" x14ac:dyDescent="0.2">
      <c r="A52" s="79" t="s">
        <v>268</v>
      </c>
      <c r="B52" s="82">
        <v>2.4</v>
      </c>
      <c r="C52" s="80">
        <v>42826</v>
      </c>
      <c r="D52" s="81">
        <v>42830</v>
      </c>
      <c r="E52" s="78" t="s">
        <v>72</v>
      </c>
    </row>
    <row r="53" spans="1:5" x14ac:dyDescent="0.2">
      <c r="A53" s="79" t="s">
        <v>383</v>
      </c>
      <c r="B53" s="82">
        <v>249.12</v>
      </c>
      <c r="C53" s="80">
        <v>42826</v>
      </c>
      <c r="D53" s="81">
        <v>42854</v>
      </c>
      <c r="E53" s="78" t="s">
        <v>29</v>
      </c>
    </row>
    <row r="54" spans="1:5" x14ac:dyDescent="0.2">
      <c r="A54" s="79" t="s">
        <v>268</v>
      </c>
      <c r="B54" s="82">
        <v>11.13</v>
      </c>
      <c r="C54" s="80">
        <v>42856</v>
      </c>
      <c r="D54" s="81">
        <v>42862</v>
      </c>
      <c r="E54" s="78" t="s">
        <v>72</v>
      </c>
    </row>
    <row r="55" spans="1:5" x14ac:dyDescent="0.2">
      <c r="A55" s="79" t="s">
        <v>383</v>
      </c>
      <c r="B55" s="82">
        <v>126.91</v>
      </c>
      <c r="C55" s="80">
        <v>42856</v>
      </c>
      <c r="D55" s="81">
        <v>42865</v>
      </c>
      <c r="E55" s="78" t="s">
        <v>29</v>
      </c>
    </row>
    <row r="56" spans="1:5" x14ac:dyDescent="0.2">
      <c r="A56" s="79" t="s">
        <v>383</v>
      </c>
      <c r="B56" s="82">
        <v>285.43</v>
      </c>
      <c r="C56" s="80">
        <v>42856</v>
      </c>
      <c r="D56" s="81">
        <v>42886</v>
      </c>
      <c r="E56" s="78" t="s">
        <v>29</v>
      </c>
    </row>
    <row r="57" spans="1:5" x14ac:dyDescent="0.2">
      <c r="A57" s="79" t="s">
        <v>268</v>
      </c>
      <c r="B57" s="82">
        <v>9.1199999999999992</v>
      </c>
      <c r="C57" s="80">
        <v>42887</v>
      </c>
      <c r="D57" s="81">
        <v>42889</v>
      </c>
      <c r="E57" s="78" t="s">
        <v>72</v>
      </c>
    </row>
    <row r="58" spans="1:5" x14ac:dyDescent="0.2">
      <c r="A58" s="79" t="s">
        <v>268</v>
      </c>
      <c r="B58" s="82">
        <v>9.44</v>
      </c>
      <c r="C58" s="80">
        <v>42887</v>
      </c>
      <c r="D58" s="81">
        <v>42889</v>
      </c>
      <c r="E58" s="78" t="s">
        <v>72</v>
      </c>
    </row>
    <row r="59" spans="1:5" x14ac:dyDescent="0.2">
      <c r="A59" s="79" t="s">
        <v>384</v>
      </c>
      <c r="B59" s="82">
        <v>7.9</v>
      </c>
      <c r="C59" s="80">
        <v>42887</v>
      </c>
      <c r="D59" s="81">
        <v>42915</v>
      </c>
      <c r="E59" s="78" t="s">
        <v>35</v>
      </c>
    </row>
    <row r="60" spans="1:5" x14ac:dyDescent="0.2">
      <c r="A60" s="79" t="s">
        <v>383</v>
      </c>
      <c r="B60" s="82">
        <v>147.05000000000001</v>
      </c>
      <c r="C60" s="80">
        <v>42887</v>
      </c>
      <c r="D60" s="81">
        <v>42916</v>
      </c>
      <c r="E60" s="78" t="s">
        <v>29</v>
      </c>
    </row>
    <row r="61" spans="1:5" x14ac:dyDescent="0.2">
      <c r="A61" s="79" t="s">
        <v>383</v>
      </c>
      <c r="B61" s="82">
        <v>32.020000000000003</v>
      </c>
      <c r="C61" s="80">
        <v>42917</v>
      </c>
      <c r="D61" s="81">
        <v>42919</v>
      </c>
      <c r="E61" s="78" t="s">
        <v>29</v>
      </c>
    </row>
    <row r="62" spans="1:5" x14ac:dyDescent="0.2">
      <c r="A62" s="79" t="s">
        <v>382</v>
      </c>
      <c r="B62" s="82">
        <v>146.11000000000001</v>
      </c>
      <c r="C62" s="80">
        <v>42917</v>
      </c>
      <c r="D62" s="81">
        <v>42924</v>
      </c>
      <c r="E62" s="78" t="s">
        <v>72</v>
      </c>
    </row>
    <row r="63" spans="1:5" x14ac:dyDescent="0.2">
      <c r="A63" s="79" t="s">
        <v>381</v>
      </c>
      <c r="B63" s="82">
        <v>110.29</v>
      </c>
      <c r="C63" s="80">
        <v>42917</v>
      </c>
      <c r="D63" s="81">
        <v>42925</v>
      </c>
      <c r="E63" s="78" t="s">
        <v>29</v>
      </c>
    </row>
    <row r="64" spans="1:5" x14ac:dyDescent="0.2">
      <c r="A64" s="79" t="s">
        <v>381</v>
      </c>
      <c r="B64" s="82">
        <v>30</v>
      </c>
      <c r="C64" s="80">
        <v>42917</v>
      </c>
      <c r="D64" s="81">
        <v>42926</v>
      </c>
      <c r="E64" s="78" t="s">
        <v>29</v>
      </c>
    </row>
  </sheetData>
  <sortState ref="A2:E64">
    <sortCondition ref="D31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62"/>
  <sheetViews>
    <sheetView topLeftCell="A136" zoomScale="80" zoomScaleNormal="80" workbookViewId="0">
      <selection activeCell="B156" sqref="B156:B162"/>
    </sheetView>
  </sheetViews>
  <sheetFormatPr defaultRowHeight="12.75" x14ac:dyDescent="0.2"/>
  <cols>
    <col min="1" max="1" width="47.5703125"/>
    <col min="2" max="2" width="21.7109375"/>
    <col min="3" max="3" width="16.42578125"/>
    <col min="6" max="6" width="26.5703125" style="1"/>
    <col min="7" max="7" width="22"/>
    <col min="8" max="8" width="21.5703125"/>
    <col min="9" max="9" width="23.28515625" style="11"/>
    <col min="10" max="10" width="17.5703125"/>
    <col min="11" max="11" width="16.42578125"/>
    <col min="13" max="13" width="16.42578125"/>
  </cols>
  <sheetData>
    <row r="1" spans="1:11" x14ac:dyDescent="0.2">
      <c r="A1" s="12" t="s">
        <v>112</v>
      </c>
      <c r="B1" s="12" t="s">
        <v>113</v>
      </c>
      <c r="C1" s="12" t="s">
        <v>114</v>
      </c>
      <c r="D1" s="12" t="s">
        <v>115</v>
      </c>
      <c r="E1" s="12" t="s">
        <v>116</v>
      </c>
      <c r="F1" s="13" t="s">
        <v>117</v>
      </c>
      <c r="G1" s="12" t="s">
        <v>118</v>
      </c>
      <c r="H1" s="12" t="s">
        <v>119</v>
      </c>
      <c r="I1" s="14" t="s">
        <v>120</v>
      </c>
      <c r="J1" s="12" t="s">
        <v>121</v>
      </c>
      <c r="K1" s="4"/>
    </row>
    <row r="2" spans="1:11" x14ac:dyDescent="0.2">
      <c r="A2" s="15" t="s">
        <v>122</v>
      </c>
      <c r="B2" s="16">
        <v>74.900000000000006</v>
      </c>
      <c r="C2" s="17">
        <v>0</v>
      </c>
      <c r="D2" s="17">
        <v>1</v>
      </c>
      <c r="E2" s="17">
        <v>0</v>
      </c>
      <c r="F2" s="18">
        <v>42736</v>
      </c>
      <c r="G2" s="17">
        <v>0</v>
      </c>
      <c r="H2" s="17"/>
      <c r="I2" s="19">
        <v>42561</v>
      </c>
      <c r="J2" s="17" t="s">
        <v>123</v>
      </c>
    </row>
    <row r="3" spans="1:11" x14ac:dyDescent="0.2">
      <c r="A3" s="15" t="s">
        <v>124</v>
      </c>
      <c r="B3" s="16">
        <v>22.9</v>
      </c>
      <c r="C3" s="17">
        <v>0</v>
      </c>
      <c r="D3" s="17">
        <v>1</v>
      </c>
      <c r="E3" s="17">
        <v>0</v>
      </c>
      <c r="F3" s="18">
        <v>42736</v>
      </c>
      <c r="G3" s="17">
        <v>0</v>
      </c>
      <c r="H3" s="17"/>
      <c r="I3" s="19">
        <v>42561</v>
      </c>
      <c r="J3" s="17" t="s">
        <v>125</v>
      </c>
    </row>
    <row r="4" spans="1:11" x14ac:dyDescent="0.2">
      <c r="A4" s="15" t="s">
        <v>122</v>
      </c>
      <c r="B4" s="16">
        <v>84.8</v>
      </c>
      <c r="C4" s="17">
        <v>0</v>
      </c>
      <c r="D4" s="17">
        <v>1</v>
      </c>
      <c r="E4" s="17">
        <v>0</v>
      </c>
      <c r="F4" s="20">
        <v>42767</v>
      </c>
      <c r="G4" s="17">
        <v>0</v>
      </c>
      <c r="H4" s="17"/>
      <c r="I4" s="19">
        <v>42561</v>
      </c>
      <c r="J4" s="17" t="s">
        <v>123</v>
      </c>
    </row>
    <row r="5" spans="1:11" x14ac:dyDescent="0.2">
      <c r="A5" s="15" t="s">
        <v>124</v>
      </c>
      <c r="B5" s="16">
        <v>22.9</v>
      </c>
      <c r="C5" s="17">
        <v>0</v>
      </c>
      <c r="D5" s="17">
        <v>1</v>
      </c>
      <c r="E5" s="17">
        <v>0</v>
      </c>
      <c r="F5" s="20">
        <v>42767</v>
      </c>
      <c r="G5" s="17">
        <v>0</v>
      </c>
      <c r="H5" s="17"/>
      <c r="I5" s="19">
        <v>42561</v>
      </c>
      <c r="J5" s="17" t="s">
        <v>125</v>
      </c>
    </row>
    <row r="6" spans="1:11" x14ac:dyDescent="0.2">
      <c r="A6" s="15" t="s">
        <v>122</v>
      </c>
      <c r="B6" s="16">
        <v>89.8</v>
      </c>
      <c r="C6" s="17">
        <v>0</v>
      </c>
      <c r="D6" s="17">
        <v>1</v>
      </c>
      <c r="E6" s="17">
        <v>0</v>
      </c>
      <c r="F6" s="20">
        <v>42795</v>
      </c>
      <c r="G6" s="17">
        <v>1</v>
      </c>
      <c r="H6" s="17"/>
      <c r="I6" s="19">
        <v>42561</v>
      </c>
      <c r="J6" s="17" t="s">
        <v>123</v>
      </c>
      <c r="K6" s="16">
        <v>74.900000000000006</v>
      </c>
    </row>
    <row r="7" spans="1:11" x14ac:dyDescent="0.2">
      <c r="A7" s="15" t="s">
        <v>124</v>
      </c>
      <c r="B7" s="16">
        <v>22.9</v>
      </c>
      <c r="C7" s="17">
        <v>0</v>
      </c>
      <c r="D7" s="17">
        <v>1</v>
      </c>
      <c r="E7" s="17">
        <v>0</v>
      </c>
      <c r="F7" s="20">
        <v>42795</v>
      </c>
      <c r="G7" s="17">
        <v>1</v>
      </c>
      <c r="H7" s="17"/>
      <c r="I7" s="19">
        <v>42788</v>
      </c>
      <c r="J7" s="17" t="s">
        <v>125</v>
      </c>
    </row>
    <row r="8" spans="1:11" s="2" customFormat="1" x14ac:dyDescent="0.2">
      <c r="A8" s="15" t="s">
        <v>124</v>
      </c>
      <c r="B8" s="16">
        <v>22.9</v>
      </c>
      <c r="C8" s="17">
        <v>0</v>
      </c>
      <c r="D8" s="17">
        <v>1</v>
      </c>
      <c r="E8" s="17">
        <v>0</v>
      </c>
      <c r="F8" s="20">
        <v>42795</v>
      </c>
      <c r="G8" s="17">
        <v>1</v>
      </c>
      <c r="H8" s="17"/>
      <c r="I8" s="19">
        <v>42816</v>
      </c>
      <c r="J8" s="17" t="s">
        <v>125</v>
      </c>
    </row>
    <row r="9" spans="1:11" x14ac:dyDescent="0.2">
      <c r="A9" s="15" t="s">
        <v>126</v>
      </c>
      <c r="B9" s="2">
        <v>744.8</v>
      </c>
      <c r="C9" s="17">
        <v>0</v>
      </c>
      <c r="D9" s="17">
        <v>1</v>
      </c>
      <c r="E9" s="17">
        <v>0</v>
      </c>
      <c r="F9" s="20">
        <v>42736</v>
      </c>
      <c r="G9" s="17">
        <v>0</v>
      </c>
      <c r="H9" s="2"/>
      <c r="I9" s="21">
        <v>42658</v>
      </c>
      <c r="J9" s="2" t="s">
        <v>33</v>
      </c>
    </row>
    <row r="10" spans="1:11" x14ac:dyDescent="0.2">
      <c r="A10" s="15" t="s">
        <v>127</v>
      </c>
      <c r="B10" s="2">
        <v>744.8</v>
      </c>
      <c r="C10" s="17">
        <v>0</v>
      </c>
      <c r="D10" s="17">
        <v>1</v>
      </c>
      <c r="E10" s="17">
        <v>0</v>
      </c>
      <c r="F10" s="20">
        <v>42767</v>
      </c>
      <c r="G10" s="17">
        <v>0</v>
      </c>
      <c r="H10" s="2"/>
      <c r="I10" s="21">
        <v>42658</v>
      </c>
      <c r="J10" s="2" t="s">
        <v>33</v>
      </c>
    </row>
    <row r="11" spans="1:11" x14ac:dyDescent="0.2">
      <c r="A11" s="15" t="s">
        <v>128</v>
      </c>
      <c r="B11" s="2">
        <v>744.8</v>
      </c>
      <c r="C11" s="17">
        <v>0</v>
      </c>
      <c r="D11" s="17">
        <v>1</v>
      </c>
      <c r="E11" s="17">
        <v>0</v>
      </c>
      <c r="F11" s="20">
        <v>42795</v>
      </c>
      <c r="G11" s="17">
        <v>1</v>
      </c>
      <c r="H11" s="2"/>
      <c r="I11" s="21">
        <v>42658</v>
      </c>
      <c r="J11" s="2" t="s">
        <v>33</v>
      </c>
    </row>
    <row r="12" spans="1:11" x14ac:dyDescent="0.2">
      <c r="A12" s="15" t="s">
        <v>129</v>
      </c>
      <c r="B12" s="2">
        <v>109.78</v>
      </c>
      <c r="C12" s="17">
        <v>0</v>
      </c>
      <c r="D12" s="17">
        <v>1</v>
      </c>
      <c r="E12" s="17">
        <v>0</v>
      </c>
      <c r="F12" s="20">
        <v>42736</v>
      </c>
      <c r="G12" s="17">
        <v>0</v>
      </c>
      <c r="H12" s="2"/>
      <c r="I12" s="21">
        <v>42675</v>
      </c>
      <c r="J12" s="2" t="s">
        <v>70</v>
      </c>
    </row>
    <row r="13" spans="1:11" x14ac:dyDescent="0.2">
      <c r="A13" s="15" t="s">
        <v>130</v>
      </c>
      <c r="B13" s="2">
        <v>109.78</v>
      </c>
      <c r="C13" s="17">
        <v>0</v>
      </c>
      <c r="D13" s="17">
        <v>1</v>
      </c>
      <c r="E13" s="17">
        <v>0</v>
      </c>
      <c r="F13" s="20">
        <v>42767</v>
      </c>
      <c r="G13" s="17">
        <v>0</v>
      </c>
      <c r="H13" s="2"/>
      <c r="I13" s="21">
        <v>42675</v>
      </c>
      <c r="J13" s="2" t="s">
        <v>70</v>
      </c>
    </row>
    <row r="14" spans="1:11" x14ac:dyDescent="0.2">
      <c r="A14" s="15" t="s">
        <v>131</v>
      </c>
      <c r="B14" s="2">
        <v>109.78</v>
      </c>
      <c r="C14" s="17">
        <v>0</v>
      </c>
      <c r="D14" s="17">
        <v>1</v>
      </c>
      <c r="E14" s="17">
        <v>0</v>
      </c>
      <c r="F14" s="20">
        <v>42795</v>
      </c>
      <c r="G14" s="17">
        <v>1</v>
      </c>
      <c r="H14" s="2"/>
      <c r="I14" s="21">
        <v>42675</v>
      </c>
      <c r="J14" s="2" t="s">
        <v>70</v>
      </c>
    </row>
    <row r="15" spans="1:11" x14ac:dyDescent="0.2">
      <c r="A15" s="15" t="s">
        <v>132</v>
      </c>
      <c r="B15" s="2">
        <v>82.61</v>
      </c>
      <c r="C15" s="17">
        <v>0</v>
      </c>
      <c r="D15" s="17">
        <v>1</v>
      </c>
      <c r="E15" s="17">
        <v>0</v>
      </c>
      <c r="F15" s="20">
        <v>42736</v>
      </c>
      <c r="G15" s="17">
        <v>0</v>
      </c>
      <c r="H15" s="2"/>
      <c r="I15" s="22">
        <v>42703</v>
      </c>
      <c r="J15" s="2" t="s">
        <v>29</v>
      </c>
    </row>
    <row r="16" spans="1:11" x14ac:dyDescent="0.2">
      <c r="A16" s="15" t="s">
        <v>133</v>
      </c>
      <c r="B16" s="2">
        <v>30</v>
      </c>
      <c r="C16" s="17">
        <v>0</v>
      </c>
      <c r="D16" s="17">
        <v>1</v>
      </c>
      <c r="E16" s="17">
        <v>0</v>
      </c>
      <c r="F16" s="20">
        <v>42736</v>
      </c>
      <c r="G16" s="17">
        <v>0</v>
      </c>
      <c r="H16" s="2"/>
      <c r="I16" s="22">
        <v>42706</v>
      </c>
      <c r="J16" s="2" t="s">
        <v>33</v>
      </c>
    </row>
    <row r="17" spans="1:10" x14ac:dyDescent="0.2">
      <c r="A17" s="15" t="s">
        <v>134</v>
      </c>
      <c r="B17" s="2">
        <v>50</v>
      </c>
      <c r="C17" s="17">
        <v>0</v>
      </c>
      <c r="D17" s="17">
        <v>1</v>
      </c>
      <c r="E17" s="17">
        <v>0</v>
      </c>
      <c r="F17" s="20">
        <v>42736</v>
      </c>
      <c r="G17" s="17">
        <v>0</v>
      </c>
      <c r="H17" s="2"/>
      <c r="I17" s="22">
        <v>42707</v>
      </c>
      <c r="J17" s="2" t="s">
        <v>59</v>
      </c>
    </row>
    <row r="18" spans="1:10" x14ac:dyDescent="0.2">
      <c r="A18" s="15" t="s">
        <v>135</v>
      </c>
      <c r="B18" s="2">
        <v>38</v>
      </c>
      <c r="C18" s="17">
        <v>0</v>
      </c>
      <c r="D18" s="17">
        <v>1</v>
      </c>
      <c r="E18" s="17">
        <v>0</v>
      </c>
      <c r="F18" s="20">
        <v>42736</v>
      </c>
      <c r="G18" s="17">
        <v>0</v>
      </c>
      <c r="H18" s="2"/>
      <c r="I18" s="22">
        <v>42707</v>
      </c>
      <c r="J18" s="2" t="s">
        <v>59</v>
      </c>
    </row>
    <row r="19" spans="1:10" x14ac:dyDescent="0.2">
      <c r="A19" s="15" t="s">
        <v>136</v>
      </c>
      <c r="B19" s="2">
        <v>9.75</v>
      </c>
      <c r="C19" s="17">
        <v>0</v>
      </c>
      <c r="D19" s="17">
        <v>1</v>
      </c>
      <c r="E19" s="17">
        <v>0</v>
      </c>
      <c r="F19" s="20">
        <v>42736</v>
      </c>
      <c r="G19" s="17">
        <v>0</v>
      </c>
      <c r="H19" s="2"/>
      <c r="I19" s="22">
        <v>42707</v>
      </c>
      <c r="J19" s="2" t="s">
        <v>59</v>
      </c>
    </row>
    <row r="20" spans="1:10" x14ac:dyDescent="0.2">
      <c r="A20" s="15" t="s">
        <v>137</v>
      </c>
      <c r="B20" s="2">
        <v>50</v>
      </c>
      <c r="C20" s="17">
        <v>0</v>
      </c>
      <c r="D20" s="17">
        <v>1</v>
      </c>
      <c r="E20" s="17">
        <v>0</v>
      </c>
      <c r="F20" s="20">
        <v>42736</v>
      </c>
      <c r="G20" s="17">
        <v>0</v>
      </c>
      <c r="H20" s="2"/>
      <c r="I20" s="22">
        <v>42709</v>
      </c>
      <c r="J20" s="2" t="s">
        <v>33</v>
      </c>
    </row>
    <row r="21" spans="1:10" x14ac:dyDescent="0.2">
      <c r="A21" s="15" t="s">
        <v>138</v>
      </c>
      <c r="B21" s="2">
        <v>100</v>
      </c>
      <c r="C21" s="17">
        <v>0</v>
      </c>
      <c r="D21" s="17">
        <v>1</v>
      </c>
      <c r="E21" s="17">
        <v>0</v>
      </c>
      <c r="F21" s="20">
        <v>42736</v>
      </c>
      <c r="G21" s="17">
        <v>0</v>
      </c>
      <c r="H21" s="2"/>
      <c r="I21" s="22">
        <v>42709</v>
      </c>
      <c r="J21" s="2" t="s">
        <v>59</v>
      </c>
    </row>
    <row r="22" spans="1:10" x14ac:dyDescent="0.2">
      <c r="A22" s="15" t="s">
        <v>139</v>
      </c>
      <c r="B22" s="2">
        <v>100</v>
      </c>
      <c r="C22" s="17">
        <v>0</v>
      </c>
      <c r="D22" s="17">
        <v>1</v>
      </c>
      <c r="E22" s="17">
        <v>0</v>
      </c>
      <c r="F22" s="20">
        <v>42767</v>
      </c>
      <c r="G22" s="17">
        <v>0</v>
      </c>
      <c r="H22" s="2"/>
      <c r="I22" s="22">
        <v>42709</v>
      </c>
      <c r="J22" s="2" t="s">
        <v>59</v>
      </c>
    </row>
    <row r="23" spans="1:10" x14ac:dyDescent="0.2">
      <c r="A23" s="15" t="s">
        <v>140</v>
      </c>
      <c r="B23" s="2">
        <v>199.98</v>
      </c>
      <c r="C23" s="17">
        <v>0</v>
      </c>
      <c r="D23" s="17">
        <v>1</v>
      </c>
      <c r="E23" s="17">
        <v>0</v>
      </c>
      <c r="F23" s="20">
        <v>42736</v>
      </c>
      <c r="G23" s="17">
        <v>0</v>
      </c>
      <c r="H23" s="2"/>
      <c r="I23" s="22">
        <v>42710</v>
      </c>
      <c r="J23" s="2" t="s">
        <v>59</v>
      </c>
    </row>
    <row r="24" spans="1:10" x14ac:dyDescent="0.2">
      <c r="A24" s="15" t="s">
        <v>132</v>
      </c>
      <c r="B24" s="2">
        <v>139.16999999999999</v>
      </c>
      <c r="C24" s="17">
        <v>0</v>
      </c>
      <c r="D24" s="17">
        <v>1</v>
      </c>
      <c r="E24" s="17">
        <v>0</v>
      </c>
      <c r="F24" s="20">
        <v>42736</v>
      </c>
      <c r="G24" s="17">
        <v>0</v>
      </c>
      <c r="H24" s="2"/>
      <c r="I24" s="22">
        <v>42710</v>
      </c>
      <c r="J24" s="2" t="s">
        <v>29</v>
      </c>
    </row>
    <row r="25" spans="1:10" x14ac:dyDescent="0.2">
      <c r="A25" s="15" t="s">
        <v>141</v>
      </c>
      <c r="B25" s="2">
        <v>1.99</v>
      </c>
      <c r="C25" s="17">
        <v>0</v>
      </c>
      <c r="D25" s="17">
        <v>1</v>
      </c>
      <c r="E25" s="17">
        <v>0</v>
      </c>
      <c r="F25" s="20">
        <v>42736</v>
      </c>
      <c r="G25" s="17">
        <v>0</v>
      </c>
      <c r="H25" s="2"/>
      <c r="I25" s="22">
        <v>42711</v>
      </c>
      <c r="J25" s="2" t="s">
        <v>59</v>
      </c>
    </row>
    <row r="26" spans="1:10" x14ac:dyDescent="0.2">
      <c r="A26" s="15" t="s">
        <v>142</v>
      </c>
      <c r="B26" s="2">
        <v>167.35</v>
      </c>
      <c r="C26" s="17">
        <v>0</v>
      </c>
      <c r="D26" s="17">
        <v>1</v>
      </c>
      <c r="E26" s="17">
        <v>0</v>
      </c>
      <c r="F26" s="20">
        <v>42736</v>
      </c>
      <c r="G26" s="17">
        <v>0</v>
      </c>
      <c r="H26" s="2"/>
      <c r="I26" s="22">
        <v>42712</v>
      </c>
      <c r="J26" s="2" t="s">
        <v>33</v>
      </c>
    </row>
    <row r="27" spans="1:10" x14ac:dyDescent="0.2">
      <c r="A27" s="15" t="s">
        <v>143</v>
      </c>
      <c r="B27" s="2">
        <v>144.76</v>
      </c>
      <c r="C27" s="17">
        <v>0</v>
      </c>
      <c r="D27" s="17">
        <v>1</v>
      </c>
      <c r="E27" s="17">
        <v>0</v>
      </c>
      <c r="F27" s="20">
        <v>42736</v>
      </c>
      <c r="G27" s="17">
        <v>0</v>
      </c>
      <c r="H27" s="2"/>
      <c r="I27" s="22">
        <v>42714</v>
      </c>
      <c r="J27" s="2" t="s">
        <v>144</v>
      </c>
    </row>
    <row r="28" spans="1:10" x14ac:dyDescent="0.2">
      <c r="A28" s="15" t="s">
        <v>145</v>
      </c>
      <c r="B28" s="2">
        <v>35.08</v>
      </c>
      <c r="C28" s="17">
        <v>0</v>
      </c>
      <c r="D28" s="17">
        <v>1</v>
      </c>
      <c r="E28" s="17">
        <v>0</v>
      </c>
      <c r="F28" s="20">
        <v>42736</v>
      </c>
      <c r="G28" s="17">
        <v>0</v>
      </c>
      <c r="H28" s="2"/>
      <c r="I28" s="22">
        <v>42715</v>
      </c>
      <c r="J28" s="2" t="s">
        <v>35</v>
      </c>
    </row>
    <row r="29" spans="1:10" x14ac:dyDescent="0.2">
      <c r="A29" s="15" t="s">
        <v>146</v>
      </c>
      <c r="B29" s="2">
        <v>79.680000000000007</v>
      </c>
      <c r="C29" s="17">
        <v>0</v>
      </c>
      <c r="D29" s="17">
        <v>1</v>
      </c>
      <c r="E29" s="17">
        <v>0</v>
      </c>
      <c r="F29" s="20">
        <v>42736</v>
      </c>
      <c r="G29" s="17">
        <v>0</v>
      </c>
      <c r="H29" s="2"/>
      <c r="I29" s="22">
        <v>42715</v>
      </c>
      <c r="J29" s="2" t="s">
        <v>29</v>
      </c>
    </row>
    <row r="30" spans="1:10" x14ac:dyDescent="0.2">
      <c r="A30" s="15" t="s">
        <v>147</v>
      </c>
      <c r="B30" s="2">
        <v>20</v>
      </c>
      <c r="C30" s="17">
        <v>0</v>
      </c>
      <c r="D30" s="17">
        <v>1</v>
      </c>
      <c r="E30" s="17">
        <v>0</v>
      </c>
      <c r="F30" s="20">
        <v>42736</v>
      </c>
      <c r="G30" s="17">
        <v>0</v>
      </c>
      <c r="H30" s="2"/>
      <c r="I30" s="22">
        <v>42716</v>
      </c>
      <c r="J30" s="2" t="s">
        <v>35</v>
      </c>
    </row>
    <row r="31" spans="1:10" x14ac:dyDescent="0.2">
      <c r="A31" s="15" t="s">
        <v>148</v>
      </c>
      <c r="B31" s="2">
        <v>19.399999999999999</v>
      </c>
      <c r="C31" s="17">
        <v>0</v>
      </c>
      <c r="D31" s="17">
        <v>1</v>
      </c>
      <c r="E31" s="17">
        <v>0</v>
      </c>
      <c r="F31" s="20">
        <v>42736</v>
      </c>
      <c r="G31" s="17">
        <v>0</v>
      </c>
      <c r="H31" s="2"/>
      <c r="I31" s="22">
        <v>42717</v>
      </c>
      <c r="J31" s="2" t="s">
        <v>59</v>
      </c>
    </row>
    <row r="32" spans="1:10" x14ac:dyDescent="0.2">
      <c r="A32" s="15" t="s">
        <v>149</v>
      </c>
      <c r="B32" s="2">
        <v>25</v>
      </c>
      <c r="C32" s="17">
        <v>0</v>
      </c>
      <c r="D32" s="17">
        <v>1</v>
      </c>
      <c r="E32" s="17">
        <v>0</v>
      </c>
      <c r="F32" s="20">
        <v>42736</v>
      </c>
      <c r="G32" s="17">
        <v>0</v>
      </c>
      <c r="H32" s="2"/>
      <c r="I32" s="22">
        <v>42717</v>
      </c>
      <c r="J32" s="2" t="s">
        <v>59</v>
      </c>
    </row>
    <row r="33" spans="1:10" x14ac:dyDescent="0.2">
      <c r="A33" s="15" t="s">
        <v>132</v>
      </c>
      <c r="B33" s="2">
        <v>130.76</v>
      </c>
      <c r="C33" s="17">
        <v>0</v>
      </c>
      <c r="D33" s="17">
        <v>1</v>
      </c>
      <c r="E33" s="17">
        <v>0</v>
      </c>
      <c r="F33" s="20">
        <v>42736</v>
      </c>
      <c r="G33" s="17">
        <v>0</v>
      </c>
      <c r="H33" s="2"/>
      <c r="I33" s="22">
        <v>42717</v>
      </c>
      <c r="J33" s="2" t="s">
        <v>29</v>
      </c>
    </row>
    <row r="34" spans="1:10" x14ac:dyDescent="0.2">
      <c r="A34" s="15" t="s">
        <v>150</v>
      </c>
      <c r="B34" s="2">
        <v>133.99</v>
      </c>
      <c r="C34" s="17">
        <v>0</v>
      </c>
      <c r="D34" s="17">
        <v>1</v>
      </c>
      <c r="E34" s="17">
        <v>0</v>
      </c>
      <c r="F34" s="20">
        <v>42736</v>
      </c>
      <c r="G34" s="17">
        <v>0</v>
      </c>
      <c r="H34" s="2"/>
      <c r="I34" s="22">
        <v>42717</v>
      </c>
      <c r="J34" s="2" t="s">
        <v>59</v>
      </c>
    </row>
    <row r="35" spans="1:10" x14ac:dyDescent="0.2">
      <c r="A35" s="15" t="s">
        <v>151</v>
      </c>
      <c r="B35" s="2">
        <v>133.99</v>
      </c>
      <c r="C35" s="17">
        <v>0</v>
      </c>
      <c r="D35" s="17">
        <v>1</v>
      </c>
      <c r="E35" s="17">
        <v>0</v>
      </c>
      <c r="F35" s="20">
        <v>42767</v>
      </c>
      <c r="G35" s="17">
        <v>0</v>
      </c>
      <c r="H35" s="2"/>
      <c r="I35" s="22">
        <v>42717</v>
      </c>
      <c r="J35" s="2" t="s">
        <v>59</v>
      </c>
    </row>
    <row r="36" spans="1:10" x14ac:dyDescent="0.2">
      <c r="A36" s="15" t="s">
        <v>152</v>
      </c>
      <c r="B36" s="2">
        <v>298.99</v>
      </c>
      <c r="C36" s="17">
        <v>0</v>
      </c>
      <c r="D36" s="17">
        <v>1</v>
      </c>
      <c r="E36" s="17">
        <v>0</v>
      </c>
      <c r="F36" s="20">
        <v>42736</v>
      </c>
      <c r="G36" s="17">
        <v>0</v>
      </c>
      <c r="H36" s="2"/>
      <c r="I36" s="22">
        <v>42718</v>
      </c>
      <c r="J36" s="2" t="s">
        <v>59</v>
      </c>
    </row>
    <row r="37" spans="1:10" x14ac:dyDescent="0.2">
      <c r="A37" s="15" t="s">
        <v>153</v>
      </c>
      <c r="B37" s="2">
        <v>298.99</v>
      </c>
      <c r="C37" s="17">
        <v>0</v>
      </c>
      <c r="D37" s="17">
        <v>1</v>
      </c>
      <c r="E37" s="17">
        <v>0</v>
      </c>
      <c r="F37" s="20">
        <v>42767</v>
      </c>
      <c r="G37" s="17">
        <v>0</v>
      </c>
      <c r="H37" s="2"/>
      <c r="I37" s="22">
        <v>42718</v>
      </c>
      <c r="J37" s="2" t="s">
        <v>59</v>
      </c>
    </row>
    <row r="38" spans="1:10" x14ac:dyDescent="0.2">
      <c r="A38" s="15" t="s">
        <v>154</v>
      </c>
      <c r="B38" s="2">
        <v>200</v>
      </c>
      <c r="C38" s="17">
        <v>0</v>
      </c>
      <c r="D38" s="17">
        <v>1</v>
      </c>
      <c r="E38" s="17">
        <v>0</v>
      </c>
      <c r="F38" s="20">
        <v>42736</v>
      </c>
      <c r="G38" s="17">
        <v>0</v>
      </c>
      <c r="H38" s="2"/>
      <c r="I38" s="22">
        <v>42721</v>
      </c>
      <c r="J38" s="2" t="s">
        <v>155</v>
      </c>
    </row>
    <row r="39" spans="1:10" x14ac:dyDescent="0.2">
      <c r="A39" s="15" t="s">
        <v>156</v>
      </c>
      <c r="B39" s="2">
        <v>120</v>
      </c>
      <c r="C39" s="17">
        <v>0</v>
      </c>
      <c r="D39" s="17">
        <v>1</v>
      </c>
      <c r="E39" s="17">
        <v>0</v>
      </c>
      <c r="F39" s="20">
        <v>42736</v>
      </c>
      <c r="G39" s="17">
        <v>0</v>
      </c>
      <c r="H39" s="2"/>
      <c r="I39" s="22">
        <v>42721</v>
      </c>
      <c r="J39" s="2" t="s">
        <v>33</v>
      </c>
    </row>
    <row r="40" spans="1:10" x14ac:dyDescent="0.2">
      <c r="A40" s="15" t="s">
        <v>98</v>
      </c>
      <c r="B40" s="2">
        <v>332.7</v>
      </c>
      <c r="C40" s="17">
        <v>0</v>
      </c>
      <c r="D40" s="17">
        <v>1</v>
      </c>
      <c r="E40" s="17">
        <v>0</v>
      </c>
      <c r="F40" s="20">
        <v>42736</v>
      </c>
      <c r="G40" s="17">
        <v>0</v>
      </c>
      <c r="H40" s="2"/>
      <c r="I40" s="22">
        <v>42721</v>
      </c>
      <c r="J40" s="2" t="s">
        <v>144</v>
      </c>
    </row>
    <row r="41" spans="1:10" x14ac:dyDescent="0.2">
      <c r="A41" s="15" t="s">
        <v>157</v>
      </c>
      <c r="B41" s="2">
        <v>18.510000000000002</v>
      </c>
      <c r="C41" s="17">
        <v>0</v>
      </c>
      <c r="D41" s="17">
        <v>1</v>
      </c>
      <c r="E41" s="17">
        <v>0</v>
      </c>
      <c r="F41" s="20">
        <v>42736</v>
      </c>
      <c r="G41" s="17">
        <v>0</v>
      </c>
      <c r="H41" s="2"/>
      <c r="I41" s="22">
        <v>42721</v>
      </c>
      <c r="J41" s="2" t="s">
        <v>72</v>
      </c>
    </row>
    <row r="42" spans="1:10" x14ac:dyDescent="0.2">
      <c r="A42" s="2" t="s">
        <v>158</v>
      </c>
      <c r="B42" s="2">
        <v>21.3</v>
      </c>
      <c r="C42" s="17">
        <v>0</v>
      </c>
      <c r="D42" s="17">
        <v>1</v>
      </c>
      <c r="E42" s="17">
        <v>0</v>
      </c>
      <c r="F42" s="20">
        <v>42736</v>
      </c>
      <c r="G42" s="17">
        <v>0</v>
      </c>
      <c r="H42" s="2"/>
      <c r="I42" s="22">
        <v>42721</v>
      </c>
      <c r="J42" s="2" t="s">
        <v>35</v>
      </c>
    </row>
    <row r="43" spans="1:10" x14ac:dyDescent="0.2">
      <c r="A43" s="15" t="s">
        <v>159</v>
      </c>
      <c r="B43" s="2">
        <v>120</v>
      </c>
      <c r="C43" s="17">
        <v>0</v>
      </c>
      <c r="D43" s="17">
        <v>1</v>
      </c>
      <c r="E43" s="17">
        <v>0</v>
      </c>
      <c r="F43" s="20">
        <v>42767</v>
      </c>
      <c r="G43" s="17">
        <v>0</v>
      </c>
      <c r="H43" s="2"/>
      <c r="I43" s="22">
        <v>42721</v>
      </c>
      <c r="J43" s="2" t="s">
        <v>33</v>
      </c>
    </row>
    <row r="44" spans="1:10" x14ac:dyDescent="0.2">
      <c r="A44" s="15" t="s">
        <v>160</v>
      </c>
      <c r="B44" s="2">
        <v>200</v>
      </c>
      <c r="C44" s="17">
        <v>0</v>
      </c>
      <c r="D44" s="17">
        <v>1</v>
      </c>
      <c r="E44" s="17">
        <v>0</v>
      </c>
      <c r="F44" s="20">
        <v>42767</v>
      </c>
      <c r="G44" s="17">
        <v>0</v>
      </c>
      <c r="H44" s="2"/>
      <c r="I44" s="22">
        <v>42721</v>
      </c>
      <c r="J44" s="2" t="s">
        <v>155</v>
      </c>
    </row>
    <row r="45" spans="1:10" x14ac:dyDescent="0.2">
      <c r="A45" s="15" t="s">
        <v>161</v>
      </c>
      <c r="B45" s="2">
        <v>31</v>
      </c>
      <c r="C45" s="17">
        <v>0</v>
      </c>
      <c r="D45" s="17">
        <v>1</v>
      </c>
      <c r="E45" s="17">
        <v>0</v>
      </c>
      <c r="F45" s="20">
        <v>42736</v>
      </c>
      <c r="G45" s="17">
        <v>0</v>
      </c>
      <c r="H45" s="2"/>
      <c r="I45" s="22">
        <v>42723</v>
      </c>
      <c r="J45" s="2" t="s">
        <v>67</v>
      </c>
    </row>
    <row r="46" spans="1:10" x14ac:dyDescent="0.2">
      <c r="A46" s="15" t="s">
        <v>51</v>
      </c>
      <c r="B46" s="2">
        <v>2.9</v>
      </c>
      <c r="C46" s="17">
        <v>0</v>
      </c>
      <c r="D46" s="17">
        <v>1</v>
      </c>
      <c r="E46" s="17">
        <v>0</v>
      </c>
      <c r="F46" s="20">
        <v>42736</v>
      </c>
      <c r="G46" s="17">
        <v>0</v>
      </c>
      <c r="H46" s="2"/>
      <c r="I46" s="22">
        <v>42725</v>
      </c>
      <c r="J46" s="2" t="s">
        <v>35</v>
      </c>
    </row>
    <row r="47" spans="1:10" x14ac:dyDescent="0.2">
      <c r="A47" s="15" t="s">
        <v>162</v>
      </c>
      <c r="B47" s="2">
        <v>22.51</v>
      </c>
      <c r="C47" s="17">
        <v>0</v>
      </c>
      <c r="D47" s="17">
        <v>1</v>
      </c>
      <c r="E47" s="17">
        <v>0</v>
      </c>
      <c r="F47" s="20">
        <v>42736</v>
      </c>
      <c r="G47" s="17">
        <v>0</v>
      </c>
      <c r="H47" s="2"/>
      <c r="I47" s="22">
        <v>42726</v>
      </c>
      <c r="J47" s="2" t="s">
        <v>82</v>
      </c>
    </row>
    <row r="48" spans="1:10" x14ac:dyDescent="0.2">
      <c r="A48" s="15" t="s">
        <v>163</v>
      </c>
      <c r="B48" s="2">
        <v>102.7</v>
      </c>
      <c r="C48" s="17">
        <v>0</v>
      </c>
      <c r="D48" s="17">
        <v>1</v>
      </c>
      <c r="E48" s="17">
        <v>0</v>
      </c>
      <c r="F48" s="20">
        <v>42736</v>
      </c>
      <c r="G48" s="17">
        <v>0</v>
      </c>
      <c r="H48" s="2"/>
      <c r="I48" s="22">
        <v>42727</v>
      </c>
      <c r="J48" s="2" t="s">
        <v>164</v>
      </c>
    </row>
    <row r="49" spans="1:10" x14ac:dyDescent="0.2">
      <c r="A49" s="15" t="s">
        <v>165</v>
      </c>
      <c r="B49" s="2">
        <v>64.73</v>
      </c>
      <c r="C49" s="17">
        <v>0</v>
      </c>
      <c r="D49" s="17">
        <v>1</v>
      </c>
      <c r="E49" s="17">
        <v>0</v>
      </c>
      <c r="F49" s="20">
        <v>42736</v>
      </c>
      <c r="G49" s="17">
        <v>0</v>
      </c>
      <c r="H49" s="2"/>
      <c r="I49" s="22">
        <v>42727</v>
      </c>
      <c r="J49" s="2" t="s">
        <v>29</v>
      </c>
    </row>
    <row r="50" spans="1:10" x14ac:dyDescent="0.2">
      <c r="A50" s="15" t="s">
        <v>166</v>
      </c>
      <c r="B50" s="2">
        <v>102.7</v>
      </c>
      <c r="C50" s="17">
        <v>0</v>
      </c>
      <c r="D50" s="17">
        <v>1</v>
      </c>
      <c r="E50" s="17">
        <v>0</v>
      </c>
      <c r="F50" s="20">
        <v>42736</v>
      </c>
      <c r="G50" s="17">
        <v>0</v>
      </c>
      <c r="H50" s="2"/>
      <c r="I50" s="22">
        <v>42727</v>
      </c>
      <c r="J50" s="2" t="s">
        <v>164</v>
      </c>
    </row>
    <row r="51" spans="1:10" x14ac:dyDescent="0.2">
      <c r="A51" s="2" t="s">
        <v>167</v>
      </c>
      <c r="B51" s="2">
        <v>14.28</v>
      </c>
      <c r="C51" s="17">
        <v>0</v>
      </c>
      <c r="D51" s="17">
        <v>1</v>
      </c>
      <c r="E51" s="17">
        <v>0</v>
      </c>
      <c r="F51" s="20">
        <v>42736</v>
      </c>
      <c r="G51" s="17">
        <v>0</v>
      </c>
      <c r="H51" s="2"/>
      <c r="I51" s="22">
        <v>42727</v>
      </c>
      <c r="J51" s="2" t="s">
        <v>104</v>
      </c>
    </row>
    <row r="52" spans="1:10" x14ac:dyDescent="0.2">
      <c r="A52" s="15" t="s">
        <v>168</v>
      </c>
      <c r="B52" s="2">
        <v>102.7</v>
      </c>
      <c r="C52" s="17">
        <v>0</v>
      </c>
      <c r="D52" s="17">
        <v>1</v>
      </c>
      <c r="E52" s="17">
        <v>0</v>
      </c>
      <c r="F52" s="20">
        <v>42767</v>
      </c>
      <c r="G52" s="17">
        <v>0</v>
      </c>
      <c r="H52" s="2"/>
      <c r="I52" s="22">
        <v>42727</v>
      </c>
      <c r="J52" s="2" t="s">
        <v>164</v>
      </c>
    </row>
    <row r="53" spans="1:10" x14ac:dyDescent="0.2">
      <c r="A53" s="15" t="s">
        <v>169</v>
      </c>
      <c r="B53" s="2">
        <v>43.01</v>
      </c>
      <c r="C53" s="17">
        <v>0</v>
      </c>
      <c r="D53" s="17">
        <v>1</v>
      </c>
      <c r="E53" s="17">
        <v>0</v>
      </c>
      <c r="F53" s="20">
        <v>42736</v>
      </c>
      <c r="G53" s="17">
        <v>0</v>
      </c>
      <c r="H53" s="2"/>
      <c r="I53" s="22">
        <v>42728</v>
      </c>
      <c r="J53" s="2" t="s">
        <v>72</v>
      </c>
    </row>
    <row r="54" spans="1:10" x14ac:dyDescent="0.2">
      <c r="A54" s="15" t="s">
        <v>169</v>
      </c>
      <c r="B54" s="2">
        <v>5.2</v>
      </c>
      <c r="C54" s="17">
        <v>0</v>
      </c>
      <c r="D54" s="17">
        <v>1</v>
      </c>
      <c r="E54" s="17">
        <v>0</v>
      </c>
      <c r="F54" s="20">
        <v>42736</v>
      </c>
      <c r="G54" s="17">
        <v>0</v>
      </c>
      <c r="H54" s="2"/>
      <c r="I54" s="22">
        <v>42728</v>
      </c>
      <c r="J54" s="2" t="s">
        <v>72</v>
      </c>
    </row>
    <row r="55" spans="1:10" x14ac:dyDescent="0.2">
      <c r="A55" s="15" t="s">
        <v>170</v>
      </c>
      <c r="B55" s="2">
        <v>42.61</v>
      </c>
      <c r="C55" s="17">
        <v>0</v>
      </c>
      <c r="D55" s="17">
        <v>1</v>
      </c>
      <c r="E55" s="17">
        <v>0</v>
      </c>
      <c r="F55" s="20">
        <v>42736</v>
      </c>
      <c r="G55" s="17">
        <v>0</v>
      </c>
      <c r="H55" s="2"/>
      <c r="I55" s="22">
        <v>42728</v>
      </c>
      <c r="J55" s="2" t="s">
        <v>29</v>
      </c>
    </row>
    <row r="56" spans="1:10" x14ac:dyDescent="0.2">
      <c r="A56" s="15" t="s">
        <v>171</v>
      </c>
      <c r="B56" s="2">
        <v>70</v>
      </c>
      <c r="C56" s="17">
        <v>0</v>
      </c>
      <c r="D56" s="17">
        <v>1</v>
      </c>
      <c r="E56" s="17">
        <v>0</v>
      </c>
      <c r="F56" s="20">
        <v>42736</v>
      </c>
      <c r="G56" s="17">
        <v>0</v>
      </c>
      <c r="H56" s="2"/>
      <c r="I56" s="22">
        <v>42728</v>
      </c>
      <c r="J56" s="2" t="s">
        <v>47</v>
      </c>
    </row>
    <row r="57" spans="1:10" x14ac:dyDescent="0.2">
      <c r="A57" s="15" t="s">
        <v>172</v>
      </c>
      <c r="B57" s="2">
        <v>5.03</v>
      </c>
      <c r="C57" s="17">
        <v>0</v>
      </c>
      <c r="D57" s="17">
        <v>1</v>
      </c>
      <c r="E57" s="17">
        <v>0</v>
      </c>
      <c r="F57" s="20">
        <v>42736</v>
      </c>
      <c r="G57" s="17">
        <v>0</v>
      </c>
      <c r="H57" s="2"/>
      <c r="I57" s="22">
        <v>42729</v>
      </c>
      <c r="J57" s="2" t="s">
        <v>72</v>
      </c>
    </row>
    <row r="58" spans="1:10" x14ac:dyDescent="0.2">
      <c r="A58" s="15" t="s">
        <v>132</v>
      </c>
      <c r="B58" s="2">
        <v>20</v>
      </c>
      <c r="C58" s="17">
        <v>0</v>
      </c>
      <c r="D58" s="17">
        <v>1</v>
      </c>
      <c r="E58" s="17">
        <v>0</v>
      </c>
      <c r="F58" s="20">
        <v>42736</v>
      </c>
      <c r="G58" s="17">
        <v>0</v>
      </c>
      <c r="H58" s="2"/>
      <c r="I58" s="22">
        <v>42731</v>
      </c>
      <c r="J58" s="2" t="s">
        <v>29</v>
      </c>
    </row>
    <row r="59" spans="1:10" x14ac:dyDescent="0.2">
      <c r="A59" s="15" t="s">
        <v>173</v>
      </c>
      <c r="B59" s="2">
        <v>105.69</v>
      </c>
      <c r="C59" s="17">
        <v>0</v>
      </c>
      <c r="D59" s="17">
        <v>1</v>
      </c>
      <c r="E59" s="17">
        <v>0</v>
      </c>
      <c r="F59" s="20">
        <v>42795</v>
      </c>
      <c r="G59" s="17">
        <v>1</v>
      </c>
      <c r="H59" s="2"/>
      <c r="I59" s="23">
        <v>42738</v>
      </c>
      <c r="J59" s="17" t="s">
        <v>59</v>
      </c>
    </row>
    <row r="60" spans="1:10" x14ac:dyDescent="0.2">
      <c r="A60" s="15" t="s">
        <v>174</v>
      </c>
      <c r="B60" s="2">
        <v>13.8</v>
      </c>
      <c r="C60" s="17">
        <v>0</v>
      </c>
      <c r="D60" s="17">
        <v>1</v>
      </c>
      <c r="E60" s="17">
        <v>0</v>
      </c>
      <c r="F60" s="20">
        <v>42767</v>
      </c>
      <c r="G60" s="17">
        <v>0</v>
      </c>
      <c r="H60" s="2"/>
      <c r="I60" s="23">
        <v>42740</v>
      </c>
      <c r="J60" s="17" t="s">
        <v>40</v>
      </c>
    </row>
    <row r="61" spans="1:10" x14ac:dyDescent="0.2">
      <c r="A61" s="15" t="s">
        <v>132</v>
      </c>
      <c r="B61" s="2">
        <v>233.86</v>
      </c>
      <c r="C61" s="17">
        <v>0</v>
      </c>
      <c r="D61" s="17">
        <v>1</v>
      </c>
      <c r="E61" s="17">
        <v>0</v>
      </c>
      <c r="F61" s="20">
        <v>42767</v>
      </c>
      <c r="G61" s="17">
        <v>0</v>
      </c>
      <c r="H61" s="2"/>
      <c r="I61" s="23">
        <v>42740</v>
      </c>
      <c r="J61" s="17" t="s">
        <v>29</v>
      </c>
    </row>
    <row r="62" spans="1:10" x14ac:dyDescent="0.2">
      <c r="A62" s="15" t="s">
        <v>175</v>
      </c>
      <c r="B62" s="2">
        <v>13</v>
      </c>
      <c r="C62" s="17">
        <v>0</v>
      </c>
      <c r="D62" s="17">
        <v>1</v>
      </c>
      <c r="E62" s="17">
        <v>0</v>
      </c>
      <c r="F62" s="20">
        <v>42767</v>
      </c>
      <c r="G62" s="17">
        <v>0</v>
      </c>
      <c r="H62" s="2"/>
      <c r="I62" s="23">
        <v>42740</v>
      </c>
      <c r="J62" s="17" t="s">
        <v>59</v>
      </c>
    </row>
    <row r="63" spans="1:10" x14ac:dyDescent="0.2">
      <c r="A63" s="15" t="s">
        <v>176</v>
      </c>
      <c r="B63" s="2">
        <v>13.41</v>
      </c>
      <c r="C63" s="17">
        <v>0</v>
      </c>
      <c r="D63" s="17">
        <v>1</v>
      </c>
      <c r="E63" s="17">
        <v>0</v>
      </c>
      <c r="F63" s="20">
        <v>42767</v>
      </c>
      <c r="G63" s="17">
        <v>0</v>
      </c>
      <c r="H63" s="2"/>
      <c r="I63" s="23">
        <v>42742</v>
      </c>
      <c r="J63" s="17" t="s">
        <v>104</v>
      </c>
    </row>
    <row r="64" spans="1:10" x14ac:dyDescent="0.2">
      <c r="A64" s="15" t="s">
        <v>28</v>
      </c>
      <c r="B64" s="2">
        <v>17.989999999999998</v>
      </c>
      <c r="C64" s="17">
        <v>0</v>
      </c>
      <c r="D64" s="17">
        <v>1</v>
      </c>
      <c r="E64" s="17">
        <v>0</v>
      </c>
      <c r="F64" s="20">
        <v>42767</v>
      </c>
      <c r="G64" s="17">
        <v>0</v>
      </c>
      <c r="H64" s="2"/>
      <c r="I64" s="23">
        <v>42742</v>
      </c>
      <c r="J64" s="17" t="s">
        <v>29</v>
      </c>
    </row>
    <row r="65" spans="1:10" x14ac:dyDescent="0.2">
      <c r="A65" s="15" t="s">
        <v>177</v>
      </c>
      <c r="B65" s="2">
        <v>283</v>
      </c>
      <c r="C65" s="17">
        <v>0</v>
      </c>
      <c r="D65" s="17">
        <v>1</v>
      </c>
      <c r="E65" s="17">
        <v>0</v>
      </c>
      <c r="F65" s="20">
        <v>42767</v>
      </c>
      <c r="G65" s="17">
        <v>0</v>
      </c>
      <c r="H65" s="2"/>
      <c r="I65" s="23">
        <v>42742</v>
      </c>
      <c r="J65" s="17" t="s">
        <v>144</v>
      </c>
    </row>
    <row r="66" spans="1:10" x14ac:dyDescent="0.2">
      <c r="A66" s="15" t="s">
        <v>176</v>
      </c>
      <c r="B66" s="2">
        <v>22.28</v>
      </c>
      <c r="C66" s="17">
        <v>0</v>
      </c>
      <c r="D66" s="17">
        <v>1</v>
      </c>
      <c r="E66" s="17">
        <v>0</v>
      </c>
      <c r="F66" s="20">
        <v>42767</v>
      </c>
      <c r="G66" s="17">
        <v>0</v>
      </c>
      <c r="H66" s="2"/>
      <c r="I66" s="23">
        <v>42743</v>
      </c>
      <c r="J66" s="17" t="s">
        <v>104</v>
      </c>
    </row>
    <row r="67" spans="1:10" x14ac:dyDescent="0.2">
      <c r="A67" s="15" t="s">
        <v>178</v>
      </c>
      <c r="B67" s="2">
        <v>10</v>
      </c>
      <c r="C67" s="17">
        <v>0</v>
      </c>
      <c r="D67" s="17">
        <v>1</v>
      </c>
      <c r="E67" s="17">
        <v>0</v>
      </c>
      <c r="F67" s="20">
        <v>42767</v>
      </c>
      <c r="G67" s="17">
        <v>0</v>
      </c>
      <c r="H67" s="2"/>
      <c r="I67" s="23">
        <v>42743</v>
      </c>
      <c r="J67" s="2" t="s">
        <v>33</v>
      </c>
    </row>
    <row r="68" spans="1:10" x14ac:dyDescent="0.2">
      <c r="A68" s="15" t="s">
        <v>179</v>
      </c>
      <c r="B68" s="2">
        <v>183</v>
      </c>
      <c r="C68" s="17">
        <v>0</v>
      </c>
      <c r="D68" s="17">
        <v>1</v>
      </c>
      <c r="E68" s="17">
        <v>0</v>
      </c>
      <c r="F68" s="20">
        <v>42767</v>
      </c>
      <c r="G68" s="17">
        <v>0</v>
      </c>
      <c r="H68" s="2"/>
      <c r="I68" s="23">
        <v>42743</v>
      </c>
      <c r="J68" s="17" t="s">
        <v>33</v>
      </c>
    </row>
    <row r="69" spans="1:10" x14ac:dyDescent="0.2">
      <c r="A69" s="15" t="s">
        <v>180</v>
      </c>
      <c r="B69" s="2">
        <v>42</v>
      </c>
      <c r="C69" s="17">
        <v>0</v>
      </c>
      <c r="D69" s="17">
        <v>1</v>
      </c>
      <c r="E69" s="17">
        <v>0</v>
      </c>
      <c r="F69" s="20">
        <v>42767</v>
      </c>
      <c r="G69" s="17">
        <v>0</v>
      </c>
      <c r="H69" s="2"/>
      <c r="I69" s="23">
        <v>42743</v>
      </c>
      <c r="J69" s="17" t="s">
        <v>181</v>
      </c>
    </row>
    <row r="70" spans="1:10" x14ac:dyDescent="0.2">
      <c r="A70" s="15" t="s">
        <v>157</v>
      </c>
      <c r="B70" s="2">
        <v>37.119999999999997</v>
      </c>
      <c r="C70" s="17">
        <v>0</v>
      </c>
      <c r="D70" s="17">
        <v>1</v>
      </c>
      <c r="E70" s="17">
        <v>0</v>
      </c>
      <c r="F70" s="20">
        <v>42767</v>
      </c>
      <c r="G70" s="17">
        <v>0</v>
      </c>
      <c r="H70" s="2"/>
      <c r="I70" s="23">
        <v>42744</v>
      </c>
      <c r="J70" s="17" t="s">
        <v>72</v>
      </c>
    </row>
    <row r="71" spans="1:10" x14ac:dyDescent="0.2">
      <c r="A71" s="15" t="s">
        <v>176</v>
      </c>
      <c r="B71" s="2">
        <v>40.74</v>
      </c>
      <c r="C71" s="17">
        <v>0</v>
      </c>
      <c r="D71" s="17">
        <v>1</v>
      </c>
      <c r="E71" s="17">
        <v>0</v>
      </c>
      <c r="F71" s="20">
        <v>42767</v>
      </c>
      <c r="G71" s="17">
        <v>0</v>
      </c>
      <c r="H71" s="2"/>
      <c r="I71" s="23">
        <v>42744</v>
      </c>
      <c r="J71" s="17" t="s">
        <v>104</v>
      </c>
    </row>
    <row r="72" spans="1:10" x14ac:dyDescent="0.2">
      <c r="A72" s="15" t="s">
        <v>182</v>
      </c>
      <c r="B72" s="2">
        <v>105.69</v>
      </c>
      <c r="C72" s="17">
        <v>0</v>
      </c>
      <c r="D72" s="17">
        <v>1</v>
      </c>
      <c r="E72" s="17">
        <v>0</v>
      </c>
      <c r="F72" s="20">
        <v>42767</v>
      </c>
      <c r="G72" s="17">
        <v>0</v>
      </c>
      <c r="H72" s="2"/>
      <c r="I72" s="23">
        <v>42746</v>
      </c>
      <c r="J72" s="17" t="s">
        <v>59</v>
      </c>
    </row>
    <row r="73" spans="1:10" x14ac:dyDescent="0.2">
      <c r="A73" s="15" t="s">
        <v>132</v>
      </c>
      <c r="B73" s="2">
        <v>241.89</v>
      </c>
      <c r="C73" s="17">
        <v>0</v>
      </c>
      <c r="D73" s="17">
        <v>1</v>
      </c>
      <c r="E73" s="17">
        <v>0</v>
      </c>
      <c r="F73" s="20">
        <v>42767</v>
      </c>
      <c r="G73" s="17">
        <v>0</v>
      </c>
      <c r="H73" s="2"/>
      <c r="I73" s="23">
        <v>42747</v>
      </c>
      <c r="J73" s="17" t="s">
        <v>29</v>
      </c>
    </row>
    <row r="74" spans="1:10" x14ac:dyDescent="0.2">
      <c r="A74" s="15" t="s">
        <v>183</v>
      </c>
      <c r="B74" s="2">
        <v>24.9</v>
      </c>
      <c r="C74" s="17">
        <v>0</v>
      </c>
      <c r="D74" s="17">
        <v>1</v>
      </c>
      <c r="E74" s="17">
        <v>0</v>
      </c>
      <c r="F74" s="20">
        <v>42767</v>
      </c>
      <c r="G74" s="17">
        <v>0</v>
      </c>
      <c r="H74" s="2"/>
      <c r="I74" s="23">
        <v>42747</v>
      </c>
      <c r="J74" s="17" t="s">
        <v>59</v>
      </c>
    </row>
    <row r="75" spans="1:10" x14ac:dyDescent="0.2">
      <c r="A75" s="15" t="s">
        <v>184</v>
      </c>
      <c r="B75" s="2">
        <v>9.9</v>
      </c>
      <c r="C75" s="17">
        <v>0</v>
      </c>
      <c r="D75" s="17">
        <v>1</v>
      </c>
      <c r="E75" s="17">
        <v>0</v>
      </c>
      <c r="F75" s="20">
        <v>42767</v>
      </c>
      <c r="G75" s="17">
        <v>0</v>
      </c>
      <c r="H75" s="2"/>
      <c r="I75" s="23">
        <v>42748</v>
      </c>
      <c r="J75" s="17" t="s">
        <v>123</v>
      </c>
    </row>
    <row r="76" spans="1:10" x14ac:dyDescent="0.2">
      <c r="A76" s="15" t="s">
        <v>110</v>
      </c>
      <c r="B76" s="2">
        <v>7</v>
      </c>
      <c r="C76" s="17">
        <v>0</v>
      </c>
      <c r="D76" s="17">
        <v>1</v>
      </c>
      <c r="E76" s="17">
        <v>0</v>
      </c>
      <c r="F76" s="20">
        <v>42767</v>
      </c>
      <c r="G76" s="17">
        <v>0</v>
      </c>
      <c r="H76" s="2"/>
      <c r="I76" s="23">
        <v>42748</v>
      </c>
      <c r="J76" s="17" t="s">
        <v>35</v>
      </c>
    </row>
    <row r="77" spans="1:10" x14ac:dyDescent="0.2">
      <c r="A77" s="15" t="s">
        <v>98</v>
      </c>
      <c r="B77" s="2">
        <v>156.25</v>
      </c>
      <c r="C77" s="17">
        <v>0</v>
      </c>
      <c r="D77" s="17">
        <v>1</v>
      </c>
      <c r="E77" s="17">
        <v>0</v>
      </c>
      <c r="F77" s="20">
        <v>42767</v>
      </c>
      <c r="G77" s="17">
        <v>0</v>
      </c>
      <c r="H77" s="2"/>
      <c r="I77" s="23">
        <v>42749</v>
      </c>
      <c r="J77" s="17" t="s">
        <v>144</v>
      </c>
    </row>
    <row r="78" spans="1:10" x14ac:dyDescent="0.2">
      <c r="A78" s="15" t="s">
        <v>185</v>
      </c>
      <c r="B78" s="2">
        <v>70</v>
      </c>
      <c r="C78" s="17">
        <v>0</v>
      </c>
      <c r="D78" s="17">
        <v>1</v>
      </c>
      <c r="E78" s="17">
        <v>0</v>
      </c>
      <c r="F78" s="20">
        <v>42767</v>
      </c>
      <c r="G78" s="17">
        <v>0</v>
      </c>
      <c r="H78" s="2"/>
      <c r="I78" s="23">
        <v>42749</v>
      </c>
      <c r="J78" s="17" t="s">
        <v>59</v>
      </c>
    </row>
    <row r="79" spans="1:10" x14ac:dyDescent="0.2">
      <c r="A79" s="15" t="s">
        <v>186</v>
      </c>
      <c r="B79" s="2">
        <v>15</v>
      </c>
      <c r="C79" s="17">
        <v>0</v>
      </c>
      <c r="D79" s="17">
        <v>1</v>
      </c>
      <c r="E79" s="17">
        <v>0</v>
      </c>
      <c r="F79" s="20">
        <v>42767</v>
      </c>
      <c r="G79" s="17">
        <v>0</v>
      </c>
      <c r="H79" s="2"/>
      <c r="I79" s="23">
        <v>42749</v>
      </c>
      <c r="J79" s="17" t="s">
        <v>59</v>
      </c>
    </row>
    <row r="80" spans="1:10" x14ac:dyDescent="0.2">
      <c r="A80" s="15" t="s">
        <v>178</v>
      </c>
      <c r="B80" s="2">
        <v>10</v>
      </c>
      <c r="C80" s="17">
        <v>0</v>
      </c>
      <c r="D80" s="17">
        <v>1</v>
      </c>
      <c r="E80" s="17">
        <v>0</v>
      </c>
      <c r="F80" s="20">
        <v>42767</v>
      </c>
      <c r="G80" s="17">
        <v>0</v>
      </c>
      <c r="H80" s="2"/>
      <c r="I80" s="23">
        <v>42749</v>
      </c>
      <c r="J80" s="2" t="s">
        <v>33</v>
      </c>
    </row>
    <row r="81" spans="1:11" x14ac:dyDescent="0.2">
      <c r="A81" s="15" t="s">
        <v>187</v>
      </c>
      <c r="B81" s="2">
        <v>20</v>
      </c>
      <c r="C81" s="17">
        <v>0</v>
      </c>
      <c r="D81" s="17">
        <v>1</v>
      </c>
      <c r="E81" s="17">
        <v>0</v>
      </c>
      <c r="F81" s="20">
        <v>42767</v>
      </c>
      <c r="G81" s="17">
        <v>0</v>
      </c>
      <c r="H81" s="2"/>
      <c r="I81" s="23">
        <v>42750</v>
      </c>
      <c r="J81" s="17" t="s">
        <v>59</v>
      </c>
    </row>
    <row r="82" spans="1:11" x14ac:dyDescent="0.2">
      <c r="A82" s="15" t="s">
        <v>188</v>
      </c>
      <c r="B82" s="2">
        <v>13</v>
      </c>
      <c r="C82" s="17">
        <v>0</v>
      </c>
      <c r="D82" s="17">
        <v>1</v>
      </c>
      <c r="E82" s="17">
        <v>0</v>
      </c>
      <c r="F82" s="20">
        <v>42767</v>
      </c>
      <c r="G82" s="17">
        <v>0</v>
      </c>
      <c r="H82" s="2"/>
      <c r="I82" s="23">
        <v>42750</v>
      </c>
      <c r="J82" s="17" t="s">
        <v>29</v>
      </c>
    </row>
    <row r="83" spans="1:11" x14ac:dyDescent="0.2">
      <c r="A83" s="15" t="s">
        <v>189</v>
      </c>
      <c r="B83" s="2">
        <v>157.62</v>
      </c>
      <c r="C83" s="17">
        <v>0</v>
      </c>
      <c r="D83" s="17">
        <v>1</v>
      </c>
      <c r="E83" s="17">
        <v>0</v>
      </c>
      <c r="F83" s="20">
        <v>42767</v>
      </c>
      <c r="G83" s="17">
        <v>0</v>
      </c>
      <c r="H83" s="2"/>
      <c r="I83" s="23">
        <v>42750</v>
      </c>
      <c r="J83" s="2" t="s">
        <v>33</v>
      </c>
    </row>
    <row r="84" spans="1:11" x14ac:dyDescent="0.2">
      <c r="A84" s="15" t="s">
        <v>190</v>
      </c>
      <c r="B84" s="2">
        <v>3.5</v>
      </c>
      <c r="C84" s="17">
        <v>0</v>
      </c>
      <c r="D84" s="17">
        <v>1</v>
      </c>
      <c r="E84" s="17">
        <v>0</v>
      </c>
      <c r="F84" s="20">
        <v>42767</v>
      </c>
      <c r="G84" s="17">
        <v>0</v>
      </c>
      <c r="H84" s="2"/>
      <c r="I84" s="23">
        <v>42750</v>
      </c>
      <c r="J84" s="17" t="s">
        <v>35</v>
      </c>
    </row>
    <row r="85" spans="1:11" x14ac:dyDescent="0.2">
      <c r="A85" s="15" t="s">
        <v>97</v>
      </c>
      <c r="B85" s="2">
        <v>15</v>
      </c>
      <c r="C85" s="17">
        <v>0</v>
      </c>
      <c r="D85" s="17">
        <v>1</v>
      </c>
      <c r="E85" s="17">
        <v>0</v>
      </c>
      <c r="F85" s="20">
        <v>42767</v>
      </c>
      <c r="G85" s="17">
        <v>0</v>
      </c>
      <c r="H85" s="2"/>
      <c r="I85" s="23">
        <v>42751</v>
      </c>
      <c r="J85" s="17" t="s">
        <v>35</v>
      </c>
    </row>
    <row r="86" spans="1:11" x14ac:dyDescent="0.2">
      <c r="A86" s="15" t="s">
        <v>191</v>
      </c>
      <c r="B86" s="2">
        <v>13</v>
      </c>
      <c r="C86" s="17">
        <v>0</v>
      </c>
      <c r="D86" s="17">
        <v>1</v>
      </c>
      <c r="E86" s="17">
        <v>0</v>
      </c>
      <c r="F86" s="20">
        <v>42767</v>
      </c>
      <c r="G86" s="17">
        <v>0</v>
      </c>
      <c r="H86" s="2"/>
      <c r="I86" s="23">
        <v>42751</v>
      </c>
      <c r="J86" s="17" t="s">
        <v>35</v>
      </c>
    </row>
    <row r="87" spans="1:11" x14ac:dyDescent="0.2">
      <c r="A87" s="15" t="s">
        <v>176</v>
      </c>
      <c r="B87" s="2">
        <v>70.91</v>
      </c>
      <c r="C87" s="17">
        <v>0</v>
      </c>
      <c r="D87" s="17">
        <v>1</v>
      </c>
      <c r="E87" s="17">
        <v>0</v>
      </c>
      <c r="F87" s="20">
        <v>42767</v>
      </c>
      <c r="G87" s="17">
        <v>0</v>
      </c>
      <c r="H87" s="2"/>
      <c r="I87" s="23">
        <v>42752</v>
      </c>
      <c r="J87" s="17" t="s">
        <v>104</v>
      </c>
    </row>
    <row r="88" spans="1:11" x14ac:dyDescent="0.2">
      <c r="A88" s="15" t="s">
        <v>192</v>
      </c>
      <c r="B88" s="2">
        <v>0</v>
      </c>
      <c r="C88" s="17">
        <v>0</v>
      </c>
      <c r="D88" s="17">
        <v>1</v>
      </c>
      <c r="E88" s="17">
        <v>0</v>
      </c>
      <c r="F88" s="20">
        <v>42795</v>
      </c>
      <c r="G88" s="17">
        <v>1</v>
      </c>
      <c r="H88" s="2"/>
      <c r="I88" s="23">
        <v>42797</v>
      </c>
      <c r="J88" s="17" t="s">
        <v>193</v>
      </c>
      <c r="K88" s="2">
        <v>434</v>
      </c>
    </row>
    <row r="89" spans="1:11" x14ac:dyDescent="0.2">
      <c r="A89" s="15" t="s">
        <v>161</v>
      </c>
      <c r="B89" s="2">
        <v>31</v>
      </c>
      <c r="C89" s="17">
        <v>0</v>
      </c>
      <c r="D89" s="17">
        <v>1</v>
      </c>
      <c r="E89" s="17">
        <v>0</v>
      </c>
      <c r="F89" s="20">
        <v>42767</v>
      </c>
      <c r="G89" s="17">
        <v>0</v>
      </c>
      <c r="H89" s="2"/>
      <c r="I89" s="23">
        <v>42753</v>
      </c>
      <c r="J89" s="17" t="s">
        <v>67</v>
      </c>
    </row>
    <row r="90" spans="1:11" x14ac:dyDescent="0.2">
      <c r="A90" s="15" t="s">
        <v>28</v>
      </c>
      <c r="B90" s="2">
        <v>98.5</v>
      </c>
      <c r="C90" s="17">
        <v>0</v>
      </c>
      <c r="D90" s="17">
        <v>1</v>
      </c>
      <c r="E90" s="17">
        <v>0</v>
      </c>
      <c r="F90" s="20">
        <v>42767</v>
      </c>
      <c r="G90" s="17">
        <v>0</v>
      </c>
      <c r="H90" s="2"/>
      <c r="I90" s="23">
        <v>42753</v>
      </c>
      <c r="J90" s="17" t="s">
        <v>29</v>
      </c>
    </row>
    <row r="91" spans="1:11" x14ac:dyDescent="0.2">
      <c r="A91" s="15" t="s">
        <v>194</v>
      </c>
      <c r="B91" s="2">
        <v>4.9000000000000004</v>
      </c>
      <c r="C91" s="17">
        <v>0</v>
      </c>
      <c r="D91" s="17">
        <v>1</v>
      </c>
      <c r="E91" s="17">
        <v>0</v>
      </c>
      <c r="F91" s="20">
        <v>42767</v>
      </c>
      <c r="G91" s="17">
        <v>0</v>
      </c>
      <c r="H91" s="2"/>
      <c r="I91" s="23">
        <v>42754</v>
      </c>
      <c r="J91" s="17" t="s">
        <v>35</v>
      </c>
    </row>
    <row r="92" spans="1:11" x14ac:dyDescent="0.2">
      <c r="A92" s="15" t="s">
        <v>28</v>
      </c>
      <c r="B92" s="2">
        <v>84.86</v>
      </c>
      <c r="C92" s="17">
        <v>0</v>
      </c>
      <c r="D92" s="17">
        <v>1</v>
      </c>
      <c r="E92" s="17">
        <v>0</v>
      </c>
      <c r="F92" s="20">
        <v>42767</v>
      </c>
      <c r="G92" s="17">
        <v>0</v>
      </c>
      <c r="H92" s="2"/>
      <c r="I92" s="23">
        <v>42755</v>
      </c>
      <c r="J92" s="17" t="s">
        <v>29</v>
      </c>
    </row>
    <row r="93" spans="1:11" x14ac:dyDescent="0.2">
      <c r="A93" s="15" t="s">
        <v>195</v>
      </c>
      <c r="B93" s="2">
        <v>46</v>
      </c>
      <c r="C93" s="17">
        <v>0</v>
      </c>
      <c r="D93" s="17">
        <v>1</v>
      </c>
      <c r="E93" s="17">
        <v>0</v>
      </c>
      <c r="F93" s="20">
        <v>42767</v>
      </c>
      <c r="G93" s="17">
        <v>0</v>
      </c>
      <c r="H93" s="2"/>
      <c r="I93" s="23">
        <v>42756</v>
      </c>
      <c r="J93" s="17" t="s">
        <v>82</v>
      </c>
    </row>
    <row r="94" spans="1:11" x14ac:dyDescent="0.2">
      <c r="A94" s="15" t="s">
        <v>180</v>
      </c>
      <c r="B94" s="2">
        <v>34</v>
      </c>
      <c r="C94" s="17">
        <v>0</v>
      </c>
      <c r="D94" s="17">
        <v>1</v>
      </c>
      <c r="E94" s="17">
        <v>0</v>
      </c>
      <c r="F94" s="20">
        <v>42767</v>
      </c>
      <c r="G94" s="17">
        <v>0</v>
      </c>
      <c r="H94" s="2"/>
      <c r="I94" s="11">
        <v>42757</v>
      </c>
      <c r="J94" s="17" t="s">
        <v>82</v>
      </c>
    </row>
    <row r="95" spans="1:11" x14ac:dyDescent="0.2">
      <c r="A95" s="15" t="s">
        <v>157</v>
      </c>
      <c r="B95" s="2">
        <v>22.45</v>
      </c>
      <c r="C95" s="17">
        <v>0</v>
      </c>
      <c r="D95" s="17">
        <v>1</v>
      </c>
      <c r="E95" s="17">
        <v>0</v>
      </c>
      <c r="F95" s="20">
        <v>42767</v>
      </c>
      <c r="G95" s="17">
        <v>0</v>
      </c>
      <c r="H95" s="2"/>
      <c r="I95" s="11">
        <v>42757</v>
      </c>
      <c r="J95" s="17" t="s">
        <v>72</v>
      </c>
    </row>
    <row r="96" spans="1:11" x14ac:dyDescent="0.2">
      <c r="A96" s="15" t="s">
        <v>28</v>
      </c>
      <c r="B96" s="2">
        <v>177.4</v>
      </c>
      <c r="C96" s="17">
        <v>0</v>
      </c>
      <c r="D96" s="17">
        <v>1</v>
      </c>
      <c r="E96" s="17">
        <v>0</v>
      </c>
      <c r="F96" s="20">
        <v>42767</v>
      </c>
      <c r="G96" s="17">
        <v>0</v>
      </c>
      <c r="H96" s="2"/>
      <c r="I96" s="11">
        <v>42760</v>
      </c>
      <c r="J96" s="17" t="s">
        <v>29</v>
      </c>
    </row>
    <row r="97" spans="1:10" x14ac:dyDescent="0.2">
      <c r="A97" s="15" t="s">
        <v>196</v>
      </c>
      <c r="B97" s="2">
        <v>154.63999999999999</v>
      </c>
      <c r="C97" s="17">
        <v>0</v>
      </c>
      <c r="D97" s="17">
        <v>1</v>
      </c>
      <c r="E97" s="17">
        <v>0</v>
      </c>
      <c r="F97" s="20">
        <v>42767</v>
      </c>
      <c r="G97" s="17">
        <v>0</v>
      </c>
      <c r="H97" s="2"/>
      <c r="I97" s="11">
        <v>42760</v>
      </c>
      <c r="J97" s="17" t="s">
        <v>33</v>
      </c>
    </row>
    <row r="98" spans="1:10" x14ac:dyDescent="0.2">
      <c r="A98" s="15" t="s">
        <v>197</v>
      </c>
      <c r="B98" s="2">
        <v>238</v>
      </c>
      <c r="C98" s="17">
        <v>0</v>
      </c>
      <c r="D98" s="17">
        <v>1</v>
      </c>
      <c r="E98" s="17">
        <v>0</v>
      </c>
      <c r="F98" s="20">
        <v>42767</v>
      </c>
      <c r="G98" s="17">
        <v>0</v>
      </c>
      <c r="H98" s="2"/>
      <c r="I98" s="11">
        <v>42760</v>
      </c>
      <c r="J98" s="17" t="s">
        <v>144</v>
      </c>
    </row>
    <row r="99" spans="1:10" x14ac:dyDescent="0.2">
      <c r="A99" s="24" t="s">
        <v>41</v>
      </c>
      <c r="B99" s="10">
        <v>363.68</v>
      </c>
      <c r="C99" s="25">
        <v>0</v>
      </c>
      <c r="D99" s="25">
        <v>1</v>
      </c>
      <c r="E99" s="25">
        <v>0</v>
      </c>
      <c r="F99" s="26">
        <v>42795</v>
      </c>
      <c r="G99" s="17">
        <v>1</v>
      </c>
      <c r="H99" s="27"/>
      <c r="I99" s="28">
        <v>42776</v>
      </c>
      <c r="J99" s="25" t="s">
        <v>42</v>
      </c>
    </row>
    <row r="100" spans="1:10" x14ac:dyDescent="0.2">
      <c r="A100" s="24" t="s">
        <v>198</v>
      </c>
      <c r="B100" s="10">
        <v>1465.49</v>
      </c>
      <c r="C100" s="25">
        <v>0</v>
      </c>
      <c r="D100" s="25">
        <v>1</v>
      </c>
      <c r="E100" s="25">
        <v>0</v>
      </c>
      <c r="F100" s="26">
        <v>42795</v>
      </c>
      <c r="G100" s="17">
        <v>1</v>
      </c>
      <c r="H100" s="27"/>
      <c r="I100" s="28">
        <v>42776</v>
      </c>
      <c r="J100" s="25" t="s">
        <v>42</v>
      </c>
    </row>
    <row r="101" spans="1:10" x14ac:dyDescent="0.2">
      <c r="A101" s="15" t="s">
        <v>194</v>
      </c>
      <c r="B101" s="10">
        <v>9.5</v>
      </c>
      <c r="C101" s="17">
        <v>0</v>
      </c>
      <c r="D101" s="17">
        <v>1</v>
      </c>
      <c r="E101" s="17">
        <v>0</v>
      </c>
      <c r="F101" s="20">
        <v>42767</v>
      </c>
      <c r="G101" s="17">
        <v>0</v>
      </c>
      <c r="I101" s="11">
        <v>42763</v>
      </c>
      <c r="J101" s="17" t="s">
        <v>35</v>
      </c>
    </row>
    <row r="102" spans="1:10" x14ac:dyDescent="0.2">
      <c r="A102" s="15" t="s">
        <v>199</v>
      </c>
      <c r="B102" s="10">
        <v>237.24</v>
      </c>
      <c r="C102" s="17">
        <v>0</v>
      </c>
      <c r="D102" s="17">
        <v>1</v>
      </c>
      <c r="E102" s="17">
        <v>0</v>
      </c>
      <c r="F102" s="20">
        <v>42767</v>
      </c>
      <c r="G102" s="17">
        <v>0</v>
      </c>
      <c r="I102" s="11">
        <v>42763</v>
      </c>
      <c r="J102" s="17" t="s">
        <v>29</v>
      </c>
    </row>
    <row r="103" spans="1:10" x14ac:dyDescent="0.2">
      <c r="A103" s="15" t="s">
        <v>196</v>
      </c>
      <c r="B103" s="10">
        <v>34.5</v>
      </c>
      <c r="C103" s="17">
        <v>0</v>
      </c>
      <c r="D103" s="17">
        <v>1</v>
      </c>
      <c r="E103" s="17">
        <v>0</v>
      </c>
      <c r="F103" s="20">
        <v>42767</v>
      </c>
      <c r="G103" s="17">
        <v>0</v>
      </c>
      <c r="I103" s="11">
        <v>42763</v>
      </c>
      <c r="J103" s="17" t="s">
        <v>33</v>
      </c>
    </row>
    <row r="104" spans="1:10" x14ac:dyDescent="0.2">
      <c r="A104" s="15" t="s">
        <v>306</v>
      </c>
      <c r="B104" s="10">
        <v>2000</v>
      </c>
      <c r="C104" s="17">
        <v>0</v>
      </c>
      <c r="D104" s="17">
        <v>1</v>
      </c>
      <c r="E104" s="17">
        <v>0</v>
      </c>
      <c r="F104" s="20">
        <v>42795</v>
      </c>
      <c r="G104" s="17">
        <v>0</v>
      </c>
      <c r="I104" s="11">
        <v>42811</v>
      </c>
      <c r="J104" s="17" t="s">
        <v>200</v>
      </c>
    </row>
    <row r="105" spans="1:10" x14ac:dyDescent="0.2">
      <c r="A105" s="15" t="s">
        <v>180</v>
      </c>
      <c r="B105" s="3">
        <v>44.2</v>
      </c>
      <c r="C105" s="17">
        <v>0</v>
      </c>
      <c r="D105" s="17">
        <v>1</v>
      </c>
      <c r="E105" s="17">
        <v>0</v>
      </c>
      <c r="F105" s="20">
        <v>42795</v>
      </c>
      <c r="G105" s="17">
        <v>1</v>
      </c>
      <c r="I105" s="11">
        <v>42764</v>
      </c>
      <c r="J105" s="17" t="s">
        <v>82</v>
      </c>
    </row>
    <row r="106" spans="1:10" x14ac:dyDescent="0.2">
      <c r="A106" s="15" t="s">
        <v>201</v>
      </c>
      <c r="B106" s="3">
        <v>118.6</v>
      </c>
      <c r="C106" s="17">
        <v>0</v>
      </c>
      <c r="D106" s="17">
        <v>1</v>
      </c>
      <c r="E106" s="17">
        <v>0</v>
      </c>
      <c r="F106" s="20">
        <v>42795</v>
      </c>
      <c r="G106" s="17">
        <v>1</v>
      </c>
      <c r="I106" s="11">
        <v>42767</v>
      </c>
      <c r="J106" s="17" t="s">
        <v>29</v>
      </c>
    </row>
    <row r="107" spans="1:10" x14ac:dyDescent="0.2">
      <c r="A107" s="15" t="s">
        <v>202</v>
      </c>
      <c r="B107" s="3">
        <v>181.02</v>
      </c>
      <c r="C107" s="17">
        <v>0</v>
      </c>
      <c r="D107" s="17">
        <v>1</v>
      </c>
      <c r="E107" s="17">
        <v>0</v>
      </c>
      <c r="F107" s="20">
        <v>42795</v>
      </c>
      <c r="G107" s="17">
        <v>1</v>
      </c>
      <c r="I107" s="11">
        <v>42770</v>
      </c>
      <c r="J107" s="17" t="s">
        <v>33</v>
      </c>
    </row>
    <row r="108" spans="1:10" x14ac:dyDescent="0.2">
      <c r="A108" s="15" t="s">
        <v>203</v>
      </c>
      <c r="B108" s="3">
        <v>373.28</v>
      </c>
      <c r="C108" s="17">
        <v>0</v>
      </c>
      <c r="D108" s="17">
        <v>1</v>
      </c>
      <c r="E108" s="17">
        <v>0</v>
      </c>
      <c r="F108" s="20">
        <v>42795</v>
      </c>
      <c r="G108" s="17">
        <v>1</v>
      </c>
      <c r="I108" s="11">
        <v>42770</v>
      </c>
      <c r="J108" s="17" t="s">
        <v>29</v>
      </c>
    </row>
    <row r="109" spans="1:10" x14ac:dyDescent="0.2">
      <c r="A109" s="15" t="s">
        <v>204</v>
      </c>
      <c r="B109" s="3">
        <v>45.8</v>
      </c>
      <c r="C109" s="17">
        <v>0</v>
      </c>
      <c r="D109" s="17">
        <v>1</v>
      </c>
      <c r="E109" s="17">
        <v>0</v>
      </c>
      <c r="F109" s="20">
        <v>42795</v>
      </c>
      <c r="G109" s="17">
        <v>1</v>
      </c>
      <c r="I109" s="11">
        <v>42770</v>
      </c>
      <c r="J109" s="17" t="s">
        <v>144</v>
      </c>
    </row>
    <row r="110" spans="1:10" x14ac:dyDescent="0.2">
      <c r="A110" s="15" t="s">
        <v>205</v>
      </c>
      <c r="B110" s="3">
        <v>41</v>
      </c>
      <c r="C110" s="17">
        <v>0</v>
      </c>
      <c r="D110" s="17">
        <v>1</v>
      </c>
      <c r="E110" s="17">
        <v>0</v>
      </c>
      <c r="F110" s="20">
        <v>42795</v>
      </c>
      <c r="G110" s="17">
        <v>1</v>
      </c>
      <c r="I110" s="11">
        <v>42770</v>
      </c>
      <c r="J110" s="17" t="s">
        <v>59</v>
      </c>
    </row>
    <row r="111" spans="1:10" x14ac:dyDescent="0.2">
      <c r="A111" s="15" t="s">
        <v>29</v>
      </c>
      <c r="B111" s="3">
        <v>44</v>
      </c>
      <c r="C111" s="17">
        <v>0</v>
      </c>
      <c r="D111" s="17">
        <v>1</v>
      </c>
      <c r="E111" s="17">
        <v>0</v>
      </c>
      <c r="F111" s="20">
        <v>42795</v>
      </c>
      <c r="G111" s="17">
        <v>1</v>
      </c>
      <c r="I111" s="11">
        <v>42772</v>
      </c>
      <c r="J111" s="17" t="s">
        <v>29</v>
      </c>
    </row>
    <row r="112" spans="1:10" x14ac:dyDescent="0.2">
      <c r="A112" s="15" t="s">
        <v>206</v>
      </c>
      <c r="B112" s="3">
        <v>32.9</v>
      </c>
      <c r="C112" s="17">
        <v>0</v>
      </c>
      <c r="D112" s="17">
        <v>1</v>
      </c>
      <c r="E112" s="17">
        <v>0</v>
      </c>
      <c r="F112" s="20">
        <v>42795</v>
      </c>
      <c r="G112" s="17">
        <v>1</v>
      </c>
      <c r="I112" s="11">
        <v>42775</v>
      </c>
      <c r="J112" t="s">
        <v>104</v>
      </c>
    </row>
    <row r="113" spans="1:10" x14ac:dyDescent="0.2">
      <c r="A113" s="15" t="s">
        <v>185</v>
      </c>
      <c r="B113" s="3">
        <v>45</v>
      </c>
      <c r="C113" s="17">
        <v>0</v>
      </c>
      <c r="D113" s="17">
        <v>1</v>
      </c>
      <c r="E113" s="17">
        <v>0</v>
      </c>
      <c r="F113" s="20">
        <v>42795</v>
      </c>
      <c r="G113" s="17">
        <v>1</v>
      </c>
      <c r="I113" s="11">
        <v>42775</v>
      </c>
      <c r="J113" t="s">
        <v>59</v>
      </c>
    </row>
    <row r="114" spans="1:10" x14ac:dyDescent="0.2">
      <c r="A114" s="15" t="s">
        <v>29</v>
      </c>
      <c r="B114" s="3">
        <v>33.9</v>
      </c>
      <c r="C114" s="17">
        <v>0</v>
      </c>
      <c r="D114" s="17">
        <v>1</v>
      </c>
      <c r="E114" s="17">
        <v>0</v>
      </c>
      <c r="F114" s="20">
        <v>42795</v>
      </c>
      <c r="G114" s="17">
        <v>1</v>
      </c>
      <c r="I114" s="11">
        <v>42775</v>
      </c>
      <c r="J114" t="s">
        <v>29</v>
      </c>
    </row>
    <row r="115" spans="1:10" x14ac:dyDescent="0.2">
      <c r="A115" s="15" t="s">
        <v>207</v>
      </c>
      <c r="B115" s="3">
        <v>23.9</v>
      </c>
      <c r="C115" s="17">
        <v>0</v>
      </c>
      <c r="D115" s="17">
        <v>1</v>
      </c>
      <c r="E115" s="17">
        <v>0</v>
      </c>
      <c r="F115" s="20">
        <v>42795</v>
      </c>
      <c r="G115" s="17">
        <v>1</v>
      </c>
      <c r="I115" s="11">
        <v>42776</v>
      </c>
      <c r="J115" t="s">
        <v>59</v>
      </c>
    </row>
    <row r="116" spans="1:10" x14ac:dyDescent="0.2">
      <c r="A116" s="15" t="s">
        <v>208</v>
      </c>
      <c r="B116" s="3">
        <v>39.9</v>
      </c>
      <c r="C116" s="17">
        <v>0</v>
      </c>
      <c r="D116" s="17">
        <v>1</v>
      </c>
      <c r="E116" s="17">
        <v>0</v>
      </c>
      <c r="F116" s="20">
        <v>42795</v>
      </c>
      <c r="G116" s="17">
        <v>1</v>
      </c>
      <c r="I116" s="11">
        <v>42776</v>
      </c>
      <c r="J116" t="s">
        <v>59</v>
      </c>
    </row>
    <row r="117" spans="1:10" x14ac:dyDescent="0.2">
      <c r="A117" s="15" t="s">
        <v>209</v>
      </c>
      <c r="B117" s="3">
        <v>313.61</v>
      </c>
      <c r="C117" s="17">
        <v>0</v>
      </c>
      <c r="D117" s="17">
        <v>1</v>
      </c>
      <c r="E117" s="17">
        <v>0</v>
      </c>
      <c r="F117" s="20">
        <v>42795</v>
      </c>
      <c r="G117" s="17">
        <v>1</v>
      </c>
      <c r="I117" s="11">
        <v>42776</v>
      </c>
      <c r="J117" t="s">
        <v>144</v>
      </c>
    </row>
    <row r="118" spans="1:10" x14ac:dyDescent="0.2">
      <c r="A118" s="15" t="s">
        <v>29</v>
      </c>
      <c r="B118" s="3">
        <v>0</v>
      </c>
      <c r="C118" s="17">
        <v>0</v>
      </c>
      <c r="D118" s="17">
        <v>1</v>
      </c>
      <c r="E118" s="17">
        <v>0</v>
      </c>
      <c r="F118" s="20">
        <v>42795</v>
      </c>
      <c r="G118" s="17">
        <v>1</v>
      </c>
      <c r="I118" s="11">
        <v>42776</v>
      </c>
      <c r="J118" t="s">
        <v>29</v>
      </c>
    </row>
    <row r="119" spans="1:10" x14ac:dyDescent="0.2">
      <c r="A119" s="15" t="s">
        <v>210</v>
      </c>
      <c r="B119" s="3">
        <v>22.75</v>
      </c>
      <c r="C119" s="17">
        <v>0</v>
      </c>
      <c r="D119" s="17">
        <v>1</v>
      </c>
      <c r="E119" s="17">
        <v>0</v>
      </c>
      <c r="F119" s="20">
        <v>42795</v>
      </c>
      <c r="G119" s="17">
        <v>1</v>
      </c>
      <c r="I119" s="11">
        <v>42777</v>
      </c>
      <c r="J119" t="s">
        <v>29</v>
      </c>
    </row>
    <row r="120" spans="1:10" x14ac:dyDescent="0.2">
      <c r="A120" s="15" t="s">
        <v>211</v>
      </c>
      <c r="B120" s="3">
        <v>185.72</v>
      </c>
      <c r="C120" s="17">
        <v>0</v>
      </c>
      <c r="D120" s="17">
        <v>1</v>
      </c>
      <c r="E120" s="17">
        <v>0</v>
      </c>
      <c r="F120" s="20">
        <v>42795</v>
      </c>
      <c r="G120" s="17">
        <v>1</v>
      </c>
      <c r="I120" s="11">
        <v>42778</v>
      </c>
      <c r="J120" t="s">
        <v>33</v>
      </c>
    </row>
    <row r="121" spans="1:10" x14ac:dyDescent="0.2">
      <c r="A121" s="15" t="s">
        <v>180</v>
      </c>
      <c r="B121" s="3">
        <v>53</v>
      </c>
      <c r="C121" s="17">
        <v>0</v>
      </c>
      <c r="D121" s="17">
        <v>1</v>
      </c>
      <c r="E121" s="17">
        <v>0</v>
      </c>
      <c r="F121" s="20">
        <v>42795</v>
      </c>
      <c r="G121" s="17">
        <v>1</v>
      </c>
      <c r="I121" s="11">
        <v>42778</v>
      </c>
      <c r="J121" t="s">
        <v>82</v>
      </c>
    </row>
    <row r="122" spans="1:10" x14ac:dyDescent="0.2">
      <c r="A122" s="15" t="s">
        <v>212</v>
      </c>
      <c r="B122" s="3">
        <v>9</v>
      </c>
      <c r="C122" s="17">
        <v>0</v>
      </c>
      <c r="D122" s="17">
        <v>1</v>
      </c>
      <c r="E122" s="17">
        <v>0</v>
      </c>
      <c r="F122" s="20">
        <v>42795</v>
      </c>
      <c r="G122" s="17">
        <v>1</v>
      </c>
      <c r="I122" s="11">
        <v>42779</v>
      </c>
      <c r="J122" t="s">
        <v>35</v>
      </c>
    </row>
    <row r="123" spans="1:10" x14ac:dyDescent="0.2">
      <c r="A123" s="15" t="s">
        <v>132</v>
      </c>
      <c r="B123" s="3">
        <v>185.55</v>
      </c>
      <c r="C123" s="17">
        <v>0</v>
      </c>
      <c r="D123" s="17">
        <v>1</v>
      </c>
      <c r="E123" s="17">
        <v>0</v>
      </c>
      <c r="F123" s="20">
        <v>42795</v>
      </c>
      <c r="G123" s="17">
        <v>1</v>
      </c>
      <c r="I123" s="11">
        <v>42780</v>
      </c>
      <c r="J123" t="s">
        <v>29</v>
      </c>
    </row>
    <row r="124" spans="1:10" x14ac:dyDescent="0.2">
      <c r="A124" s="15" t="s">
        <v>213</v>
      </c>
      <c r="B124" s="3">
        <v>32</v>
      </c>
      <c r="C124" s="17">
        <v>0</v>
      </c>
      <c r="D124" s="17">
        <v>1</v>
      </c>
      <c r="E124" s="17">
        <v>0</v>
      </c>
      <c r="F124" s="20">
        <v>42795</v>
      </c>
      <c r="G124" s="17">
        <v>1</v>
      </c>
      <c r="I124" s="11">
        <v>42780</v>
      </c>
      <c r="J124" t="s">
        <v>59</v>
      </c>
    </row>
    <row r="125" spans="1:10" x14ac:dyDescent="0.2">
      <c r="A125" s="15" t="s">
        <v>214</v>
      </c>
      <c r="B125" s="3">
        <v>55.9</v>
      </c>
      <c r="C125" s="17">
        <v>0</v>
      </c>
      <c r="D125" s="17">
        <v>1</v>
      </c>
      <c r="E125" s="17">
        <v>0</v>
      </c>
      <c r="F125" s="20">
        <v>42795</v>
      </c>
      <c r="G125" s="17">
        <v>1</v>
      </c>
      <c r="I125" s="11">
        <v>42780</v>
      </c>
      <c r="J125" t="s">
        <v>59</v>
      </c>
    </row>
    <row r="126" spans="1:10" x14ac:dyDescent="0.2">
      <c r="A126" s="15" t="s">
        <v>215</v>
      </c>
      <c r="B126" s="3">
        <v>115</v>
      </c>
      <c r="C126" s="17">
        <v>0</v>
      </c>
      <c r="D126" s="17">
        <v>1</v>
      </c>
      <c r="E126" s="17">
        <v>0</v>
      </c>
      <c r="F126" s="20">
        <v>42795</v>
      </c>
      <c r="G126" s="17">
        <v>1</v>
      </c>
      <c r="I126" s="11">
        <v>42781</v>
      </c>
      <c r="J126" t="s">
        <v>59</v>
      </c>
    </row>
    <row r="127" spans="1:10" x14ac:dyDescent="0.2">
      <c r="A127" s="15" t="s">
        <v>161</v>
      </c>
      <c r="B127" s="3">
        <v>33</v>
      </c>
      <c r="C127" s="17">
        <v>0</v>
      </c>
      <c r="D127" s="17">
        <v>1</v>
      </c>
      <c r="E127" s="17">
        <v>0</v>
      </c>
      <c r="F127" s="20">
        <v>42795</v>
      </c>
      <c r="G127" s="17">
        <v>1</v>
      </c>
      <c r="I127" s="11">
        <v>42781</v>
      </c>
      <c r="J127" t="s">
        <v>67</v>
      </c>
    </row>
    <row r="128" spans="1:10" x14ac:dyDescent="0.2">
      <c r="A128" s="15" t="s">
        <v>216</v>
      </c>
      <c r="B128" s="3">
        <v>143.5</v>
      </c>
      <c r="C128" s="17">
        <v>0</v>
      </c>
      <c r="D128" s="17">
        <v>1</v>
      </c>
      <c r="E128" s="17">
        <v>0</v>
      </c>
      <c r="F128" s="20">
        <v>42795</v>
      </c>
      <c r="G128" s="17">
        <v>1</v>
      </c>
      <c r="I128" s="11">
        <v>42782</v>
      </c>
      <c r="J128" t="s">
        <v>155</v>
      </c>
    </row>
    <row r="129" spans="1:10" x14ac:dyDescent="0.2">
      <c r="A129" s="15" t="s">
        <v>217</v>
      </c>
      <c r="B129" s="3">
        <v>20.12</v>
      </c>
      <c r="C129" s="17">
        <v>0</v>
      </c>
      <c r="D129" s="17">
        <v>1</v>
      </c>
      <c r="E129" s="17">
        <v>0</v>
      </c>
      <c r="F129" s="20">
        <v>42795</v>
      </c>
      <c r="G129" s="17">
        <v>1</v>
      </c>
      <c r="I129" s="11">
        <v>42782</v>
      </c>
      <c r="J129" t="s">
        <v>35</v>
      </c>
    </row>
    <row r="130" spans="1:10" x14ac:dyDescent="0.2">
      <c r="A130" s="15" t="s">
        <v>207</v>
      </c>
      <c r="B130" s="3">
        <v>61.72</v>
      </c>
      <c r="C130" s="17">
        <v>0</v>
      </c>
      <c r="D130" s="17">
        <v>1</v>
      </c>
      <c r="E130" s="17">
        <v>0</v>
      </c>
      <c r="F130" s="20">
        <v>42795</v>
      </c>
      <c r="G130" s="17">
        <v>1</v>
      </c>
      <c r="I130" s="11">
        <v>42783</v>
      </c>
      <c r="J130" t="s">
        <v>59</v>
      </c>
    </row>
    <row r="131" spans="1:10" x14ac:dyDescent="0.2">
      <c r="A131" s="15" t="s">
        <v>218</v>
      </c>
      <c r="B131" s="3">
        <v>60</v>
      </c>
      <c r="C131" s="17">
        <v>0</v>
      </c>
      <c r="D131" s="17">
        <v>1</v>
      </c>
      <c r="E131" s="17">
        <v>0</v>
      </c>
      <c r="F131" s="20">
        <v>42795</v>
      </c>
      <c r="G131" s="17">
        <v>1</v>
      </c>
      <c r="I131" s="11">
        <v>42783</v>
      </c>
      <c r="J131" t="s">
        <v>155</v>
      </c>
    </row>
    <row r="132" spans="1:10" x14ac:dyDescent="0.2">
      <c r="A132" s="15" t="s">
        <v>219</v>
      </c>
      <c r="B132" s="3">
        <v>34.9</v>
      </c>
      <c r="C132" s="17">
        <v>0</v>
      </c>
      <c r="D132" s="17">
        <v>1</v>
      </c>
      <c r="E132" s="17">
        <v>0</v>
      </c>
      <c r="F132" s="20">
        <v>42795</v>
      </c>
      <c r="G132" s="17">
        <v>1</v>
      </c>
      <c r="I132" s="11">
        <v>42783</v>
      </c>
      <c r="J132" t="s">
        <v>155</v>
      </c>
    </row>
    <row r="133" spans="1:10" x14ac:dyDescent="0.2">
      <c r="A133" s="15" t="s">
        <v>217</v>
      </c>
      <c r="B133" s="8">
        <v>39.6</v>
      </c>
      <c r="C133" s="17">
        <v>0</v>
      </c>
      <c r="D133" s="17">
        <v>1</v>
      </c>
      <c r="E133" s="17">
        <v>0</v>
      </c>
      <c r="F133" s="20">
        <v>42795</v>
      </c>
      <c r="G133" s="17">
        <v>1</v>
      </c>
      <c r="I133" s="11">
        <v>42783</v>
      </c>
      <c r="J133" t="s">
        <v>220</v>
      </c>
    </row>
    <row r="134" spans="1:10" x14ac:dyDescent="0.2">
      <c r="A134" s="15" t="s">
        <v>201</v>
      </c>
      <c r="B134" s="8">
        <v>77.040000000000006</v>
      </c>
      <c r="C134" s="17">
        <v>0</v>
      </c>
      <c r="D134" s="17">
        <v>1</v>
      </c>
      <c r="E134" s="17">
        <v>0</v>
      </c>
      <c r="F134" s="20">
        <v>42795</v>
      </c>
      <c r="G134" s="17">
        <v>1</v>
      </c>
      <c r="I134" s="11">
        <v>42783</v>
      </c>
      <c r="J134" t="s">
        <v>221</v>
      </c>
    </row>
    <row r="135" spans="1:10" x14ac:dyDescent="0.2">
      <c r="A135" s="15" t="s">
        <v>222</v>
      </c>
      <c r="B135" s="8">
        <v>53.44</v>
      </c>
      <c r="C135" s="17">
        <v>0</v>
      </c>
      <c r="D135" s="17">
        <v>1</v>
      </c>
      <c r="E135" s="17">
        <v>0</v>
      </c>
      <c r="F135" s="20">
        <v>42795</v>
      </c>
      <c r="G135" s="17">
        <v>1</v>
      </c>
      <c r="I135" s="11">
        <v>42784</v>
      </c>
      <c r="J135" t="s">
        <v>221</v>
      </c>
    </row>
    <row r="136" spans="1:10" x14ac:dyDescent="0.2">
      <c r="A136" s="15" t="s">
        <v>223</v>
      </c>
      <c r="B136" s="8">
        <v>53</v>
      </c>
      <c r="C136" s="17">
        <v>0</v>
      </c>
      <c r="D136" s="17">
        <v>1</v>
      </c>
      <c r="E136" s="17">
        <v>0</v>
      </c>
      <c r="F136" s="20">
        <v>42795</v>
      </c>
      <c r="G136" s="17">
        <v>1</v>
      </c>
      <c r="I136" s="11">
        <v>42784</v>
      </c>
      <c r="J136" t="s">
        <v>220</v>
      </c>
    </row>
    <row r="137" spans="1:10" x14ac:dyDescent="0.2">
      <c r="A137" s="15" t="s">
        <v>224</v>
      </c>
      <c r="B137" s="8">
        <v>36.020000000000003</v>
      </c>
      <c r="C137" s="17">
        <v>0</v>
      </c>
      <c r="D137" s="17">
        <v>1</v>
      </c>
      <c r="E137" s="17">
        <v>0</v>
      </c>
      <c r="F137" s="20">
        <v>42795</v>
      </c>
      <c r="G137" s="17">
        <v>1</v>
      </c>
      <c r="I137" s="11">
        <v>42785</v>
      </c>
      <c r="J137" t="s">
        <v>220</v>
      </c>
    </row>
    <row r="138" spans="1:10" x14ac:dyDescent="0.2">
      <c r="A138" s="15" t="s">
        <v>225</v>
      </c>
      <c r="B138" s="8">
        <v>43</v>
      </c>
      <c r="C138" s="17">
        <v>0</v>
      </c>
      <c r="D138" s="17">
        <v>1</v>
      </c>
      <c r="E138" s="17">
        <v>0</v>
      </c>
      <c r="F138" s="20">
        <v>42795</v>
      </c>
      <c r="G138" s="17">
        <v>1</v>
      </c>
      <c r="I138" s="11">
        <v>42785</v>
      </c>
      <c r="J138" t="s">
        <v>220</v>
      </c>
    </row>
    <row r="139" spans="1:10" x14ac:dyDescent="0.2">
      <c r="A139" s="15" t="s">
        <v>226</v>
      </c>
      <c r="B139" s="8">
        <v>19.010000000000002</v>
      </c>
      <c r="C139" s="17">
        <v>0</v>
      </c>
      <c r="D139" s="17">
        <v>1</v>
      </c>
      <c r="E139" s="17">
        <v>0</v>
      </c>
      <c r="F139" s="20">
        <v>42795</v>
      </c>
      <c r="G139" s="17">
        <v>1</v>
      </c>
      <c r="I139" s="11">
        <v>42785</v>
      </c>
      <c r="J139" t="s">
        <v>220</v>
      </c>
    </row>
    <row r="140" spans="1:10" x14ac:dyDescent="0.2">
      <c r="A140" s="15" t="s">
        <v>227</v>
      </c>
      <c r="B140" s="8">
        <v>171.33</v>
      </c>
      <c r="C140" s="17">
        <v>0</v>
      </c>
      <c r="D140" s="17">
        <v>1</v>
      </c>
      <c r="E140" s="17">
        <v>0</v>
      </c>
      <c r="F140" s="20">
        <v>42795</v>
      </c>
      <c r="G140" s="17">
        <v>1</v>
      </c>
      <c r="I140" s="11">
        <v>42785</v>
      </c>
      <c r="J140" t="s">
        <v>33</v>
      </c>
    </row>
    <row r="141" spans="1:10" x14ac:dyDescent="0.2">
      <c r="A141" s="15" t="s">
        <v>228</v>
      </c>
      <c r="B141" s="8">
        <v>13.4</v>
      </c>
      <c r="C141" s="17">
        <v>0</v>
      </c>
      <c r="D141" s="17">
        <v>1</v>
      </c>
      <c r="E141" s="17">
        <v>0</v>
      </c>
      <c r="F141" s="20">
        <v>42795</v>
      </c>
      <c r="G141" s="17">
        <v>1</v>
      </c>
      <c r="I141" s="11">
        <v>42786</v>
      </c>
      <c r="J141" t="s">
        <v>59</v>
      </c>
    </row>
    <row r="142" spans="1:10" x14ac:dyDescent="0.2">
      <c r="A142" t="s">
        <v>229</v>
      </c>
      <c r="B142" s="8">
        <v>100.12</v>
      </c>
      <c r="C142" s="17">
        <v>0</v>
      </c>
      <c r="D142" s="17">
        <v>1</v>
      </c>
      <c r="E142" s="17">
        <v>0</v>
      </c>
      <c r="F142" s="20">
        <v>42795</v>
      </c>
      <c r="G142" s="17">
        <v>1</v>
      </c>
      <c r="I142" s="11">
        <v>42790</v>
      </c>
      <c r="J142" t="s">
        <v>104</v>
      </c>
    </row>
    <row r="143" spans="1:10" x14ac:dyDescent="0.2">
      <c r="A143" t="s">
        <v>157</v>
      </c>
      <c r="B143" s="8">
        <v>16.89</v>
      </c>
      <c r="C143" s="17">
        <v>0</v>
      </c>
      <c r="D143" s="17">
        <v>1</v>
      </c>
      <c r="E143" s="17">
        <v>0</v>
      </c>
      <c r="F143" s="20">
        <v>42795</v>
      </c>
      <c r="G143" s="17">
        <v>1</v>
      </c>
      <c r="I143" s="11">
        <v>42790</v>
      </c>
      <c r="J143" t="s">
        <v>72</v>
      </c>
    </row>
    <row r="144" spans="1:10" x14ac:dyDescent="0.2">
      <c r="A144" t="s">
        <v>230</v>
      </c>
      <c r="B144" s="8">
        <v>57.26</v>
      </c>
      <c r="C144" s="17">
        <v>0</v>
      </c>
      <c r="D144" s="17">
        <v>1</v>
      </c>
      <c r="E144" s="17">
        <v>0</v>
      </c>
      <c r="F144" s="20">
        <v>42795</v>
      </c>
      <c r="G144" s="17">
        <v>1</v>
      </c>
      <c r="I144" s="11">
        <v>42792</v>
      </c>
      <c r="J144" t="s">
        <v>29</v>
      </c>
    </row>
    <row r="145" spans="1:10" x14ac:dyDescent="0.2">
      <c r="A145" t="s">
        <v>231</v>
      </c>
      <c r="B145" s="8">
        <v>29.49</v>
      </c>
      <c r="C145" s="17">
        <v>0</v>
      </c>
      <c r="D145" s="17">
        <v>1</v>
      </c>
      <c r="E145" s="17">
        <v>0</v>
      </c>
      <c r="F145" s="20">
        <v>42795</v>
      </c>
      <c r="G145" s="17">
        <v>1</v>
      </c>
      <c r="I145" s="11">
        <v>42792</v>
      </c>
      <c r="J145" t="s">
        <v>29</v>
      </c>
    </row>
    <row r="146" spans="1:10" x14ac:dyDescent="0.2">
      <c r="A146" t="s">
        <v>259</v>
      </c>
      <c r="B146" s="8">
        <v>185.05</v>
      </c>
      <c r="C146" s="17">
        <v>0</v>
      </c>
      <c r="D146" s="17">
        <v>1</v>
      </c>
      <c r="E146" s="17">
        <v>0</v>
      </c>
      <c r="F146" s="20">
        <v>42795</v>
      </c>
      <c r="G146" s="17">
        <v>1</v>
      </c>
      <c r="H146" s="2"/>
      <c r="I146" s="23">
        <v>42792</v>
      </c>
      <c r="J146" t="s">
        <v>33</v>
      </c>
    </row>
    <row r="147" spans="1:10" x14ac:dyDescent="0.2">
      <c r="A147" t="s">
        <v>260</v>
      </c>
      <c r="B147" s="8">
        <v>9.94</v>
      </c>
      <c r="C147" s="17">
        <v>0</v>
      </c>
      <c r="D147" s="17">
        <v>1</v>
      </c>
      <c r="E147" s="17">
        <v>0</v>
      </c>
      <c r="F147" s="20">
        <v>42795</v>
      </c>
      <c r="G147" s="17">
        <v>1</v>
      </c>
      <c r="H147" s="2"/>
      <c r="I147" s="23">
        <v>42795</v>
      </c>
      <c r="J147" t="s">
        <v>261</v>
      </c>
    </row>
    <row r="148" spans="1:10" x14ac:dyDescent="0.2">
      <c r="A148" t="s">
        <v>132</v>
      </c>
      <c r="B148" s="8">
        <v>199.81</v>
      </c>
      <c r="C148" s="17">
        <v>0</v>
      </c>
      <c r="D148" s="17">
        <v>1</v>
      </c>
      <c r="E148" s="17">
        <v>0</v>
      </c>
      <c r="F148" s="20">
        <v>42795</v>
      </c>
      <c r="G148" s="17">
        <v>1</v>
      </c>
      <c r="I148" s="11">
        <v>42796</v>
      </c>
      <c r="J148" t="s">
        <v>29</v>
      </c>
    </row>
    <row r="149" spans="1:10" x14ac:dyDescent="0.2">
      <c r="A149" t="s">
        <v>265</v>
      </c>
      <c r="B149" s="8">
        <v>33</v>
      </c>
      <c r="C149" s="17">
        <v>0</v>
      </c>
      <c r="D149" s="17">
        <v>1</v>
      </c>
      <c r="E149" s="17">
        <v>0</v>
      </c>
      <c r="F149" s="20">
        <v>42795</v>
      </c>
      <c r="G149" s="17">
        <v>1</v>
      </c>
      <c r="I149" s="11">
        <v>42797</v>
      </c>
      <c r="J149" t="s">
        <v>59</v>
      </c>
    </row>
    <row r="150" spans="1:10" x14ac:dyDescent="0.2">
      <c r="A150" t="s">
        <v>266</v>
      </c>
      <c r="B150" s="8">
        <v>88.55</v>
      </c>
      <c r="C150" s="17">
        <v>0</v>
      </c>
      <c r="D150" s="17">
        <v>1</v>
      </c>
      <c r="E150" s="17">
        <v>0</v>
      </c>
      <c r="F150" s="20">
        <v>42795</v>
      </c>
      <c r="G150" s="17">
        <v>1</v>
      </c>
      <c r="I150" s="11">
        <v>42798</v>
      </c>
      <c r="J150" t="s">
        <v>82</v>
      </c>
    </row>
    <row r="151" spans="1:10" x14ac:dyDescent="0.2">
      <c r="A151" t="s">
        <v>267</v>
      </c>
      <c r="B151" s="8">
        <v>39.6</v>
      </c>
      <c r="C151" s="17">
        <v>0</v>
      </c>
      <c r="D151" s="17">
        <v>1</v>
      </c>
      <c r="E151" s="17">
        <v>0</v>
      </c>
      <c r="F151" s="20">
        <v>42795</v>
      </c>
      <c r="G151" s="17">
        <v>1</v>
      </c>
      <c r="I151" s="11">
        <v>42798</v>
      </c>
      <c r="J151" t="s">
        <v>144</v>
      </c>
    </row>
    <row r="152" spans="1:10" x14ac:dyDescent="0.2">
      <c r="A152" t="s">
        <v>295</v>
      </c>
      <c r="B152" s="8">
        <v>23.4</v>
      </c>
      <c r="C152" s="17">
        <v>0</v>
      </c>
      <c r="D152" s="17">
        <v>1</v>
      </c>
      <c r="E152" s="17">
        <v>0</v>
      </c>
      <c r="F152" s="20">
        <v>42795</v>
      </c>
      <c r="G152" s="17">
        <v>1</v>
      </c>
      <c r="I152" s="11">
        <v>42799</v>
      </c>
      <c r="J152" t="s">
        <v>82</v>
      </c>
    </row>
    <row r="153" spans="1:10" x14ac:dyDescent="0.2">
      <c r="A153" t="s">
        <v>157</v>
      </c>
      <c r="B153" s="8">
        <v>16.38</v>
      </c>
      <c r="C153" s="17">
        <v>0</v>
      </c>
      <c r="D153" s="17">
        <v>1</v>
      </c>
      <c r="E153" s="17">
        <v>0</v>
      </c>
      <c r="F153" s="20">
        <v>42795</v>
      </c>
      <c r="G153" s="17">
        <v>1</v>
      </c>
      <c r="I153" s="11">
        <v>42799</v>
      </c>
      <c r="J153" t="s">
        <v>72</v>
      </c>
    </row>
    <row r="154" spans="1:10" x14ac:dyDescent="0.2">
      <c r="A154" t="s">
        <v>261</v>
      </c>
      <c r="B154" s="8">
        <v>52.7</v>
      </c>
      <c r="C154" s="17">
        <v>0</v>
      </c>
      <c r="D154" s="17">
        <v>1</v>
      </c>
      <c r="E154" s="17">
        <v>0</v>
      </c>
      <c r="F154" s="20">
        <v>42795</v>
      </c>
      <c r="G154" s="17">
        <v>1</v>
      </c>
      <c r="H154" s="2"/>
      <c r="I154" s="23">
        <v>42803</v>
      </c>
      <c r="J154" t="s">
        <v>261</v>
      </c>
    </row>
    <row r="155" spans="1:10" x14ac:dyDescent="0.2">
      <c r="A155" t="s">
        <v>261</v>
      </c>
      <c r="B155" s="8">
        <v>13.08</v>
      </c>
      <c r="C155" s="17">
        <v>0</v>
      </c>
      <c r="D155" s="17">
        <v>1</v>
      </c>
      <c r="E155" s="17">
        <v>0</v>
      </c>
      <c r="F155" s="20">
        <v>42795</v>
      </c>
      <c r="G155" s="17">
        <v>1</v>
      </c>
      <c r="H155" s="2"/>
      <c r="I155" s="23">
        <v>42803</v>
      </c>
      <c r="J155" t="s">
        <v>261</v>
      </c>
    </row>
    <row r="156" spans="1:10" x14ac:dyDescent="0.2">
      <c r="A156" s="56" t="s">
        <v>213</v>
      </c>
      <c r="B156" s="8">
        <v>41</v>
      </c>
      <c r="C156" s="17">
        <v>0</v>
      </c>
      <c r="D156" s="17">
        <v>1</v>
      </c>
      <c r="E156" s="17">
        <v>0</v>
      </c>
      <c r="F156" s="20">
        <v>42826</v>
      </c>
      <c r="G156" s="17">
        <v>0</v>
      </c>
      <c r="H156" s="2"/>
      <c r="I156" s="23">
        <v>42770</v>
      </c>
      <c r="J156" s="2" t="s">
        <v>59</v>
      </c>
    </row>
    <row r="157" spans="1:10" x14ac:dyDescent="0.2">
      <c r="A157" s="2" t="s">
        <v>378</v>
      </c>
      <c r="B157" s="8">
        <v>143.5</v>
      </c>
      <c r="C157" s="17">
        <v>0</v>
      </c>
      <c r="D157" s="17">
        <v>1</v>
      </c>
      <c r="E157" s="17">
        <v>0</v>
      </c>
      <c r="F157" s="20">
        <v>42826</v>
      </c>
      <c r="G157" s="17">
        <v>0</v>
      </c>
      <c r="H157" s="2"/>
      <c r="I157" s="23">
        <v>42782</v>
      </c>
      <c r="J157" s="2" t="s">
        <v>59</v>
      </c>
    </row>
    <row r="158" spans="1:10" x14ac:dyDescent="0.2">
      <c r="A158" s="2" t="s">
        <v>379</v>
      </c>
      <c r="B158" s="8">
        <v>16.899999999999999</v>
      </c>
      <c r="C158" s="17">
        <v>0</v>
      </c>
      <c r="D158" s="17">
        <v>1</v>
      </c>
      <c r="E158" s="17">
        <v>0</v>
      </c>
      <c r="F158" s="20">
        <v>42826</v>
      </c>
      <c r="G158" s="17">
        <v>0</v>
      </c>
      <c r="H158" s="2"/>
      <c r="I158" s="23">
        <v>42801</v>
      </c>
      <c r="J158" s="2" t="s">
        <v>379</v>
      </c>
    </row>
    <row r="159" spans="1:10" x14ac:dyDescent="0.2">
      <c r="A159" t="s">
        <v>380</v>
      </c>
      <c r="B159" s="16">
        <v>33</v>
      </c>
      <c r="C159" s="17">
        <v>0</v>
      </c>
      <c r="D159" s="17">
        <v>1</v>
      </c>
      <c r="E159" s="17">
        <v>0</v>
      </c>
      <c r="F159" s="20">
        <v>42826</v>
      </c>
      <c r="G159" s="17">
        <v>0</v>
      </c>
      <c r="H159" s="2"/>
      <c r="I159" s="23">
        <v>42814</v>
      </c>
      <c r="J159" s="2" t="s">
        <v>67</v>
      </c>
    </row>
    <row r="160" spans="1:10" x14ac:dyDescent="0.2">
      <c r="A160" t="s">
        <v>122</v>
      </c>
      <c r="B160" s="8">
        <v>89.8</v>
      </c>
      <c r="C160" s="17">
        <v>0</v>
      </c>
      <c r="D160" s="17">
        <v>1</v>
      </c>
      <c r="E160" s="17">
        <v>0</v>
      </c>
      <c r="F160" s="20">
        <v>42826</v>
      </c>
      <c r="G160" s="17">
        <v>0</v>
      </c>
      <c r="H160" s="2"/>
      <c r="I160" s="23">
        <v>42814</v>
      </c>
      <c r="J160" s="2" t="s">
        <v>123</v>
      </c>
    </row>
    <row r="161" spans="1:10" x14ac:dyDescent="0.2">
      <c r="A161" t="s">
        <v>124</v>
      </c>
      <c r="B161" s="8">
        <v>22.9</v>
      </c>
      <c r="C161" s="17">
        <v>0</v>
      </c>
      <c r="D161" s="17">
        <v>1</v>
      </c>
      <c r="E161" s="17">
        <v>0</v>
      </c>
      <c r="F161" s="20">
        <v>42826</v>
      </c>
      <c r="G161" s="17">
        <v>0</v>
      </c>
      <c r="H161" s="2"/>
      <c r="I161" s="23">
        <v>42823</v>
      </c>
      <c r="J161" s="2" t="s">
        <v>125</v>
      </c>
    </row>
    <row r="162" spans="1:10" x14ac:dyDescent="0.2">
      <c r="A162" t="s">
        <v>335</v>
      </c>
      <c r="B162" s="8">
        <v>63</v>
      </c>
      <c r="C162" s="17">
        <v>0</v>
      </c>
      <c r="D162" s="17">
        <v>1</v>
      </c>
      <c r="E162" s="17">
        <v>0</v>
      </c>
      <c r="F162" s="20">
        <v>42826</v>
      </c>
      <c r="G162" s="17">
        <v>0</v>
      </c>
      <c r="H162" s="2"/>
      <c r="I162" s="23">
        <v>42823</v>
      </c>
      <c r="J162" s="2" t="s">
        <v>261</v>
      </c>
    </row>
  </sheetData>
  <autoFilter ref="A1:K159"/>
  <pageMargins left="0.51180555555555496" right="0.51180555555555496" top="0.78749999999999998" bottom="0.78749999999999998" header="0.51180555555555496" footer="0.51180555555555496"/>
  <pageSetup paperSize="9" firstPageNumber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"/>
  <sheetViews>
    <sheetView zoomScaleNormal="100" workbookViewId="0"/>
  </sheetViews>
  <sheetFormatPr defaultRowHeight="12.75" x14ac:dyDescent="0.2"/>
  <cols>
    <col min="1" max="1" width="37.5703125"/>
    <col min="2" max="2" width="9.85546875"/>
    <col min="3" max="3" width="18.7109375" style="1"/>
    <col min="4" max="4" width="19.5703125"/>
    <col min="5" max="5" width="12.42578125"/>
    <col min="6" max="6" width="21.5703125"/>
    <col min="8" max="8" width="23.5703125"/>
  </cols>
  <sheetData>
    <row r="1" spans="1:10" x14ac:dyDescent="0.2">
      <c r="A1" t="s">
        <v>232</v>
      </c>
      <c r="B1" t="s">
        <v>233</v>
      </c>
      <c r="C1" s="1" t="s">
        <v>234</v>
      </c>
      <c r="D1" t="s">
        <v>235</v>
      </c>
      <c r="E1" t="s">
        <v>236</v>
      </c>
      <c r="F1" t="s">
        <v>237</v>
      </c>
      <c r="G1" t="s">
        <v>238</v>
      </c>
      <c r="H1" t="s">
        <v>239</v>
      </c>
      <c r="I1" t="s">
        <v>2</v>
      </c>
      <c r="J1" t="s">
        <v>240</v>
      </c>
    </row>
  </sheetData>
  <pageMargins left="0.51180555555555496" right="0.51180555555555496" top="0.78749999999999998" bottom="0.78749999999999998" header="0.51180555555555496" footer="0.51180555555555496"/>
  <pageSetup paperSize="0" scale="0" firstPageNumber="0" orientation="portrait" usePrinterDefaults="0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9"/>
  <sheetViews>
    <sheetView zoomScaleNormal="100" workbookViewId="0">
      <selection activeCell="L29" sqref="L29"/>
    </sheetView>
  </sheetViews>
  <sheetFormatPr defaultRowHeight="12.75" x14ac:dyDescent="0.2"/>
  <cols>
    <col min="1" max="1" width="11.28515625"/>
    <col min="2" max="2" width="15"/>
    <col min="3" max="3" width="15.28515625"/>
    <col min="4" max="8" width="13.7109375"/>
    <col min="9" max="1025" width="9.85546875"/>
  </cols>
  <sheetData>
    <row r="1" spans="1:9" x14ac:dyDescent="0.2">
      <c r="A1">
        <v>1397.37</v>
      </c>
    </row>
    <row r="2" spans="1:9" x14ac:dyDescent="0.2">
      <c r="A2">
        <v>36.28</v>
      </c>
      <c r="B2" t="s">
        <v>241</v>
      </c>
    </row>
    <row r="3" spans="1:9" x14ac:dyDescent="0.2">
      <c r="A3">
        <v>5625.76</v>
      </c>
    </row>
    <row r="4" spans="1:9" x14ac:dyDescent="0.2">
      <c r="A4">
        <v>4935.1499999999996</v>
      </c>
    </row>
    <row r="5" spans="1:9" x14ac:dyDescent="0.2">
      <c r="A5">
        <v>8.99</v>
      </c>
      <c r="B5" t="s">
        <v>242</v>
      </c>
    </row>
    <row r="6" spans="1:9" x14ac:dyDescent="0.2">
      <c r="A6">
        <v>109.38</v>
      </c>
      <c r="B6" t="s">
        <v>243</v>
      </c>
    </row>
    <row r="7" spans="1:9" x14ac:dyDescent="0.2">
      <c r="A7">
        <v>9.52</v>
      </c>
      <c r="B7" t="s">
        <v>244</v>
      </c>
    </row>
    <row r="8" spans="1:9" x14ac:dyDescent="0.2">
      <c r="A8">
        <v>202.33</v>
      </c>
      <c r="B8" t="s">
        <v>245</v>
      </c>
    </row>
    <row r="10" spans="1:9" x14ac:dyDescent="0.2">
      <c r="A10" s="8" t="s">
        <v>246</v>
      </c>
      <c r="B10" s="8" t="s">
        <v>247</v>
      </c>
      <c r="C10" s="8" t="s">
        <v>248</v>
      </c>
      <c r="D10" s="8" t="s">
        <v>9</v>
      </c>
      <c r="E10" s="8" t="s">
        <v>249</v>
      </c>
      <c r="F10" s="8" t="s">
        <v>250</v>
      </c>
      <c r="G10" s="8" t="s">
        <v>251</v>
      </c>
      <c r="H10" s="8" t="s">
        <v>252</v>
      </c>
      <c r="I10" s="8" t="s">
        <v>253</v>
      </c>
    </row>
    <row r="11" spans="1:9" x14ac:dyDescent="0.2">
      <c r="A11" s="29">
        <v>42736</v>
      </c>
      <c r="B11" s="30">
        <v>11496.26</v>
      </c>
      <c r="C11" s="30">
        <v>7286.81</v>
      </c>
      <c r="D11" s="30">
        <v>1870.11</v>
      </c>
      <c r="E11" s="30">
        <v>0</v>
      </c>
      <c r="F11" s="30">
        <v>0</v>
      </c>
      <c r="G11" s="30">
        <v>9156.92</v>
      </c>
      <c r="H11" s="30">
        <v>2339.34</v>
      </c>
    </row>
    <row r="12" spans="1:9" x14ac:dyDescent="0.2">
      <c r="A12" s="29">
        <v>42767</v>
      </c>
      <c r="B12" s="30">
        <v>8817</v>
      </c>
      <c r="C12" s="30">
        <v>0</v>
      </c>
      <c r="D12" s="30">
        <v>0</v>
      </c>
      <c r="E12" s="30">
        <v>5118.58</v>
      </c>
      <c r="F12" s="30">
        <v>1999.78</v>
      </c>
      <c r="G12" s="30">
        <v>5118.58</v>
      </c>
      <c r="H12" s="30">
        <v>4037.98</v>
      </c>
    </row>
    <row r="13" spans="1:9" x14ac:dyDescent="0.2">
      <c r="A13" s="29">
        <v>42795</v>
      </c>
      <c r="B13" s="30">
        <v>8517</v>
      </c>
      <c r="C13" s="30">
        <v>0</v>
      </c>
      <c r="D13" s="30">
        <v>0</v>
      </c>
      <c r="E13" s="30">
        <v>6610.65</v>
      </c>
      <c r="F13" s="30">
        <v>2087.7800000000002</v>
      </c>
      <c r="G13" s="30">
        <v>6610.65</v>
      </c>
      <c r="H13" s="30">
        <v>3856.55</v>
      </c>
    </row>
    <row r="14" spans="1:9" x14ac:dyDescent="0.2">
      <c r="A14" s="29">
        <v>42826</v>
      </c>
      <c r="B14" s="30">
        <v>8517</v>
      </c>
      <c r="C14" s="30">
        <v>0</v>
      </c>
      <c r="D14" s="30">
        <v>0</v>
      </c>
      <c r="E14" s="30">
        <v>5077.33</v>
      </c>
      <c r="F14" s="30">
        <v>2087.7800000000002</v>
      </c>
      <c r="G14" s="30">
        <v>5077.33</v>
      </c>
      <c r="H14" s="30">
        <v>5208.4399999999996</v>
      </c>
    </row>
    <row r="15" spans="1:9" x14ac:dyDescent="0.2">
      <c r="A15" s="29">
        <v>42856</v>
      </c>
      <c r="B15" s="30">
        <v>8517</v>
      </c>
      <c r="C15" s="30">
        <v>0</v>
      </c>
      <c r="D15" s="30">
        <v>0</v>
      </c>
      <c r="E15" s="30">
        <v>5147.33</v>
      </c>
      <c r="F15" s="30">
        <v>2087.7800000000002</v>
      </c>
      <c r="G15" s="30">
        <v>5147.33</v>
      </c>
      <c r="H15" s="30">
        <v>6490.33</v>
      </c>
    </row>
    <row r="18" spans="1:13" x14ac:dyDescent="0.2">
      <c r="A18" s="8" t="s">
        <v>246</v>
      </c>
      <c r="B18" s="8" t="s">
        <v>247</v>
      </c>
      <c r="C18" s="8" t="s">
        <v>248</v>
      </c>
      <c r="D18" s="8" t="s">
        <v>9</v>
      </c>
      <c r="E18" s="8" t="s">
        <v>249</v>
      </c>
      <c r="F18" s="8" t="s">
        <v>250</v>
      </c>
      <c r="G18" s="8" t="s">
        <v>251</v>
      </c>
      <c r="H18" s="8" t="s">
        <v>252</v>
      </c>
      <c r="I18" s="8" t="s">
        <v>254</v>
      </c>
    </row>
    <row r="19" spans="1:13" x14ac:dyDescent="0.2">
      <c r="A19" s="29">
        <v>42736</v>
      </c>
      <c r="B19" s="30">
        <v>11496.26</v>
      </c>
      <c r="C19" s="30">
        <v>7286.81</v>
      </c>
      <c r="D19" s="30">
        <v>1870.11</v>
      </c>
      <c r="E19" s="30">
        <v>0</v>
      </c>
      <c r="F19" s="30">
        <v>0</v>
      </c>
      <c r="G19" s="30">
        <v>9156.92</v>
      </c>
      <c r="H19" s="30">
        <v>2339.34</v>
      </c>
    </row>
    <row r="20" spans="1:13" x14ac:dyDescent="0.2">
      <c r="A20" s="31">
        <v>42767</v>
      </c>
      <c r="B20" s="32">
        <v>8817</v>
      </c>
      <c r="C20" s="32">
        <v>0</v>
      </c>
      <c r="D20" s="32">
        <v>0</v>
      </c>
      <c r="E20" s="32">
        <v>8656.02</v>
      </c>
      <c r="F20" s="32">
        <v>1999.78</v>
      </c>
      <c r="G20" s="32">
        <v>8656.02</v>
      </c>
      <c r="H20" s="32">
        <v>500.54</v>
      </c>
      <c r="I20" s="27" t="s">
        <v>255</v>
      </c>
      <c r="J20" s="27"/>
    </row>
    <row r="21" spans="1:13" x14ac:dyDescent="0.2">
      <c r="A21" s="31">
        <v>42795</v>
      </c>
      <c r="B21" s="32">
        <v>8517</v>
      </c>
      <c r="C21" s="32">
        <v>0</v>
      </c>
      <c r="D21" s="32">
        <v>0</v>
      </c>
      <c r="E21" s="32">
        <v>5213.28</v>
      </c>
      <c r="F21" s="32">
        <v>2087.7800000000002</v>
      </c>
      <c r="G21" s="32">
        <v>5213.28</v>
      </c>
      <c r="H21" s="32">
        <v>1716.48</v>
      </c>
      <c r="I21" s="27" t="s">
        <v>255</v>
      </c>
      <c r="J21" s="27"/>
    </row>
    <row r="22" spans="1:13" x14ac:dyDescent="0.2">
      <c r="A22" s="31">
        <v>42826</v>
      </c>
      <c r="B22" s="32">
        <v>8517</v>
      </c>
      <c r="C22" s="32">
        <v>0</v>
      </c>
      <c r="D22" s="32">
        <v>0</v>
      </c>
      <c r="E22" s="32">
        <v>3679.96</v>
      </c>
      <c r="F22" s="32">
        <v>2087.7800000000002</v>
      </c>
      <c r="G22" s="32">
        <v>3679.96</v>
      </c>
      <c r="H22" s="32">
        <v>4465.74</v>
      </c>
      <c r="I22" s="27" t="s">
        <v>255</v>
      </c>
      <c r="J22" s="27"/>
    </row>
    <row r="23" spans="1:13" x14ac:dyDescent="0.2">
      <c r="A23" s="31">
        <v>42856</v>
      </c>
      <c r="B23" s="32">
        <v>8517</v>
      </c>
      <c r="C23" s="32">
        <v>0</v>
      </c>
      <c r="D23" s="32">
        <v>0</v>
      </c>
      <c r="E23" s="32">
        <v>3749.96</v>
      </c>
      <c r="F23" s="32">
        <v>2087.7800000000002</v>
      </c>
      <c r="G23" s="32">
        <v>3749.96</v>
      </c>
      <c r="H23" s="32">
        <v>7145</v>
      </c>
      <c r="I23" s="27" t="s">
        <v>255</v>
      </c>
      <c r="J23" s="27"/>
    </row>
    <row r="25" spans="1:13" x14ac:dyDescent="0.2">
      <c r="A25" s="8" t="s">
        <v>246</v>
      </c>
      <c r="B25" s="8" t="s">
        <v>247</v>
      </c>
      <c r="C25" s="8" t="s">
        <v>248</v>
      </c>
      <c r="D25" s="8" t="s">
        <v>9</v>
      </c>
      <c r="E25" s="8" t="s">
        <v>249</v>
      </c>
      <c r="F25" s="8" t="s">
        <v>250</v>
      </c>
      <c r="G25" s="8" t="s">
        <v>251</v>
      </c>
      <c r="H25" s="8" t="s">
        <v>252</v>
      </c>
      <c r="I25" s="8" t="s">
        <v>256</v>
      </c>
    </row>
    <row r="26" spans="1:13" x14ac:dyDescent="0.2">
      <c r="A26" s="29">
        <v>42736</v>
      </c>
      <c r="B26" s="30">
        <v>11496.26</v>
      </c>
      <c r="C26" s="30">
        <v>7286.81</v>
      </c>
      <c r="D26" s="30">
        <v>1870.11</v>
      </c>
      <c r="E26" s="30">
        <v>0</v>
      </c>
      <c r="F26" s="30">
        <v>0</v>
      </c>
      <c r="G26" s="30">
        <v>9156.92</v>
      </c>
      <c r="H26" s="30">
        <v>2339.34</v>
      </c>
    </row>
    <row r="27" spans="1:13" x14ac:dyDescent="0.2">
      <c r="A27" s="33">
        <v>42767</v>
      </c>
      <c r="B27" s="34">
        <v>8817</v>
      </c>
      <c r="C27" s="34">
        <v>0</v>
      </c>
      <c r="D27" s="34">
        <v>0</v>
      </c>
      <c r="E27" s="34">
        <v>6874.58</v>
      </c>
      <c r="F27" s="34">
        <v>1999.78</v>
      </c>
      <c r="G27" s="34">
        <v>6874.58</v>
      </c>
      <c r="H27" s="34">
        <v>2281.98</v>
      </c>
      <c r="I27" s="3" t="s">
        <v>257</v>
      </c>
      <c r="J27" s="8"/>
    </row>
    <row r="28" spans="1:13" x14ac:dyDescent="0.2">
      <c r="A28" s="33"/>
      <c r="B28" s="34"/>
      <c r="C28" s="34"/>
      <c r="D28" s="34"/>
      <c r="E28" s="34"/>
      <c r="F28" s="34"/>
      <c r="G28" s="34"/>
      <c r="H28" s="34"/>
      <c r="I28" s="3"/>
      <c r="J28" s="8"/>
    </row>
    <row r="29" spans="1:13" x14ac:dyDescent="0.2">
      <c r="A29" s="35">
        <v>42795</v>
      </c>
      <c r="B29" s="32">
        <v>8517</v>
      </c>
      <c r="C29" s="32">
        <v>0</v>
      </c>
      <c r="D29" s="32">
        <v>0</v>
      </c>
      <c r="E29" s="32">
        <v>5213.28</v>
      </c>
      <c r="F29" s="32">
        <v>2087.7800000000002</v>
      </c>
      <c r="G29" s="32">
        <v>5213.28</v>
      </c>
      <c r="H29" s="32">
        <v>3497.92</v>
      </c>
      <c r="I29" s="10" t="s">
        <v>257</v>
      </c>
      <c r="J29" s="10"/>
      <c r="K29" s="2"/>
      <c r="L29" s="2"/>
      <c r="M29" s="2"/>
    </row>
    <row r="30" spans="1:13" x14ac:dyDescent="0.2">
      <c r="A30" s="31">
        <v>42826</v>
      </c>
      <c r="B30" s="32">
        <v>8517</v>
      </c>
      <c r="C30" s="32">
        <v>0</v>
      </c>
      <c r="D30" s="32">
        <v>0</v>
      </c>
      <c r="E30" s="32">
        <v>5461.4</v>
      </c>
      <c r="F30" s="32">
        <v>2087.7800000000002</v>
      </c>
      <c r="G30" s="32">
        <v>5461.4</v>
      </c>
      <c r="H30" s="32">
        <v>4465.74</v>
      </c>
      <c r="I30" s="27" t="s">
        <v>255</v>
      </c>
      <c r="J30" s="27"/>
      <c r="K30" s="2"/>
      <c r="L30" s="2"/>
      <c r="M30" s="2"/>
    </row>
    <row r="31" spans="1:13" x14ac:dyDescent="0.2">
      <c r="A31" s="31">
        <v>42856</v>
      </c>
      <c r="B31" s="32">
        <v>8517</v>
      </c>
      <c r="C31" s="32">
        <v>0</v>
      </c>
      <c r="D31" s="32">
        <v>0</v>
      </c>
      <c r="E31" s="32">
        <v>3749.96</v>
      </c>
      <c r="F31" s="32">
        <v>2087.7800000000002</v>
      </c>
      <c r="G31" s="32">
        <v>3749.96</v>
      </c>
      <c r="H31" s="32">
        <v>7145</v>
      </c>
      <c r="I31" s="27" t="s">
        <v>255</v>
      </c>
      <c r="J31" s="27"/>
    </row>
    <row r="32" spans="1:13" x14ac:dyDescent="0.2">
      <c r="A32" s="29"/>
      <c r="B32" s="30"/>
      <c r="C32" s="30"/>
      <c r="D32" s="30"/>
      <c r="E32" s="30"/>
      <c r="F32" s="30"/>
      <c r="G32" s="30"/>
      <c r="H32" s="30"/>
    </row>
    <row r="33" spans="1:10" x14ac:dyDescent="0.2">
      <c r="A33" s="31">
        <v>42795</v>
      </c>
      <c r="B33" s="32">
        <v>8517</v>
      </c>
      <c r="C33" s="32">
        <v>0</v>
      </c>
      <c r="D33" s="32">
        <v>0</v>
      </c>
      <c r="E33" s="32">
        <v>6994.72</v>
      </c>
      <c r="F33" s="32">
        <v>2087.7800000000002</v>
      </c>
      <c r="G33" s="32">
        <v>6994.72</v>
      </c>
      <c r="H33" s="32">
        <v>1716.48</v>
      </c>
      <c r="I33" s="27" t="s">
        <v>255</v>
      </c>
      <c r="J33" s="27"/>
    </row>
    <row r="34" spans="1:10" x14ac:dyDescent="0.2">
      <c r="A34" s="31">
        <v>42826</v>
      </c>
      <c r="B34" s="32">
        <v>8517</v>
      </c>
      <c r="C34" s="32">
        <v>0</v>
      </c>
      <c r="D34" s="32">
        <v>0</v>
      </c>
      <c r="E34" s="32">
        <v>3679.96</v>
      </c>
      <c r="F34" s="32">
        <v>2087.7800000000002</v>
      </c>
      <c r="G34" s="32">
        <v>3679.96</v>
      </c>
      <c r="H34" s="32">
        <v>4465.74</v>
      </c>
      <c r="I34" s="27" t="s">
        <v>255</v>
      </c>
      <c r="J34" s="27"/>
    </row>
    <row r="35" spans="1:10" x14ac:dyDescent="0.2">
      <c r="A35" s="31">
        <v>42856</v>
      </c>
      <c r="B35" s="32">
        <v>8517</v>
      </c>
      <c r="C35" s="32">
        <v>0</v>
      </c>
      <c r="D35" s="32">
        <v>0</v>
      </c>
      <c r="E35" s="32">
        <v>3749.96</v>
      </c>
      <c r="F35" s="32">
        <v>2087.7800000000002</v>
      </c>
      <c r="G35" s="32">
        <v>3749.96</v>
      </c>
      <c r="H35" s="32">
        <v>7145</v>
      </c>
      <c r="I35" s="27" t="s">
        <v>255</v>
      </c>
      <c r="J35" s="27"/>
    </row>
    <row r="37" spans="1:10" x14ac:dyDescent="0.2">
      <c r="A37" s="31">
        <v>42795</v>
      </c>
      <c r="B37" s="32">
        <v>8517</v>
      </c>
      <c r="C37" s="32">
        <v>0</v>
      </c>
      <c r="D37" s="32">
        <v>0</v>
      </c>
      <c r="E37" s="32">
        <v>5213.28</v>
      </c>
      <c r="F37" s="32">
        <v>2087.7800000000002</v>
      </c>
      <c r="G37" s="32">
        <v>5213.28</v>
      </c>
      <c r="H37" s="32">
        <v>3497.92</v>
      </c>
      <c r="I37" s="10" t="s">
        <v>257</v>
      </c>
      <c r="J37" s="10"/>
    </row>
    <row r="38" spans="1:10" x14ac:dyDescent="0.2">
      <c r="A38" s="31">
        <v>42826</v>
      </c>
      <c r="B38" s="32">
        <v>8517</v>
      </c>
      <c r="C38" s="32">
        <v>0</v>
      </c>
      <c r="D38" s="32">
        <v>0</v>
      </c>
      <c r="E38" s="32">
        <v>3679.96</v>
      </c>
      <c r="F38" s="32">
        <v>2087.7800000000002</v>
      </c>
      <c r="G38" s="32">
        <v>3679.96</v>
      </c>
      <c r="H38" s="32">
        <v>6247.18</v>
      </c>
      <c r="I38" s="10" t="s">
        <v>257</v>
      </c>
      <c r="J38" s="10"/>
    </row>
    <row r="39" spans="1:10" x14ac:dyDescent="0.2">
      <c r="A39" s="31">
        <v>42856</v>
      </c>
      <c r="B39" s="32">
        <v>8517</v>
      </c>
      <c r="C39" s="32">
        <v>0</v>
      </c>
      <c r="D39" s="32">
        <v>0</v>
      </c>
      <c r="E39" s="32">
        <v>5531.4</v>
      </c>
      <c r="F39" s="32">
        <v>2087.7800000000002</v>
      </c>
      <c r="G39" s="32">
        <v>5531.4</v>
      </c>
      <c r="H39" s="32">
        <v>7145</v>
      </c>
      <c r="I39" s="27" t="s">
        <v>255</v>
      </c>
      <c r="J39" s="27"/>
    </row>
  </sheetData>
  <pageMargins left="0.51180555555555496" right="0.51180555555555496" top="0.78749999999999998" bottom="0.78749999999999998" header="0.51180555555555496" footer="0.51180555555555496"/>
  <pageSetup paperSize="0" scale="0" firstPageNumber="0" orientation="portrait" usePrinterDefaults="0" horizontalDpi="0" verticalDpi="0" copie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"/>
  <sheetViews>
    <sheetView topLeftCell="G1" zoomScale="78" zoomScaleNormal="78" workbookViewId="0">
      <selection activeCell="I2" sqref="I2:I7"/>
    </sheetView>
  </sheetViews>
  <sheetFormatPr defaultRowHeight="12.75" x14ac:dyDescent="0.2"/>
  <cols>
    <col min="1" max="1" width="12.28515625"/>
    <col min="2" max="2" width="25"/>
    <col min="3" max="3" width="25.140625"/>
    <col min="4" max="4" width="21.5703125"/>
    <col min="5" max="5" width="23.28515625"/>
    <col min="6" max="6" width="28.28515625"/>
    <col min="7" max="8" width="22"/>
    <col min="9" max="9" width="26.42578125"/>
    <col min="10" max="10" width="21.5703125"/>
    <col min="11" max="13" width="19.42578125"/>
  </cols>
  <sheetData>
    <row r="1" spans="1:12" x14ac:dyDescent="0.2">
      <c r="A1" s="36" t="s">
        <v>246</v>
      </c>
      <c r="B1" s="36" t="s">
        <v>247</v>
      </c>
      <c r="C1" s="37" t="s">
        <v>248</v>
      </c>
      <c r="D1" s="36" t="s">
        <v>9</v>
      </c>
      <c r="E1" s="36" t="s">
        <v>249</v>
      </c>
      <c r="F1" s="36" t="s">
        <v>250</v>
      </c>
      <c r="G1" s="36" t="s">
        <v>251</v>
      </c>
      <c r="H1" s="37" t="s">
        <v>252</v>
      </c>
      <c r="I1" s="38"/>
      <c r="J1" s="38"/>
      <c r="K1" s="5"/>
      <c r="L1" s="5"/>
    </row>
    <row r="2" spans="1:12" x14ac:dyDescent="0.2">
      <c r="A2" s="29">
        <v>42736</v>
      </c>
      <c r="B2" s="39">
        <v>11496.26</v>
      </c>
      <c r="C2" s="39">
        <v>7286.8099999999995</v>
      </c>
      <c r="D2" s="39">
        <v>1870.11</v>
      </c>
      <c r="E2" s="39">
        <v>0</v>
      </c>
      <c r="F2" s="39">
        <v>0</v>
      </c>
      <c r="G2" s="39">
        <f>E2+D2+C2</f>
        <v>9156.92</v>
      </c>
      <c r="H2" s="40">
        <f>(B2-F2)-G2</f>
        <v>2339.34</v>
      </c>
      <c r="I2" s="47">
        <v>3110</v>
      </c>
      <c r="J2" s="41">
        <v>5435.35</v>
      </c>
    </row>
    <row r="3" spans="1:12" x14ac:dyDescent="0.2">
      <c r="A3" s="29">
        <v>42767</v>
      </c>
      <c r="B3" s="39">
        <v>8811</v>
      </c>
      <c r="C3" s="39">
        <v>6217.3199999999988</v>
      </c>
      <c r="D3" s="39">
        <v>2236.94</v>
      </c>
      <c r="E3" s="39">
        <v>0</v>
      </c>
      <c r="F3" s="39">
        <v>1999.7799999999997</v>
      </c>
      <c r="G3" s="39">
        <f>E3+D3+C3</f>
        <v>8454.2599999999984</v>
      </c>
      <c r="H3" s="40">
        <f>((B3-G3)-F3)+H2</f>
        <v>696.300000000002</v>
      </c>
      <c r="I3" s="47">
        <v>1090.07</v>
      </c>
      <c r="J3" s="48"/>
    </row>
    <row r="4" spans="1:12" x14ac:dyDescent="0.2">
      <c r="A4" s="29">
        <v>42795</v>
      </c>
      <c r="B4" s="39">
        <v>8533.6</v>
      </c>
      <c r="C4" s="39">
        <v>5230.329999999999</v>
      </c>
      <c r="D4" s="39">
        <v>2792.0699999999997</v>
      </c>
      <c r="E4" s="39">
        <v>0</v>
      </c>
      <c r="F4" s="39">
        <v>2468.2900000000004</v>
      </c>
      <c r="G4" s="39">
        <f>E4+D4+C4</f>
        <v>8022.3999999999987</v>
      </c>
      <c r="H4" s="40">
        <f>((B4-G4)-F4)+H3</f>
        <v>-1260.7899999999968</v>
      </c>
      <c r="I4" s="42">
        <v>2640</v>
      </c>
      <c r="J4" s="43">
        <v>1859</v>
      </c>
    </row>
    <row r="5" spans="1:12" x14ac:dyDescent="0.2">
      <c r="A5" s="29">
        <v>42826</v>
      </c>
      <c r="B5" s="30">
        <v>23150.129999999997</v>
      </c>
      <c r="C5" s="30">
        <v>782.94999999999993</v>
      </c>
      <c r="D5" s="30">
        <v>18211.61</v>
      </c>
      <c r="E5" s="30">
        <v>484.99999999999994</v>
      </c>
      <c r="F5" s="30">
        <v>2267.4700000000003</v>
      </c>
      <c r="G5" s="30">
        <f>E5+D5+C5</f>
        <v>19479.560000000001</v>
      </c>
      <c r="H5" s="30">
        <f>((B5-G5)-F5)+H4</f>
        <v>142.30999999999904</v>
      </c>
      <c r="I5" s="58">
        <v>1971.29</v>
      </c>
      <c r="J5" s="43"/>
    </row>
    <row r="6" spans="1:12" x14ac:dyDescent="0.2">
      <c r="A6" s="29"/>
      <c r="B6" s="30"/>
      <c r="C6" s="30"/>
      <c r="D6" s="30"/>
      <c r="E6" s="30"/>
      <c r="F6" s="30"/>
      <c r="G6" s="30"/>
      <c r="H6" s="30"/>
      <c r="I6" s="44">
        <v>2705.29</v>
      </c>
      <c r="J6" s="45"/>
    </row>
    <row r="7" spans="1:12" x14ac:dyDescent="0.2">
      <c r="A7" s="29"/>
      <c r="B7" s="55"/>
      <c r="C7" s="55"/>
      <c r="D7" s="55"/>
      <c r="E7" s="55"/>
      <c r="F7" s="55"/>
      <c r="G7" s="30"/>
      <c r="H7" s="30"/>
      <c r="I7" s="47">
        <v>916</v>
      </c>
    </row>
    <row r="8" spans="1:12" x14ac:dyDescent="0.2">
      <c r="A8" s="29"/>
      <c r="B8" s="55"/>
      <c r="C8" s="55"/>
      <c r="D8" s="55"/>
      <c r="E8" s="55"/>
      <c r="F8" s="55"/>
      <c r="G8" s="30"/>
      <c r="H8" s="30"/>
    </row>
    <row r="9" spans="1:12" x14ac:dyDescent="0.2">
      <c r="A9" s="29"/>
      <c r="B9" s="55"/>
      <c r="C9" s="55"/>
      <c r="D9" s="55"/>
      <c r="E9" s="55"/>
      <c r="F9" s="55"/>
      <c r="G9" s="30"/>
      <c r="H9" s="30"/>
    </row>
    <row r="10" spans="1:12" x14ac:dyDescent="0.2">
      <c r="A10" s="29"/>
      <c r="B10" s="55"/>
      <c r="C10" s="55"/>
      <c r="D10" s="55"/>
      <c r="E10" s="55"/>
      <c r="F10" s="55"/>
      <c r="G10" s="30"/>
      <c r="H10" s="30"/>
    </row>
  </sheetData>
  <pageMargins left="0.51180555555555496" right="0.51180555555555496" top="0.78749999999999998" bottom="0.78749999999999998" header="0.51180555555555496" footer="0.51180555555555496"/>
  <pageSetup paperSize="0" scale="0" firstPageNumber="0" orientation="portrait" usePrinterDefaults="0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107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5</vt:i4>
      </vt:variant>
    </vt:vector>
  </HeadingPairs>
  <TitlesOfParts>
    <vt:vector size="13" baseType="lpstr">
      <vt:lpstr>entrada</vt:lpstr>
      <vt:lpstr>debito</vt:lpstr>
      <vt:lpstr>Planilha2</vt:lpstr>
      <vt:lpstr>vr</vt:lpstr>
      <vt:lpstr>credito</vt:lpstr>
      <vt:lpstr>mercado</vt:lpstr>
      <vt:lpstr>Planilha1</vt:lpstr>
      <vt:lpstr>planilha</vt:lpstr>
      <vt:lpstr>credito!_FilterDatabase_0</vt:lpstr>
      <vt:lpstr>credito!_FilterDatabase_0_0</vt:lpstr>
      <vt:lpstr>debito!_FiltrarBancodeDados</vt:lpstr>
      <vt:lpstr>mercado!_FiltrarBancodeDados</vt:lpstr>
      <vt:lpstr>vr!custos_vr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Administrator</dc:creator>
  <dc:description/>
  <cp:lastModifiedBy>andre</cp:lastModifiedBy>
  <cp:revision>11</cp:revision>
  <cp:lastPrinted>2011-06-01T19:00:57Z</cp:lastPrinted>
  <dcterms:created xsi:type="dcterms:W3CDTF">2011-04-26T13:46:03Z</dcterms:created>
  <dcterms:modified xsi:type="dcterms:W3CDTF">2017-07-14T23:46:04Z</dcterms:modified>
  <dc:language>pt-BR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IBM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</Properties>
</file>
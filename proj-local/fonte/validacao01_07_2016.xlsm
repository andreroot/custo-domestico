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EstaPasta_de_trabalho1"/>
  <mc:AlternateContent xmlns:mc="http://schemas.openxmlformats.org/markup-compatibility/2006">
    <mc:Choice Requires="x15">
      <x15ac:absPath xmlns:x15ac="http://schemas.microsoft.com/office/spreadsheetml/2010/11/ac" url="C:\Users\andre\Documents\custo\parametros\csv\validacao\"/>
    </mc:Choice>
  </mc:AlternateContent>
  <bookViews>
    <workbookView xWindow="0" yWindow="0" windowWidth="2490" windowHeight="2460" tabRatio="990"/>
  </bookViews>
  <sheets>
    <sheet name="entrada" sheetId="1" r:id="rId1"/>
    <sheet name="debito" sheetId="2" r:id="rId2"/>
    <sheet name="credito" sheetId="3" r:id="rId3"/>
    <sheet name="mercado" sheetId="4" r:id="rId4"/>
    <sheet name="planilha" sheetId="5" r:id="rId5"/>
    <sheet name="terceiro" sheetId="6" r:id="rId6"/>
    <sheet name="pendente" sheetId="7" r:id="rId7"/>
    <sheet name="gasto" sheetId="8" r:id="rId8"/>
    <sheet name="Plan1" sheetId="9" r:id="rId9"/>
    <sheet name="old" sheetId="10" r:id="rId10"/>
    <sheet name="divida empresa" sheetId="11" r:id="rId11"/>
    <sheet name="divida carro" sheetId="12" r:id="rId12"/>
    <sheet name="divida moto" sheetId="13" r:id="rId13"/>
    <sheet name="Plan2" sheetId="14" r:id="rId14"/>
    <sheet name="Plan3" sheetId="15" r:id="rId15"/>
    <sheet name="Plan5" sheetId="16" r:id="rId16"/>
    <sheet name="Plan4" sheetId="17" r:id="rId17"/>
    <sheet name="Plan6" sheetId="18" r:id="rId18"/>
  </sheets>
  <definedNames>
    <definedName name="_FilterDatabase_0" localSheetId="2">credito!$A$1:$K$10</definedName>
    <definedName name="_FilterDatabase_0" localSheetId="7">gasto!$A$1:$K$74</definedName>
    <definedName name="_FilterDatabase_0_0" localSheetId="2">credito!$A$1:$K$10</definedName>
    <definedName name="_FilterDatabase_0_0" localSheetId="7">gasto!$A$1:$K$74</definedName>
    <definedName name="_xlnm._FilterDatabase" localSheetId="2" hidden="1">credito!$A$1:$K$132</definedName>
    <definedName name="_xlnm._FilterDatabase" localSheetId="1" hidden="1">debito!$A$1:$I$331</definedName>
    <definedName name="_xlnm._FilterDatabase" localSheetId="7">gasto!$A$1:$K$74</definedName>
    <definedName name="_xlnm._FilterDatabase" localSheetId="3">mercado!$A$1:$J$1118</definedName>
    <definedName name="_xlnm._FilterDatabase" localSheetId="6">pendente!$A$1:$E$46</definedName>
  </definedNames>
  <calcPr calcId="162913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42" i="2" l="1"/>
  <c r="G2" i="5" l="1"/>
  <c r="H2" i="5" s="1"/>
  <c r="G5" i="5"/>
  <c r="C4" i="17" l="1"/>
  <c r="D4" i="17" s="1"/>
  <c r="D3" i="17"/>
  <c r="B3" i="14"/>
  <c r="B1" i="14"/>
  <c r="C11" i="13"/>
  <c r="C14" i="12"/>
  <c r="C6" i="12"/>
  <c r="B2" i="14" s="1"/>
  <c r="C3" i="12"/>
  <c r="D23" i="11"/>
  <c r="D2" i="10"/>
  <c r="E2" i="10" s="1"/>
  <c r="F2" i="10" s="1"/>
  <c r="B41" i="9"/>
  <c r="A41" i="9"/>
  <c r="D31" i="9"/>
  <c r="A31" i="9"/>
  <c r="E30" i="9"/>
  <c r="F30" i="9" s="1"/>
  <c r="E29" i="9"/>
  <c r="F29" i="9" s="1"/>
  <c r="E28" i="9"/>
  <c r="F28" i="9" s="1"/>
  <c r="E27" i="9"/>
  <c r="F27" i="9" s="1"/>
  <c r="I16" i="9"/>
  <c r="E16" i="9"/>
  <c r="B19" i="9" s="1"/>
  <c r="B16" i="9"/>
  <c r="B17" i="9" s="1"/>
  <c r="F9" i="9"/>
  <c r="D9" i="9" s="1"/>
  <c r="G8" i="9"/>
  <c r="F8" i="9"/>
  <c r="D8" i="9"/>
  <c r="G7" i="9"/>
  <c r="F7" i="9"/>
  <c r="D7" i="9" s="1"/>
  <c r="G6" i="9"/>
  <c r="F6" i="9"/>
  <c r="D6" i="9"/>
  <c r="G5" i="9"/>
  <c r="F5" i="9"/>
  <c r="D5" i="9" s="1"/>
  <c r="G4" i="9"/>
  <c r="F4" i="9"/>
  <c r="D4" i="9"/>
  <c r="G3" i="9"/>
  <c r="F3" i="9"/>
  <c r="D3" i="9" s="1"/>
  <c r="G2" i="9"/>
  <c r="G16" i="9" s="1"/>
  <c r="F2" i="9"/>
  <c r="D2" i="9"/>
  <c r="G119" i="8"/>
  <c r="D119" i="8"/>
  <c r="G118" i="8"/>
  <c r="D118" i="8"/>
  <c r="G117" i="8"/>
  <c r="D117" i="8"/>
  <c r="G116" i="8"/>
  <c r="D116" i="8"/>
  <c r="G115" i="8"/>
  <c r="D115" i="8"/>
  <c r="G114" i="8"/>
  <c r="D114" i="8"/>
  <c r="G113" i="8"/>
  <c r="D113" i="8"/>
  <c r="G112" i="8"/>
  <c r="D112" i="8"/>
  <c r="G111" i="8"/>
  <c r="D111" i="8"/>
  <c r="G110" i="8"/>
  <c r="D110" i="8"/>
  <c r="G109" i="8"/>
  <c r="D109" i="8"/>
  <c r="G108" i="8"/>
  <c r="D108" i="8"/>
  <c r="G107" i="8"/>
  <c r="D107" i="8"/>
  <c r="G106" i="8"/>
  <c r="D106" i="8"/>
  <c r="G105" i="8"/>
  <c r="D105" i="8"/>
  <c r="G104" i="8"/>
  <c r="D104" i="8"/>
  <c r="G103" i="8"/>
  <c r="D103" i="8"/>
  <c r="G102" i="8"/>
  <c r="D102" i="8"/>
  <c r="G101" i="8"/>
  <c r="D101" i="8"/>
  <c r="G100" i="8"/>
  <c r="D100" i="8"/>
  <c r="G99" i="8"/>
  <c r="D99" i="8"/>
  <c r="G98" i="8"/>
  <c r="D98" i="8"/>
  <c r="G97" i="8"/>
  <c r="D97" i="8"/>
  <c r="G96" i="8"/>
  <c r="D96" i="8"/>
  <c r="G95" i="8"/>
  <c r="D95" i="8"/>
  <c r="G94" i="8"/>
  <c r="D94" i="8"/>
  <c r="G93" i="8"/>
  <c r="D93" i="8"/>
  <c r="G92" i="8"/>
  <c r="D92" i="8"/>
  <c r="G91" i="8"/>
  <c r="D91" i="8"/>
  <c r="G90" i="8"/>
  <c r="D90" i="8"/>
  <c r="G89" i="8"/>
  <c r="D89" i="8"/>
  <c r="G88" i="8"/>
  <c r="D88" i="8"/>
  <c r="G87" i="8"/>
  <c r="D87" i="8"/>
  <c r="G86" i="8"/>
  <c r="D86" i="8"/>
  <c r="G85" i="8"/>
  <c r="D85" i="8"/>
  <c r="G84" i="8"/>
  <c r="D84" i="8"/>
  <c r="G83" i="8"/>
  <c r="D83" i="8"/>
  <c r="G82" i="8"/>
  <c r="D82" i="8"/>
  <c r="G81" i="8"/>
  <c r="D81" i="8"/>
  <c r="G80" i="8"/>
  <c r="D80" i="8"/>
  <c r="G79" i="8"/>
  <c r="D79" i="8"/>
  <c r="G78" i="8"/>
  <c r="D78" i="8"/>
  <c r="G74" i="8"/>
  <c r="D74" i="8"/>
  <c r="G73" i="8"/>
  <c r="D73" i="8"/>
  <c r="G72" i="8"/>
  <c r="D72" i="8"/>
  <c r="G71" i="8"/>
  <c r="D71" i="8"/>
  <c r="G70" i="8"/>
  <c r="D70" i="8"/>
  <c r="G69" i="8"/>
  <c r="G68" i="8"/>
  <c r="G67" i="8"/>
  <c r="G66" i="8"/>
  <c r="G65" i="8"/>
  <c r="G64" i="8"/>
  <c r="G63" i="8"/>
  <c r="G62" i="8"/>
  <c r="G61" i="8"/>
  <c r="H10" i="7"/>
  <c r="H9" i="7"/>
  <c r="H8" i="7"/>
  <c r="H7" i="7"/>
  <c r="H6" i="7"/>
  <c r="H5" i="7"/>
  <c r="H4" i="7"/>
  <c r="H3" i="7"/>
  <c r="D6" i="6"/>
  <c r="B159" i="2"/>
  <c r="G4" i="5" s="1"/>
  <c r="B98" i="2"/>
  <c r="B16" i="2"/>
  <c r="D16" i="9" l="1"/>
  <c r="B18" i="9" s="1"/>
  <c r="B23" i="9" s="1"/>
  <c r="F16" i="9"/>
  <c r="G3" i="5"/>
  <c r="H3" i="5" s="1"/>
  <c r="B22" i="9"/>
  <c r="B20" i="9"/>
  <c r="B21" i="9"/>
  <c r="C5" i="17"/>
  <c r="D5" i="17" s="1"/>
  <c r="D6" i="17" s="1"/>
  <c r="E6" i="17" s="1"/>
  <c r="E31" i="9"/>
  <c r="E32" i="9" s="1"/>
  <c r="B24" i="9" l="1"/>
  <c r="H4" i="5"/>
  <c r="H5" i="5" s="1"/>
  <c r="K8" i="9"/>
  <c r="K7" i="9"/>
  <c r="K6" i="9"/>
  <c r="K5" i="9"/>
  <c r="K4" i="9"/>
  <c r="K3" i="9"/>
  <c r="K2" i="9"/>
</calcChain>
</file>

<file path=xl/sharedStrings.xml><?xml version="1.0" encoding="utf-8"?>
<sst xmlns="http://schemas.openxmlformats.org/spreadsheetml/2006/main" count="1855" uniqueCount="479">
  <si>
    <t>entrada</t>
  </si>
  <si>
    <t>data referencia</t>
  </si>
  <si>
    <t>origem</t>
  </si>
  <si>
    <t>data entrada</t>
  </si>
  <si>
    <t>salario</t>
  </si>
  <si>
    <t>credito</t>
  </si>
  <si>
    <t>custo</t>
  </si>
  <si>
    <t>valor debito</t>
  </si>
  <si>
    <t>custo fixo</t>
  </si>
  <si>
    <t>custo variavel</t>
  </si>
  <si>
    <t>pendente</t>
  </si>
  <si>
    <t>data pagto</t>
  </si>
  <si>
    <t>semana</t>
  </si>
  <si>
    <t>data pagamento</t>
  </si>
  <si>
    <t>tipo</t>
  </si>
  <si>
    <t>SEGURO CARTÃO</t>
  </si>
  <si>
    <t>1ª semana</t>
  </si>
  <si>
    <t>banco</t>
  </si>
  <si>
    <t>UNICEF</t>
  </si>
  <si>
    <t>TAXA CONTA JURIDICA</t>
  </si>
  <si>
    <t>SEGURO RESIDENCIA</t>
  </si>
  <si>
    <t>net</t>
  </si>
  <si>
    <t>fim de semana</t>
  </si>
  <si>
    <t>casa</t>
  </si>
  <si>
    <t>consorcio</t>
  </si>
  <si>
    <t>investimento</t>
  </si>
  <si>
    <t>contador</t>
  </si>
  <si>
    <t>csll tri - boleto - 1,88</t>
  </si>
  <si>
    <t>imposto</t>
  </si>
  <si>
    <t>irpj - boleto - 0,90</t>
  </si>
  <si>
    <t>sptransp</t>
  </si>
  <si>
    <t>2ª semana</t>
  </si>
  <si>
    <t>transporte</t>
  </si>
  <si>
    <t>custo total aluguel</t>
  </si>
  <si>
    <t>luz</t>
  </si>
  <si>
    <t>cartão</t>
  </si>
  <si>
    <t>cartão credito</t>
  </si>
  <si>
    <t>TAXA CONTA FISICA</t>
  </si>
  <si>
    <t>folha_pagamento</t>
  </si>
  <si>
    <t>boleto moçambique</t>
  </si>
  <si>
    <t>padaria</t>
  </si>
  <si>
    <t>mercado</t>
  </si>
  <si>
    <t>alimentação</t>
  </si>
  <si>
    <t>pessoal</t>
  </si>
  <si>
    <t>cabelereiro</t>
  </si>
  <si>
    <t>farmacia</t>
  </si>
  <si>
    <t>3ª semana</t>
  </si>
  <si>
    <t>almoço</t>
  </si>
  <si>
    <t>4ª semana</t>
  </si>
  <si>
    <t>saque</t>
  </si>
  <si>
    <t>celular</t>
  </si>
  <si>
    <t>comgas</t>
  </si>
  <si>
    <t>combustivel</t>
  </si>
  <si>
    <t>estacionamento</t>
  </si>
  <si>
    <t>seguro</t>
  </si>
  <si>
    <t>lis/juros</t>
  </si>
  <si>
    <t xml:space="preserve">SEGURO VIDA GRUPO </t>
  </si>
  <si>
    <t>Part. Vale Alimenta</t>
  </si>
  <si>
    <t>Contr. INSS Remuner</t>
  </si>
  <si>
    <t>Tributo IRRF</t>
  </si>
  <si>
    <t>carro</t>
  </si>
  <si>
    <t>Assist. Medica Fixa</t>
  </si>
  <si>
    <t>CONT. CONFEDERATIVA</t>
  </si>
  <si>
    <t>taxa conta corrente</t>
  </si>
  <si>
    <t>café da manha</t>
  </si>
  <si>
    <t>gasolina</t>
  </si>
  <si>
    <t>Assist. Medica Dept</t>
  </si>
  <si>
    <t>Uti Medica Assoc.</t>
  </si>
  <si>
    <t>mercado sonda</t>
  </si>
  <si>
    <t>multa sp</t>
  </si>
  <si>
    <t>credito celular</t>
  </si>
  <si>
    <t>parcela celular 2/2</t>
  </si>
  <si>
    <t>custo_credito</t>
  </si>
  <si>
    <t>valor_credito</t>
  </si>
  <si>
    <t>custo_fixo_credito</t>
  </si>
  <si>
    <t>custo_variavel_credito</t>
  </si>
  <si>
    <t>pendente_credito</t>
  </si>
  <si>
    <t>data_pagto_credito</t>
  </si>
  <si>
    <t>valor_parcelado</t>
  </si>
  <si>
    <t>semana_credito</t>
  </si>
  <si>
    <t>data_pagamento_credito</t>
  </si>
  <si>
    <t>tipo_credito</t>
  </si>
  <si>
    <t>ANDORINHA SUPERMERCADO</t>
  </si>
  <si>
    <t>TIM LIBERTY EXPRESS*2v5</t>
  </si>
  <si>
    <t>CARREFOUR BTU</t>
  </si>
  <si>
    <t>NETFLIX.COM</t>
  </si>
  <si>
    <t>netflix</t>
  </si>
  <si>
    <t>ARIZONA PAES E DOCES</t>
  </si>
  <si>
    <t>AUTO POSTO LUTAIF</t>
  </si>
  <si>
    <t>FUNDACAO ABRINQ PELOS</t>
  </si>
  <si>
    <t>parcelamento</t>
  </si>
  <si>
    <t>CELERO DA FAZENDA</t>
  </si>
  <si>
    <t>SONDA SUPERMERCADOS</t>
  </si>
  <si>
    <t>PROMOFARMA TUCURUVI</t>
  </si>
  <si>
    <t>aluguel de casa</t>
  </si>
  <si>
    <t>parcelamento 3/4</t>
  </si>
  <si>
    <t>parcelamento 4/4</t>
  </si>
  <si>
    <t>carbumax 1/2</t>
  </si>
  <si>
    <t>carbumax 2/2</t>
  </si>
  <si>
    <t xml:space="preserve">SUPERMERCADOS BERGAMINI </t>
  </si>
  <si>
    <t xml:space="preserve">CARREFOUR BTU </t>
  </si>
  <si>
    <t xml:space="preserve">SONDA JACANA </t>
  </si>
  <si>
    <t>descricao</t>
  </si>
  <si>
    <t>qtde</t>
  </si>
  <si>
    <t>data_compra</t>
  </si>
  <si>
    <t>valor unitarioa</t>
  </si>
  <si>
    <t>valor</t>
  </si>
  <si>
    <t>departamento</t>
  </si>
  <si>
    <t>fator_calculo</t>
  </si>
  <si>
    <t>data_pagamento</t>
  </si>
  <si>
    <t>forma_pagto</t>
  </si>
  <si>
    <t>mês</t>
  </si>
  <si>
    <t>saldo inicial</t>
  </si>
  <si>
    <t>custo realizado</t>
  </si>
  <si>
    <t>custo pendente</t>
  </si>
  <si>
    <t>imposto da folha pg</t>
  </si>
  <si>
    <t>custo total</t>
  </si>
  <si>
    <t>saldo</t>
  </si>
  <si>
    <t>descricao custo</t>
  </si>
  <si>
    <t>valor custo</t>
  </si>
  <si>
    <t>data custo</t>
  </si>
  <si>
    <t>data salario</t>
  </si>
  <si>
    <t>-</t>
  </si>
  <si>
    <t>perua</t>
  </si>
  <si>
    <t>natacao</t>
  </si>
  <si>
    <t>rexona</t>
  </si>
  <si>
    <t>imposto IRPJ 10/2013</t>
  </si>
  <si>
    <t>percentual</t>
  </si>
  <si>
    <t>imposto IRPJ 01/2014</t>
  </si>
  <si>
    <t>csll</t>
  </si>
  <si>
    <t>imposto IRPJ 04/2014</t>
  </si>
  <si>
    <t>irpj</t>
  </si>
  <si>
    <t>imposto CSLL 10/2013</t>
  </si>
  <si>
    <t>contribuicao previdencia fatura brut</t>
  </si>
  <si>
    <t>imposto CSLL 01/2014</t>
  </si>
  <si>
    <t>iss</t>
  </si>
  <si>
    <t>imposto CSLL 04/2014</t>
  </si>
  <si>
    <t>pis</t>
  </si>
  <si>
    <t>imposto CONTRIB 10/2013</t>
  </si>
  <si>
    <t>confis</t>
  </si>
  <si>
    <t>imposto CONTRIB 12/2013</t>
  </si>
  <si>
    <t>IR</t>
  </si>
  <si>
    <t>imposto CONTRIB 04/2014</t>
  </si>
  <si>
    <t>imposto CONTRIB 05/2014</t>
  </si>
  <si>
    <t>iss 03/2014</t>
  </si>
  <si>
    <t>csll tri 03/2014</t>
  </si>
  <si>
    <t>irpj 03/2014</t>
  </si>
  <si>
    <t>iss 04/2014</t>
  </si>
  <si>
    <t>csll tri 04/2014</t>
  </si>
  <si>
    <t>irpj 04/2014</t>
  </si>
  <si>
    <t>iss 05/2014</t>
  </si>
  <si>
    <t>csll tri 05/2014</t>
  </si>
  <si>
    <t>irpj 05/2014</t>
  </si>
  <si>
    <t>iss 06/2014</t>
  </si>
  <si>
    <t>csll tri 06/2014</t>
  </si>
  <si>
    <t>irpj 06/2014</t>
  </si>
  <si>
    <t>iss 07/2014</t>
  </si>
  <si>
    <t>csll tri 07/2014</t>
  </si>
  <si>
    <t>irpj 07/2014</t>
  </si>
  <si>
    <t>iss 08/2014</t>
  </si>
  <si>
    <t>csll tri 08/2014</t>
  </si>
  <si>
    <t>irpj 08/2014</t>
  </si>
  <si>
    <t>iss 09/2014</t>
  </si>
  <si>
    <t>csll tri 09/2014</t>
  </si>
  <si>
    <t>irpj 09/2014</t>
  </si>
  <si>
    <t>iss 10/2014</t>
  </si>
  <si>
    <t>csll tri 10/2014</t>
  </si>
  <si>
    <t>irpj 10/2014</t>
  </si>
  <si>
    <t>multas municipal</t>
  </si>
  <si>
    <t>multas DER</t>
  </si>
  <si>
    <t>Multas DETRAN</t>
  </si>
  <si>
    <t>LICENCIAMENTO</t>
  </si>
  <si>
    <t>ipva 2010</t>
  </si>
  <si>
    <t>moto</t>
  </si>
  <si>
    <t>ipva 2011</t>
  </si>
  <si>
    <t>ipva 2012</t>
  </si>
  <si>
    <t>ipva 2013</t>
  </si>
  <si>
    <t>ipva 2014</t>
  </si>
  <si>
    <t>dpvat 2013</t>
  </si>
  <si>
    <t>dpvat 2014</t>
  </si>
  <si>
    <t>debito</t>
  </si>
  <si>
    <t>importante</t>
  </si>
  <si>
    <t>juros</t>
  </si>
  <si>
    <t>sptrasnp</t>
  </si>
  <si>
    <t>tx conta</t>
  </si>
  <si>
    <t>cafézinho - vl olimpia</t>
  </si>
  <si>
    <t>mercado vl olimpia</t>
  </si>
  <si>
    <t>padaria - mandaqui</t>
  </si>
  <si>
    <t>doceria metro</t>
  </si>
  <si>
    <t>almoço - quinta</t>
  </si>
  <si>
    <t>almoço - sexta</t>
  </si>
  <si>
    <t>suco bagaço - tatuape</t>
  </si>
  <si>
    <t>padaria - arizona</t>
  </si>
  <si>
    <t>sorvete - noite</t>
  </si>
  <si>
    <t>pizza</t>
  </si>
  <si>
    <t>farmacia - nebaciti</t>
  </si>
  <si>
    <t>doces saida do trampo</t>
  </si>
  <si>
    <t>padaria - noite</t>
  </si>
  <si>
    <t>padaria manha</t>
  </si>
  <si>
    <t>farmacia - noite</t>
  </si>
  <si>
    <t>farmacia - manha</t>
  </si>
  <si>
    <t>farmacia - celular</t>
  </si>
  <si>
    <t>almoço - mocoto</t>
  </si>
  <si>
    <t>mc donalds - noite</t>
  </si>
  <si>
    <t>doces tucuruvi</t>
  </si>
  <si>
    <t>cond</t>
  </si>
  <si>
    <t>urgente</t>
  </si>
  <si>
    <t>limite usado</t>
  </si>
  <si>
    <t>emprestimo1</t>
  </si>
  <si>
    <t>emprestimo2</t>
  </si>
  <si>
    <t>emprestimo3</t>
  </si>
  <si>
    <t>cond atrso</t>
  </si>
  <si>
    <t>pao de queijo</t>
  </si>
  <si>
    <t>bezerra(2x380)</t>
  </si>
  <si>
    <t>padaria arizona</t>
  </si>
  <si>
    <t>agua padaria</t>
  </si>
  <si>
    <t>CASA DAS ALIANCAS 02/02</t>
  </si>
  <si>
    <t>WORLD TENIS 02/02</t>
  </si>
  <si>
    <t>CENTRO AUTOMOTIVO 02/02</t>
  </si>
  <si>
    <t>SONDA SUPERMERCADO02/02</t>
  </si>
  <si>
    <t>km</t>
  </si>
  <si>
    <t>litro</t>
  </si>
  <si>
    <t>preço/litro</t>
  </si>
  <si>
    <t>litro real</t>
  </si>
  <si>
    <t>kmpercorrido</t>
  </si>
  <si>
    <t>data</t>
  </si>
  <si>
    <t>valida</t>
  </si>
  <si>
    <t>preço dif</t>
  </si>
  <si>
    <t>s</t>
  </si>
  <si>
    <t>total</t>
  </si>
  <si>
    <t>media / custo</t>
  </si>
  <si>
    <t>media / litro</t>
  </si>
  <si>
    <t>media / pr litro</t>
  </si>
  <si>
    <t>media / km</t>
  </si>
  <si>
    <t>cada litro faz(km)</t>
  </si>
  <si>
    <t>cada km percorrido custa($)</t>
  </si>
  <si>
    <t>valor pago</t>
  </si>
  <si>
    <t>para percorrer min são ltrs</t>
  </si>
  <si>
    <t>km iniciado</t>
  </si>
  <si>
    <t>km abastecido</t>
  </si>
  <si>
    <t>pedagio volta</t>
  </si>
  <si>
    <t>pedagio ida</t>
  </si>
  <si>
    <t>descrição</t>
  </si>
  <si>
    <t>dia</t>
  </si>
  <si>
    <t>valor bruto</t>
  </si>
  <si>
    <t>valor desconto</t>
  </si>
  <si>
    <t>valor liquido</t>
  </si>
  <si>
    <t>valor disponivel</t>
  </si>
  <si>
    <t>DRE9087</t>
  </si>
  <si>
    <t>DETRAN-SP</t>
  </si>
  <si>
    <t>IPVA</t>
  </si>
  <si>
    <t>MULTAS</t>
  </si>
  <si>
    <t>IPVA SP</t>
  </si>
  <si>
    <t>TAXA 2015</t>
  </si>
  <si>
    <t>TAXA 2014</t>
  </si>
  <si>
    <t>DPVAT</t>
  </si>
  <si>
    <t>multas munici</t>
  </si>
  <si>
    <t>multas der</t>
  </si>
  <si>
    <t>multas detran</t>
  </si>
  <si>
    <t>PREFEITURA SP</t>
  </si>
  <si>
    <t>renavam</t>
  </si>
  <si>
    <t>divida ativa</t>
  </si>
  <si>
    <t>ipva</t>
  </si>
  <si>
    <t>dpvat</t>
  </si>
  <si>
    <t>taxas</t>
  </si>
  <si>
    <t>empresa</t>
  </si>
  <si>
    <t>TIM LIBERTY EXPRESS*2hh</t>
  </si>
  <si>
    <t>bebe magazine 02/02</t>
  </si>
  <si>
    <t>dariana modas roupa intima 2/2</t>
  </si>
  <si>
    <t>CIRURGICA MARTINELLI</t>
  </si>
  <si>
    <t>nova bebe enxoval 2/2</t>
  </si>
  <si>
    <t>enxovais torre 2/2</t>
  </si>
  <si>
    <t>perfumaria 200 lj 01/02</t>
  </si>
  <si>
    <t>podologoa - cuidar dos pes</t>
  </si>
  <si>
    <t>J CERQUEIRA</t>
  </si>
  <si>
    <t>CENTURY</t>
  </si>
  <si>
    <t>ADIDAS-SHOP.D 01/03</t>
  </si>
  <si>
    <t>MANDRAKE COM.DE CHOCOL</t>
  </si>
  <si>
    <t>iss - boleto - 2%</t>
  </si>
  <si>
    <t>prev social - inss 08/2012</t>
  </si>
  <si>
    <t>RFB - Darf - 2089 31/12/2014</t>
  </si>
  <si>
    <t>RFB - Darf - 2089 30/09/2013</t>
  </si>
  <si>
    <t>RFB - Darf - 2372 30/09/2013</t>
  </si>
  <si>
    <t>RFB - Darf - 2372 31/12/2013</t>
  </si>
  <si>
    <t>RFB - Darf - 2985 30/11/2013</t>
  </si>
  <si>
    <t>RFB - Darf - 2985 30/09/2013</t>
  </si>
  <si>
    <t>Evento</t>
  </si>
  <si>
    <t>Ref.</t>
  </si>
  <si>
    <t>Proventos</t>
  </si>
  <si>
    <t>Descontos</t>
  </si>
  <si>
    <t>Salário Bruto</t>
  </si>
  <si>
    <t>INSS</t>
  </si>
  <si>
    <t>dependetes</t>
  </si>
  <si>
    <t>IRRF</t>
  </si>
  <si>
    <t>Totais</t>
  </si>
  <si>
    <t>IOF</t>
  </si>
  <si>
    <t>CAFÉ</t>
  </si>
  <si>
    <t>nakata</t>
  </si>
  <si>
    <t>TOV COM DE VESTUAR01/02</t>
  </si>
  <si>
    <t>TOV COM DE VESTUAR02/02</t>
  </si>
  <si>
    <t>DI BRIENZZI PIZZARIA</t>
  </si>
  <si>
    <t>BIENAL DO LIVRO</t>
  </si>
  <si>
    <t>APARECIDA LUISA DE SAN</t>
  </si>
  <si>
    <t>BIELLA ATALIBA P DOCE</t>
  </si>
  <si>
    <t>varanda frutas</t>
  </si>
  <si>
    <t>negativo 01/09 cheque especial</t>
  </si>
  <si>
    <t>cheque especial</t>
  </si>
  <si>
    <t>PRINCESA DA VILA OLIMP</t>
  </si>
  <si>
    <t>POSTO MGM E</t>
  </si>
  <si>
    <t>ELECTRONUNIDOS</t>
  </si>
  <si>
    <t>ELECTRONCAFE</t>
  </si>
  <si>
    <t>CABELEIREIRO</t>
  </si>
  <si>
    <t>SORVETE</t>
  </si>
  <si>
    <t>SALGADO</t>
  </si>
  <si>
    <t>salgado</t>
  </si>
  <si>
    <t>bolacha</t>
  </si>
  <si>
    <t>café</t>
  </si>
  <si>
    <t>agua</t>
  </si>
  <si>
    <t>lanche mac donald</t>
  </si>
  <si>
    <t>correio</t>
  </si>
  <si>
    <t>xerox / autenticacao</t>
  </si>
  <si>
    <t>celular mi</t>
  </si>
  <si>
    <t>POSTO DE SERVICOS PORT</t>
  </si>
  <si>
    <t>cachorro quente</t>
  </si>
  <si>
    <t>café almoço</t>
  </si>
  <si>
    <t>sorvete</t>
  </si>
  <si>
    <t>boulevard</t>
  </si>
  <si>
    <t>lanche</t>
  </si>
  <si>
    <t>agua/chocolate</t>
  </si>
  <si>
    <t>michelle unha</t>
  </si>
  <si>
    <t>michelle</t>
  </si>
  <si>
    <t>lavagem do carro</t>
  </si>
  <si>
    <t>almoço sabado</t>
  </si>
  <si>
    <t>lanche metro</t>
  </si>
  <si>
    <t>lanche domingo</t>
  </si>
  <si>
    <t>fundação abrinq pelos</t>
  </si>
  <si>
    <t>mundial center nor01/02</t>
  </si>
  <si>
    <t>lojas renner</t>
  </si>
  <si>
    <t>tng center norte</t>
  </si>
  <si>
    <t xml:space="preserve">burger king shopping </t>
  </si>
  <si>
    <t>portal do horto</t>
  </si>
  <si>
    <t>tim liberty express*44a</t>
  </si>
  <si>
    <t>dorgasil 581</t>
  </si>
  <si>
    <t>promofarma tucuruvi</t>
  </si>
  <si>
    <t>mundial center nor02/02</t>
  </si>
  <si>
    <t>juros pagamento contas</t>
  </si>
  <si>
    <t>iof pagamento conta</t>
  </si>
  <si>
    <t>estorno juros e financ</t>
  </si>
  <si>
    <t>parcelamento 1/4</t>
  </si>
  <si>
    <t>biscoito</t>
  </si>
  <si>
    <t>lanche café manha</t>
  </si>
  <si>
    <t>COMPRA DE ASSOC</t>
  </si>
  <si>
    <t>iof</t>
  </si>
  <si>
    <t>café / doces</t>
  </si>
  <si>
    <t>agua / suco</t>
  </si>
  <si>
    <t xml:space="preserve">mc donalds </t>
  </si>
  <si>
    <t>zazza rotisserie</t>
  </si>
  <si>
    <t>uber</t>
  </si>
  <si>
    <t>aquario de são paulo</t>
  </si>
  <si>
    <t>pao de açucar</t>
  </si>
  <si>
    <t>perfurmaria</t>
  </si>
  <si>
    <t>café salgado</t>
  </si>
  <si>
    <t>café tarde</t>
  </si>
  <si>
    <t>feira</t>
  </si>
  <si>
    <t>suco</t>
  </si>
  <si>
    <t>BURGER KING</t>
  </si>
  <si>
    <t>CIDADE DA CRIANÇA</t>
  </si>
  <si>
    <t>edvaldo</t>
  </si>
  <si>
    <t>encontro de casal</t>
  </si>
  <si>
    <t>olibone</t>
  </si>
  <si>
    <t>neusa</t>
  </si>
  <si>
    <t>emprestimo</t>
  </si>
  <si>
    <t>POSTO DE SERVICOS AVAN</t>
  </si>
  <si>
    <t>cidade da crianca</t>
  </si>
  <si>
    <t>bella ataliba</t>
  </si>
  <si>
    <t>olibone 1/5</t>
  </si>
  <si>
    <t>lazer</t>
  </si>
  <si>
    <t>PROMOFARMA LOJA 19</t>
  </si>
  <si>
    <t>alimad lanche</t>
  </si>
  <si>
    <t>agua / fruta</t>
  </si>
  <si>
    <t>doce mania</t>
  </si>
  <si>
    <t>BELLA ATALIBA P DOCES</t>
  </si>
  <si>
    <t>STARBUCKS BRASIL COMER</t>
  </si>
  <si>
    <t>CANEDOS</t>
  </si>
  <si>
    <t>POSTO EL SHALOM</t>
  </si>
  <si>
    <t>UNIDOS DA VILA</t>
  </si>
  <si>
    <t>PADARIA JD BRASIL</t>
  </si>
  <si>
    <t>ESTORNO JUROS DE FINANC</t>
  </si>
  <si>
    <t>IOF PAGAMENTO CONTA</t>
  </si>
  <si>
    <t>DONA CHOCOLATEIRA</t>
  </si>
  <si>
    <t>VARANDA FRUTAS V OLIMP</t>
  </si>
  <si>
    <t>AUTO POSTO MONI</t>
  </si>
  <si>
    <t>ELTON JOSE PIRES - sorvete</t>
  </si>
  <si>
    <t>olibone 2/5</t>
  </si>
  <si>
    <t>retirada pais</t>
  </si>
  <si>
    <t>tarif retirada pais 24h</t>
  </si>
  <si>
    <t>26.13</t>
  </si>
  <si>
    <t>benção</t>
  </si>
  <si>
    <t>chocolate</t>
  </si>
  <si>
    <t>revista colorir</t>
  </si>
  <si>
    <t>alimand</t>
  </si>
  <si>
    <t>bolacha/chocolate</t>
  </si>
  <si>
    <t>milho</t>
  </si>
  <si>
    <t>bolo</t>
  </si>
  <si>
    <t>AUTO POSTO TREMEMBE</t>
  </si>
  <si>
    <t>UBER*UBER BR NOV04 APQ</t>
  </si>
  <si>
    <t>OFNER</t>
  </si>
  <si>
    <t>MORUMBI SHOP ESTACIONA</t>
  </si>
  <si>
    <t>MC DONALD S CENTER MORU</t>
  </si>
  <si>
    <t>TROPICAL BANANA</t>
  </si>
  <si>
    <t>mercadopago*rodov 1/4</t>
  </si>
  <si>
    <t>alimentacao</t>
  </si>
  <si>
    <t>wendys</t>
  </si>
  <si>
    <t>suco barrafunda</t>
  </si>
  <si>
    <t>pen drive</t>
  </si>
  <si>
    <t>HAAGEN-DAZS VILA OLIMP</t>
  </si>
  <si>
    <t>doces/pipoca</t>
  </si>
  <si>
    <t>carrefour</t>
  </si>
  <si>
    <t>habibs</t>
  </si>
  <si>
    <t>jovicar auto posto</t>
  </si>
  <si>
    <t>arizona paes e doces</t>
  </si>
  <si>
    <t>auto posto lutaif</t>
  </si>
  <si>
    <t>lanche barra funda</t>
  </si>
  <si>
    <t>LETICIA ESTHETIC CENTE</t>
  </si>
  <si>
    <t>KOI ROTISSERIA</t>
  </si>
  <si>
    <t>LIGEIRNHO COMERCIO DE</t>
  </si>
  <si>
    <t>salgado/café</t>
  </si>
  <si>
    <t>varanda bolo</t>
  </si>
  <si>
    <t>outros</t>
  </si>
  <si>
    <t>dev contrib</t>
  </si>
  <si>
    <t>grat dia comercio</t>
  </si>
  <si>
    <t>vale refeicao</t>
  </si>
  <si>
    <t>divergente</t>
  </si>
  <si>
    <t>kid stoke - tatuape</t>
  </si>
  <si>
    <t>submarino</t>
  </si>
  <si>
    <t>tibidabo sorvetes</t>
  </si>
  <si>
    <t>divino fogao</t>
  </si>
  <si>
    <t>gabriella kid</t>
  </si>
  <si>
    <t>por do sol carnes - caenelone</t>
  </si>
  <si>
    <t>presente</t>
  </si>
  <si>
    <t>5ª semana</t>
  </si>
  <si>
    <t>material para varal</t>
  </si>
  <si>
    <t>coxinha</t>
  </si>
  <si>
    <t>tapioca</t>
  </si>
  <si>
    <t>deposito benção</t>
  </si>
  <si>
    <t>acai</t>
  </si>
  <si>
    <t>mcdonalds</t>
  </si>
  <si>
    <t>suco metro</t>
  </si>
  <si>
    <t>caldo verde</t>
  </si>
  <si>
    <t>starbucks</t>
  </si>
  <si>
    <t>bk lanche</t>
  </si>
  <si>
    <t>mc donalds</t>
  </si>
  <si>
    <t>festa happy hour</t>
  </si>
  <si>
    <t>brooksfield</t>
  </si>
  <si>
    <t>janta samuel</t>
  </si>
  <si>
    <t>sorvete hagg</t>
  </si>
  <si>
    <t>salgado lanche</t>
  </si>
  <si>
    <t>panetonne</t>
  </si>
  <si>
    <t>ferro de passar roupa</t>
  </si>
  <si>
    <t>unha pe e mao</t>
  </si>
  <si>
    <t>multa</t>
  </si>
  <si>
    <t>wendys hamb</t>
  </si>
  <si>
    <t>refeicao</t>
  </si>
  <si>
    <t>Contr. INSS Remuner 13</t>
  </si>
  <si>
    <t>Tributo IRRF 13</t>
  </si>
  <si>
    <t>seguro de vida</t>
  </si>
  <si>
    <t>Assist. Medica fixa</t>
  </si>
  <si>
    <t>desconto da 1 parcela 13</t>
  </si>
  <si>
    <t>divergente pre 13</t>
  </si>
  <si>
    <t>divergente pos 13</t>
  </si>
  <si>
    <t>milk shake</t>
  </si>
  <si>
    <t>agua/chocolatado</t>
  </si>
  <si>
    <t>almoço samuel</t>
  </si>
  <si>
    <t>guapira</t>
  </si>
  <si>
    <t>costela de porco</t>
  </si>
  <si>
    <t>fogos</t>
  </si>
  <si>
    <t>lanche guapira</t>
  </si>
  <si>
    <t>doação</t>
  </si>
  <si>
    <t>divergencia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</si>
</sst>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64" formatCode="d/m/yyyy"/>
    <numFmt numFmtId="165" formatCode="d/mmm"/>
    <numFmt numFmtId="166" formatCode="_(&quot;R$ &quot;* #,##0.00_);_(&quot;R$ &quot;* \(#,##0.00\);_(&quot;R$ &quot;* \-??_);_(@_)"/>
    <numFmt numFmtId="167" formatCode="_-* #,##0.00_-;\-* #,##0.00_-;_-* \-??_-;_-@_-"/>
    <numFmt numFmtId="168" formatCode="&quot;R$ &quot;#,##0.00;[Red]&quot;-R$ &quot;#,##0.00"/>
  </numFmts>
  <fonts count="14" x14ac:knownFonts="1">
    <font>
      <sz val="10"/>
      <name val="Arial"/>
      <family val="2"/>
      <charset val="1"/>
    </font>
    <font>
      <sz val="10"/>
      <color rgb="FFFF0000"/>
      <name val="Arial"/>
      <family val="2"/>
      <charset val="1"/>
    </font>
    <font>
      <sz val="8"/>
      <name val="Arial"/>
      <family val="2"/>
      <charset val="1"/>
    </font>
    <font>
      <sz val="8"/>
      <color rgb="FF333333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002060"/>
      <name val="Arial"/>
      <family val="2"/>
      <charset val="1"/>
    </font>
    <font>
      <b/>
      <sz val="10"/>
      <name val="Arial"/>
      <family val="2"/>
      <charset val="1"/>
    </font>
    <font>
      <b/>
      <sz val="10"/>
      <color rgb="FFFF0000"/>
      <name val="Arial"/>
      <family val="2"/>
      <charset val="1"/>
    </font>
    <font>
      <b/>
      <sz val="11"/>
      <color rgb="FF333333"/>
      <name val="Arial"/>
      <family val="2"/>
      <charset val="1"/>
    </font>
    <font>
      <sz val="11"/>
      <color rgb="FF333333"/>
      <name val="Arial"/>
      <family val="2"/>
      <charset val="1"/>
    </font>
    <font>
      <sz val="9"/>
      <color rgb="FF333333"/>
      <name val="Arial"/>
      <family val="2"/>
      <charset val="1"/>
    </font>
    <font>
      <sz val="10"/>
      <name val="Arial"/>
      <family val="2"/>
      <charset val="1"/>
    </font>
    <font>
      <sz val="8"/>
      <color rgb="FF333333"/>
      <name val="Arial"/>
      <family val="2"/>
    </font>
    <font>
      <sz val="8"/>
      <color rgb="FFFF0000"/>
      <name val="Arial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D9D9D9"/>
        <bgColor rgb="FFDDDDDD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FFFFF"/>
      </patternFill>
    </fill>
    <fill>
      <patternFill patternType="solid">
        <fgColor rgb="FFA6A6A6"/>
        <bgColor rgb="FFBFBFBF"/>
      </patternFill>
    </fill>
    <fill>
      <patternFill patternType="solid">
        <fgColor rgb="FFFFFFFF"/>
        <bgColor rgb="FFF2F2F2"/>
      </patternFill>
    </fill>
    <fill>
      <patternFill patternType="solid">
        <fgColor theme="0" tint="-0.14999847407452621"/>
        <bgColor rgb="FFDDDDDD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thick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/>
      <top/>
      <bottom style="medium">
        <color rgb="FF6E6E6E"/>
      </bottom>
      <diagonal/>
    </border>
  </borders>
  <cellStyleXfs count="2">
    <xf numFmtId="0" fontId="0" fillId="0" borderId="0"/>
    <xf numFmtId="166" fontId="11" fillId="0" borderId="0" applyBorder="0" applyProtection="0"/>
  </cellStyleXfs>
  <cellXfs count="164">
    <xf numFmtId="0" fontId="0" fillId="0" borderId="0" xfId="0"/>
    <xf numFmtId="164" fontId="0" fillId="0" borderId="0" xfId="0" applyNumberFormat="1"/>
    <xf numFmtId="164" fontId="0" fillId="0" borderId="0" xfId="0" applyNumberFormat="1" applyFont="1"/>
    <xf numFmtId="0" fontId="0" fillId="0" borderId="0" xfId="0" applyFont="1"/>
    <xf numFmtId="0" fontId="0" fillId="2" borderId="0" xfId="0" applyFont="1" applyFill="1"/>
    <xf numFmtId="0" fontId="1" fillId="3" borderId="0" xfId="0" applyFont="1" applyFill="1"/>
    <xf numFmtId="0" fontId="0" fillId="3" borderId="0" xfId="0" applyFont="1" applyFill="1"/>
    <xf numFmtId="0" fontId="1" fillId="0" borderId="0" xfId="0" applyFont="1"/>
    <xf numFmtId="164" fontId="1" fillId="0" borderId="0" xfId="0" applyNumberFormat="1" applyFont="1"/>
    <xf numFmtId="0" fontId="1" fillId="2" borderId="0" xfId="0" applyFont="1" applyFill="1"/>
    <xf numFmtId="164" fontId="1" fillId="2" borderId="0" xfId="0" applyNumberFormat="1" applyFont="1" applyFill="1"/>
    <xf numFmtId="0" fontId="0" fillId="4" borderId="0" xfId="0" applyFont="1" applyFill="1"/>
    <xf numFmtId="0" fontId="0" fillId="0" borderId="0" xfId="0" applyFont="1" applyBorder="1"/>
    <xf numFmtId="164" fontId="0" fillId="0" borderId="0" xfId="0" applyNumberFormat="1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right" vertical="center" wrapText="1"/>
    </xf>
    <xf numFmtId="0" fontId="0" fillId="0" borderId="0" xfId="0" applyBorder="1"/>
    <xf numFmtId="165" fontId="2" fillId="0" borderId="0" xfId="0" applyNumberFormat="1" applyFont="1" applyBorder="1" applyAlignment="1">
      <alignment horizontal="left" vertical="center" wrapText="1"/>
    </xf>
    <xf numFmtId="2" fontId="2" fillId="0" borderId="0" xfId="0" applyNumberFormat="1" applyFont="1" applyBorder="1" applyAlignment="1">
      <alignment horizontal="right" vertical="center" wrapText="1"/>
    </xf>
    <xf numFmtId="0" fontId="5" fillId="0" borderId="0" xfId="0" applyFont="1" applyBorder="1"/>
    <xf numFmtId="0" fontId="1" fillId="0" borderId="0" xfId="0" applyFont="1" applyBorder="1"/>
    <xf numFmtId="165" fontId="3" fillId="0" borderId="0" xfId="0" applyNumberFormat="1" applyFont="1" applyBorder="1" applyAlignment="1">
      <alignment horizontal="left" vertical="center" wrapText="1"/>
    </xf>
    <xf numFmtId="166" fontId="0" fillId="0" borderId="0" xfId="1" applyFont="1" applyBorder="1" applyAlignment="1" applyProtection="1"/>
    <xf numFmtId="166" fontId="1" fillId="0" borderId="0" xfId="1" applyFont="1" applyBorder="1" applyAlignment="1" applyProtection="1"/>
    <xf numFmtId="167" fontId="1" fillId="0" borderId="0" xfId="0" applyNumberFormat="1" applyFont="1"/>
    <xf numFmtId="167" fontId="0" fillId="0" borderId="0" xfId="0" applyNumberFormat="1"/>
    <xf numFmtId="0" fontId="6" fillId="0" borderId="1" xfId="0" applyFont="1" applyBorder="1"/>
    <xf numFmtId="0" fontId="0" fillId="0" borderId="1" xfId="0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166" fontId="0" fillId="0" borderId="5" xfId="1" applyFont="1" applyBorder="1" applyAlignment="1" applyProtection="1"/>
    <xf numFmtId="2" fontId="0" fillId="0" borderId="6" xfId="0" applyNumberFormat="1" applyBorder="1"/>
    <xf numFmtId="166" fontId="0" fillId="0" borderId="1" xfId="1" applyFont="1" applyBorder="1" applyAlignment="1" applyProtection="1"/>
    <xf numFmtId="2" fontId="0" fillId="0" borderId="7" xfId="0" applyNumberFormat="1" applyBorder="1"/>
    <xf numFmtId="166" fontId="0" fillId="0" borderId="8" xfId="1" applyFont="1" applyBorder="1" applyAlignment="1" applyProtection="1"/>
    <xf numFmtId="2" fontId="0" fillId="0" borderId="9" xfId="0" applyNumberFormat="1" applyBorder="1"/>
    <xf numFmtId="0" fontId="7" fillId="0" borderId="0" xfId="0" applyFont="1"/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5" borderId="1" xfId="0" applyFont="1" applyFill="1" applyBorder="1" applyAlignment="1">
      <alignment horizontal="left"/>
    </xf>
    <xf numFmtId="0" fontId="0" fillId="5" borderId="1" xfId="0" applyFont="1" applyFill="1" applyBorder="1" applyAlignment="1">
      <alignment horizontal="center"/>
    </xf>
    <xf numFmtId="0" fontId="0" fillId="5" borderId="1" xfId="0" applyFont="1" applyFill="1" applyBorder="1"/>
    <xf numFmtId="0" fontId="0" fillId="5" borderId="1" xfId="1" applyNumberFormat="1" applyFont="1" applyFill="1" applyBorder="1" applyAlignment="1" applyProtection="1">
      <alignment horizontal="center"/>
    </xf>
    <xf numFmtId="0" fontId="4" fillId="0" borderId="1" xfId="0" applyFont="1" applyBorder="1" applyAlignment="1">
      <alignment horizontal="left"/>
    </xf>
    <xf numFmtId="166" fontId="7" fillId="0" borderId="1" xfId="1" applyFont="1" applyBorder="1" applyAlignment="1" applyProtection="1">
      <alignment horizontal="center"/>
    </xf>
    <xf numFmtId="0" fontId="0" fillId="4" borderId="1" xfId="1" applyNumberFormat="1" applyFont="1" applyFill="1" applyBorder="1" applyAlignment="1" applyProtection="1">
      <alignment horizontal="center"/>
    </xf>
    <xf numFmtId="0" fontId="4" fillId="4" borderId="1" xfId="1" applyNumberFormat="1" applyFont="1" applyFill="1" applyBorder="1" applyAlignment="1" applyProtection="1">
      <alignment horizontal="center"/>
    </xf>
    <xf numFmtId="0" fontId="0" fillId="4" borderId="1" xfId="0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6" fontId="7" fillId="0" borderId="1" xfId="1" applyFont="1" applyBorder="1" applyAlignment="1" applyProtection="1"/>
    <xf numFmtId="0" fontId="0" fillId="0" borderId="1" xfId="0" applyFont="1" applyBorder="1"/>
    <xf numFmtId="0" fontId="0" fillId="6" borderId="1" xfId="0" applyFont="1" applyFill="1" applyBorder="1" applyAlignment="1">
      <alignment horizontal="left"/>
    </xf>
    <xf numFmtId="166" fontId="7" fillId="6" borderId="1" xfId="1" applyFont="1" applyFill="1" applyBorder="1" applyAlignment="1" applyProtection="1">
      <alignment horizontal="center"/>
    </xf>
    <xf numFmtId="0" fontId="0" fillId="4" borderId="1" xfId="0" applyFont="1" applyFill="1" applyBorder="1" applyAlignment="1">
      <alignment horizontal="center"/>
    </xf>
    <xf numFmtId="165" fontId="0" fillId="6" borderId="1" xfId="0" applyNumberFormat="1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66" fontId="1" fillId="6" borderId="1" xfId="1" applyFont="1" applyFill="1" applyBorder="1" applyAlignment="1" applyProtection="1">
      <alignment horizontal="center"/>
    </xf>
    <xf numFmtId="0" fontId="0" fillId="6" borderId="1" xfId="0" applyFont="1" applyFill="1" applyBorder="1"/>
    <xf numFmtId="166" fontId="7" fillId="6" borderId="1" xfId="1" applyFont="1" applyFill="1" applyBorder="1" applyAlignment="1" applyProtection="1"/>
    <xf numFmtId="166" fontId="7" fillId="6" borderId="1" xfId="1" applyFont="1" applyFill="1" applyBorder="1" applyAlignment="1" applyProtection="1">
      <alignment horizontal="left" vertical="center" wrapText="1"/>
    </xf>
    <xf numFmtId="166" fontId="7" fillId="6" borderId="1" xfId="1" applyFont="1" applyFill="1" applyBorder="1" applyAlignment="1" applyProtection="1">
      <alignment horizontal="left"/>
    </xf>
    <xf numFmtId="0" fontId="2" fillId="6" borderId="1" xfId="0" applyFont="1" applyFill="1" applyBorder="1" applyAlignment="1">
      <alignment horizontal="left"/>
    </xf>
    <xf numFmtId="166" fontId="7" fillId="6" borderId="1" xfId="1" applyFont="1" applyFill="1" applyBorder="1" applyAlignment="1" applyProtection="1">
      <alignment horizontal="left" wrapText="1"/>
    </xf>
    <xf numFmtId="0" fontId="0" fillId="4" borderId="1" xfId="0" applyFont="1" applyFill="1" applyBorder="1"/>
    <xf numFmtId="0" fontId="0" fillId="4" borderId="1" xfId="0" applyFill="1" applyBorder="1"/>
    <xf numFmtId="0" fontId="0" fillId="0" borderId="1" xfId="0" applyBorder="1" applyAlignment="1">
      <alignment horizontal="center"/>
    </xf>
    <xf numFmtId="0" fontId="2" fillId="6" borderId="1" xfId="0" applyFont="1" applyFill="1" applyBorder="1" applyAlignment="1">
      <alignment horizontal="left" vertical="center"/>
    </xf>
    <xf numFmtId="166" fontId="7" fillId="6" borderId="1" xfId="1" applyFont="1" applyFill="1" applyBorder="1" applyAlignment="1" applyProtection="1">
      <alignment horizontal="right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7" fillId="0" borderId="1" xfId="0" applyFont="1" applyBorder="1" applyAlignment="1">
      <alignment horizontal="left"/>
    </xf>
    <xf numFmtId="166" fontId="1" fillId="0" borderId="1" xfId="1" applyFont="1" applyBorder="1" applyAlignment="1" applyProtection="1">
      <alignment horizontal="center"/>
    </xf>
    <xf numFmtId="0" fontId="4" fillId="0" borderId="0" xfId="0" applyFont="1" applyBorder="1" applyAlignment="1">
      <alignment horizontal="left"/>
    </xf>
    <xf numFmtId="166" fontId="4" fillId="0" borderId="0" xfId="1" applyFont="1" applyBorder="1" applyAlignment="1" applyProtection="1">
      <alignment horizontal="center"/>
    </xf>
    <xf numFmtId="165" fontId="0" fillId="0" borderId="0" xfId="0" applyNumberFormat="1"/>
    <xf numFmtId="166" fontId="4" fillId="0" borderId="1" xfId="1" applyFont="1" applyBorder="1" applyAlignment="1" applyProtection="1">
      <alignment horizontal="center"/>
    </xf>
    <xf numFmtId="166" fontId="1" fillId="3" borderId="0" xfId="0" applyNumberFormat="1" applyFont="1" applyFill="1"/>
    <xf numFmtId="0" fontId="1" fillId="5" borderId="0" xfId="0" applyFont="1" applyFill="1"/>
    <xf numFmtId="2" fontId="1" fillId="3" borderId="0" xfId="0" applyNumberFormat="1" applyFont="1" applyFill="1"/>
    <xf numFmtId="0" fontId="0" fillId="5" borderId="0" xfId="0" applyFill="1"/>
    <xf numFmtId="167" fontId="1" fillId="3" borderId="0" xfId="0" applyNumberFormat="1" applyFont="1" applyFill="1"/>
    <xf numFmtId="167" fontId="1" fillId="5" borderId="0" xfId="0" applyNumberFormat="1" applyFont="1" applyFill="1"/>
    <xf numFmtId="1" fontId="0" fillId="0" borderId="0" xfId="0" applyNumberFormat="1" applyFont="1"/>
    <xf numFmtId="0" fontId="6" fillId="0" borderId="0" xfId="0" applyFont="1" applyBorder="1" applyAlignment="1">
      <alignment horizontal="left"/>
    </xf>
    <xf numFmtId="0" fontId="6" fillId="0" borderId="0" xfId="0" applyFont="1"/>
    <xf numFmtId="165" fontId="0" fillId="0" borderId="0" xfId="0" applyNumberFormat="1" applyAlignment="1">
      <alignment vertical="center" wrapText="1"/>
    </xf>
    <xf numFmtId="0" fontId="0" fillId="0" borderId="0" xfId="0" applyFont="1" applyAlignment="1">
      <alignment vertical="center"/>
    </xf>
    <xf numFmtId="0" fontId="0" fillId="0" borderId="0" xfId="0" applyAlignment="1">
      <alignment vertical="center" wrapText="1"/>
    </xf>
    <xf numFmtId="2" fontId="3" fillId="0" borderId="0" xfId="0" applyNumberFormat="1" applyFont="1" applyBorder="1" applyAlignment="1">
      <alignment horizontal="right" vertical="center" wrapText="1"/>
    </xf>
    <xf numFmtId="0" fontId="8" fillId="6" borderId="10" xfId="0" applyFont="1" applyFill="1" applyBorder="1" applyAlignment="1">
      <alignment horizontal="left" wrapText="1"/>
    </xf>
    <xf numFmtId="0" fontId="9" fillId="6" borderId="11" xfId="0" applyFont="1" applyFill="1" applyBorder="1" applyAlignment="1">
      <alignment vertical="top" wrapText="1"/>
    </xf>
    <xf numFmtId="0" fontId="9" fillId="6" borderId="11" xfId="0" applyFont="1" applyFill="1" applyBorder="1" applyAlignment="1">
      <alignment horizontal="center" vertical="top" wrapText="1"/>
    </xf>
    <xf numFmtId="168" fontId="9" fillId="6" borderId="11" xfId="0" applyNumberFormat="1" applyFont="1" applyFill="1" applyBorder="1" applyAlignment="1">
      <alignment horizontal="right" vertical="top" wrapText="1"/>
    </xf>
    <xf numFmtId="0" fontId="9" fillId="6" borderId="11" xfId="0" applyFont="1" applyFill="1" applyBorder="1" applyAlignment="1">
      <alignment horizontal="right" vertical="top" wrapText="1"/>
    </xf>
    <xf numFmtId="2" fontId="9" fillId="6" borderId="11" xfId="0" applyNumberFormat="1" applyFont="1" applyFill="1" applyBorder="1" applyAlignment="1">
      <alignment horizontal="center" vertical="top" wrapText="1"/>
    </xf>
    <xf numFmtId="168" fontId="10" fillId="0" borderId="0" xfId="0" applyNumberFormat="1" applyFont="1"/>
    <xf numFmtId="168" fontId="0" fillId="0" borderId="0" xfId="0" applyNumberFormat="1"/>
    <xf numFmtId="1" fontId="0" fillId="0" borderId="0" xfId="0" applyNumberFormat="1"/>
    <xf numFmtId="0" fontId="1" fillId="0" borderId="0" xfId="0" applyFont="1" applyFill="1"/>
    <xf numFmtId="0" fontId="0" fillId="0" borderId="0" xfId="0" applyFont="1" applyFill="1"/>
    <xf numFmtId="164" fontId="1" fillId="0" borderId="0" xfId="0" applyNumberFormat="1" applyFont="1" applyFill="1"/>
    <xf numFmtId="0" fontId="0" fillId="0" borderId="0" xfId="0" applyFont="1" applyFill="1" applyBorder="1"/>
    <xf numFmtId="164" fontId="1" fillId="8" borderId="0" xfId="0" applyNumberFormat="1" applyFont="1" applyFill="1"/>
    <xf numFmtId="0" fontId="0" fillId="8" borderId="0" xfId="0" applyFont="1" applyFill="1"/>
    <xf numFmtId="0" fontId="1" fillId="8" borderId="0" xfId="0" applyFont="1" applyFill="1"/>
    <xf numFmtId="0" fontId="0" fillId="7" borderId="0" xfId="0" applyFont="1" applyFill="1"/>
    <xf numFmtId="166" fontId="11" fillId="0" borderId="0" xfId="1"/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right" vertical="center" wrapText="1"/>
    </xf>
    <xf numFmtId="43" fontId="0" fillId="0" borderId="0" xfId="0" applyNumberFormat="1" applyFont="1"/>
    <xf numFmtId="166" fontId="0" fillId="0" borderId="0" xfId="1" applyFont="1" applyFill="1" applyBorder="1" applyAlignment="1" applyProtection="1"/>
    <xf numFmtId="43" fontId="0" fillId="0" borderId="0" xfId="0" applyNumberFormat="1"/>
    <xf numFmtId="14" fontId="0" fillId="0" borderId="0" xfId="0" applyNumberFormat="1"/>
    <xf numFmtId="166" fontId="0" fillId="0" borderId="0" xfId="0" applyNumberFormat="1"/>
    <xf numFmtId="166" fontId="11" fillId="0" borderId="0" xfId="1" applyBorder="1" applyProtection="1"/>
    <xf numFmtId="14" fontId="0" fillId="0" borderId="0" xfId="0" applyNumberFormat="1" applyFont="1"/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9" borderId="0" xfId="0" applyFont="1" applyFill="1"/>
    <xf numFmtId="0" fontId="1" fillId="9" borderId="0" xfId="0" applyFont="1" applyFill="1"/>
    <xf numFmtId="0" fontId="0" fillId="0" borderId="0" xfId="0" applyFill="1" applyBorder="1"/>
    <xf numFmtId="0" fontId="0" fillId="0" borderId="0" xfId="0" applyAlignment="1">
      <alignment horizontal="right"/>
    </xf>
    <xf numFmtId="0" fontId="0" fillId="11" borderId="0" xfId="0" applyFont="1" applyFill="1"/>
    <xf numFmtId="0" fontId="1" fillId="11" borderId="0" xfId="0" applyFont="1" applyFill="1"/>
    <xf numFmtId="164" fontId="1" fillId="11" borderId="0" xfId="0" applyNumberFormat="1" applyFont="1" applyFill="1"/>
    <xf numFmtId="0" fontId="0" fillId="0" borderId="0" xfId="0" applyFill="1"/>
    <xf numFmtId="2" fontId="0" fillId="0" borderId="0" xfId="0" applyNumberFormat="1" applyFont="1" applyFill="1"/>
    <xf numFmtId="2" fontId="0" fillId="0" borderId="0" xfId="0" applyNumberFormat="1" applyFill="1"/>
    <xf numFmtId="0" fontId="12" fillId="10" borderId="0" xfId="0" applyFont="1" applyFill="1" applyBorder="1" applyAlignment="1">
      <alignment horizontal="left" vertical="center" wrapText="1"/>
    </xf>
    <xf numFmtId="0" fontId="2" fillId="0" borderId="12" xfId="0" applyFont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12" fillId="10" borderId="0" xfId="0" applyFont="1" applyFill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 wrapText="1"/>
    </xf>
    <xf numFmtId="0" fontId="2" fillId="0" borderId="12" xfId="0" applyFont="1" applyFill="1" applyBorder="1" applyAlignment="1">
      <alignment horizontal="right" vertical="center" wrapText="1"/>
    </xf>
    <xf numFmtId="164" fontId="0" fillId="0" borderId="0" xfId="0" applyNumberFormat="1" applyFont="1" applyBorder="1" applyAlignment="1">
      <alignment horizontal="right"/>
    </xf>
    <xf numFmtId="164" fontId="2" fillId="0" borderId="0" xfId="0" applyNumberFormat="1" applyFont="1" applyBorder="1" applyAlignment="1">
      <alignment horizontal="right"/>
    </xf>
    <xf numFmtId="14" fontId="2" fillId="0" borderId="0" xfId="0" applyNumberFormat="1" applyFont="1" applyBorder="1" applyAlignment="1">
      <alignment horizontal="right" vertical="center" wrapText="1"/>
    </xf>
    <xf numFmtId="14" fontId="2" fillId="0" borderId="0" xfId="0" applyNumberFormat="1" applyFont="1" applyBorder="1" applyAlignment="1">
      <alignment horizontal="right"/>
    </xf>
    <xf numFmtId="14" fontId="2" fillId="0" borderId="0" xfId="0" applyNumberFormat="1" applyFont="1" applyBorder="1" applyAlignment="1">
      <alignment horizontal="right" vertical="top" wrapText="1"/>
    </xf>
    <xf numFmtId="164" fontId="2" fillId="0" borderId="0" xfId="0" applyNumberFormat="1" applyFont="1" applyBorder="1" applyAlignment="1">
      <alignment horizontal="right" vertical="center" wrapText="1"/>
    </xf>
    <xf numFmtId="14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right" vertical="top"/>
    </xf>
    <xf numFmtId="164" fontId="0" fillId="0" borderId="0" xfId="0" applyNumberFormat="1" applyFont="1" applyAlignment="1">
      <alignment horizontal="right"/>
    </xf>
    <xf numFmtId="14" fontId="12" fillId="0" borderId="0" xfId="0" applyNumberFormat="1" applyFont="1" applyFill="1" applyBorder="1" applyAlignment="1">
      <alignment horizontal="right" vertical="center" wrapText="1"/>
    </xf>
    <xf numFmtId="14" fontId="0" fillId="0" borderId="0" xfId="0" applyNumberFormat="1" applyFont="1" applyAlignment="1">
      <alignment horizontal="right"/>
    </xf>
    <xf numFmtId="14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2" fillId="0" borderId="0" xfId="0" applyFont="1" applyBorder="1"/>
    <xf numFmtId="164" fontId="2" fillId="0" borderId="0" xfId="0" applyNumberFormat="1" applyFont="1" applyBorder="1"/>
    <xf numFmtId="0" fontId="2" fillId="0" borderId="0" xfId="0" applyFont="1"/>
    <xf numFmtId="0" fontId="13" fillId="0" borderId="0" xfId="0" applyFont="1" applyBorder="1"/>
    <xf numFmtId="0" fontId="2" fillId="0" borderId="0" xfId="0" applyFont="1" applyFill="1" applyBorder="1"/>
    <xf numFmtId="164" fontId="2" fillId="0" borderId="0" xfId="0" applyNumberFormat="1" applyFont="1"/>
    <xf numFmtId="0" fontId="2" fillId="2" borderId="0" xfId="0" applyFont="1" applyFill="1"/>
    <xf numFmtId="164" fontId="2" fillId="0" borderId="0" xfId="0" applyNumberFormat="1" applyFont="1" applyAlignment="1">
      <alignment horizontal="right" vertical="top"/>
    </xf>
    <xf numFmtId="164" fontId="2" fillId="0" borderId="0" xfId="0" applyNumberFormat="1" applyFont="1" applyAlignment="1">
      <alignment horizontal="right"/>
    </xf>
    <xf numFmtId="14" fontId="3" fillId="0" borderId="0" xfId="0" applyNumberFormat="1" applyFont="1" applyFill="1" applyBorder="1" applyAlignment="1">
      <alignment horizontal="right" vertical="center" wrapText="1"/>
    </xf>
    <xf numFmtId="0" fontId="3" fillId="0" borderId="0" xfId="0" applyFont="1"/>
    <xf numFmtId="14" fontId="2" fillId="0" borderId="0" xfId="0" applyNumberFormat="1" applyFont="1" applyAlignment="1">
      <alignment horizontal="right"/>
    </xf>
    <xf numFmtId="166" fontId="0" fillId="0" borderId="2" xfId="1" applyFont="1" applyBorder="1" applyAlignment="1" applyProtection="1">
      <alignment horizontal="center" vertical="distributed" wrapText="1"/>
    </xf>
    <xf numFmtId="0" fontId="9" fillId="6" borderId="11" xfId="0" applyFont="1" applyFill="1" applyBorder="1" applyAlignment="1">
      <alignment vertical="top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DDDD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2060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2"/>
  <sheetViews>
    <sheetView tabSelected="1" zoomScaleNormal="100" workbookViewId="0">
      <selection activeCell="A15" sqref="A15:D15"/>
    </sheetView>
  </sheetViews>
  <sheetFormatPr defaultRowHeight="12.75" x14ac:dyDescent="0.2"/>
  <cols>
    <col min="1" max="1" width="14.7109375"/>
    <col min="2" max="2" width="19.140625" style="1"/>
    <col min="3" max="3" width="12.42578125"/>
    <col min="4" max="4" width="16.140625"/>
    <col min="5" max="5" width="12.42578125"/>
    <col min="6" max="6" width="14.42578125"/>
    <col min="7" max="1025" width="12.42578125"/>
  </cols>
  <sheetData>
    <row r="1" spans="1:12" x14ac:dyDescent="0.2">
      <c r="A1" t="s">
        <v>0</v>
      </c>
      <c r="B1" s="1" t="s">
        <v>1</v>
      </c>
      <c r="C1" t="s">
        <v>2</v>
      </c>
      <c r="D1" t="s">
        <v>3</v>
      </c>
      <c r="E1" s="128"/>
      <c r="F1" s="128"/>
      <c r="G1" s="128"/>
      <c r="H1" s="128"/>
      <c r="I1" s="101"/>
      <c r="J1" s="128"/>
      <c r="K1" s="128"/>
      <c r="L1" s="128"/>
    </row>
    <row r="2" spans="1:12" x14ac:dyDescent="0.2">
      <c r="A2">
        <v>7959</v>
      </c>
      <c r="B2" s="2">
        <v>42614</v>
      </c>
      <c r="C2" t="s">
        <v>4</v>
      </c>
      <c r="D2" s="2">
        <v>42613</v>
      </c>
      <c r="E2" s="128"/>
      <c r="F2" s="128"/>
      <c r="G2" s="128"/>
      <c r="H2" s="128"/>
      <c r="I2" s="101"/>
      <c r="J2" s="128"/>
      <c r="K2" s="128"/>
      <c r="L2" s="128"/>
    </row>
    <row r="3" spans="1:12" x14ac:dyDescent="0.2">
      <c r="A3">
        <v>8517</v>
      </c>
      <c r="B3" s="2">
        <v>42644</v>
      </c>
      <c r="C3" t="s">
        <v>4</v>
      </c>
      <c r="D3" s="2">
        <v>42643</v>
      </c>
      <c r="E3" s="128"/>
      <c r="F3" s="128"/>
      <c r="G3" s="128"/>
      <c r="H3" s="128"/>
      <c r="I3" s="101"/>
      <c r="J3" s="128"/>
      <c r="K3" s="128"/>
      <c r="L3" s="128"/>
    </row>
    <row r="4" spans="1:12" x14ac:dyDescent="0.2">
      <c r="A4">
        <v>8517</v>
      </c>
      <c r="B4" s="2">
        <v>42675</v>
      </c>
      <c r="C4" t="s">
        <v>4</v>
      </c>
      <c r="D4" s="2">
        <v>42673</v>
      </c>
      <c r="E4" s="128"/>
      <c r="F4" s="128"/>
      <c r="G4" s="128"/>
      <c r="H4" s="128"/>
      <c r="I4" s="101"/>
      <c r="J4" s="128"/>
      <c r="K4" s="128"/>
      <c r="L4" s="128"/>
    </row>
    <row r="5" spans="1:12" x14ac:dyDescent="0.2">
      <c r="A5">
        <v>8517</v>
      </c>
      <c r="B5" s="2">
        <v>42705</v>
      </c>
      <c r="C5" t="s">
        <v>4</v>
      </c>
      <c r="D5" s="2">
        <v>42704</v>
      </c>
      <c r="E5" s="128"/>
      <c r="F5" s="128"/>
      <c r="G5" s="128"/>
      <c r="H5" s="128"/>
      <c r="I5" s="101"/>
      <c r="J5" s="128"/>
      <c r="K5" s="128"/>
      <c r="L5" s="128"/>
    </row>
    <row r="6" spans="1:12" x14ac:dyDescent="0.2">
      <c r="A6">
        <v>8517</v>
      </c>
      <c r="B6" s="2">
        <v>42705</v>
      </c>
      <c r="C6" t="s">
        <v>4</v>
      </c>
      <c r="D6" s="2">
        <v>42724</v>
      </c>
      <c r="E6" s="128"/>
      <c r="F6" s="128"/>
      <c r="G6" s="128"/>
      <c r="H6" s="128"/>
      <c r="I6" s="101"/>
      <c r="J6" s="128"/>
      <c r="K6" s="128"/>
      <c r="L6" s="128"/>
    </row>
    <row r="7" spans="1:12" x14ac:dyDescent="0.2">
      <c r="A7">
        <v>1500</v>
      </c>
      <c r="B7" s="2">
        <v>42644</v>
      </c>
      <c r="C7" t="s">
        <v>330</v>
      </c>
      <c r="D7" s="2">
        <v>42643</v>
      </c>
      <c r="E7" s="128"/>
      <c r="F7" s="128"/>
      <c r="G7" s="128"/>
      <c r="H7" s="128"/>
      <c r="I7" s="101"/>
      <c r="J7" s="128"/>
      <c r="K7" s="128"/>
      <c r="L7" s="128"/>
    </row>
    <row r="8" spans="1:12" x14ac:dyDescent="0.2">
      <c r="A8">
        <v>756.9</v>
      </c>
      <c r="B8" s="2">
        <v>42675</v>
      </c>
      <c r="C8" t="s">
        <v>431</v>
      </c>
      <c r="D8" s="2">
        <v>42690</v>
      </c>
      <c r="E8" s="128"/>
      <c r="F8" s="128"/>
      <c r="G8" s="128"/>
      <c r="H8" s="128"/>
      <c r="I8" s="101"/>
      <c r="J8" s="128"/>
      <c r="K8" s="128"/>
      <c r="L8" s="128"/>
    </row>
    <row r="9" spans="1:12" x14ac:dyDescent="0.2">
      <c r="A9" s="126">
        <v>3193.88</v>
      </c>
      <c r="B9" s="127">
        <v>42705</v>
      </c>
      <c r="C9" s="126">
        <v>13</v>
      </c>
      <c r="D9" s="127">
        <v>42724</v>
      </c>
      <c r="E9" s="128"/>
      <c r="F9" s="101"/>
      <c r="G9" s="128"/>
      <c r="H9" s="128"/>
      <c r="I9" s="128"/>
      <c r="J9" s="128"/>
      <c r="K9" s="128"/>
      <c r="L9" s="128"/>
    </row>
    <row r="10" spans="1:12" x14ac:dyDescent="0.2">
      <c r="A10">
        <v>1500</v>
      </c>
      <c r="B10" s="2">
        <v>42644</v>
      </c>
      <c r="C10" t="s">
        <v>330</v>
      </c>
      <c r="D10" s="2">
        <v>42652</v>
      </c>
      <c r="E10" s="128"/>
      <c r="F10" s="128"/>
      <c r="G10" s="128"/>
      <c r="H10" s="128"/>
      <c r="I10" s="128"/>
      <c r="J10" s="128"/>
      <c r="K10" s="128"/>
      <c r="L10" s="128"/>
    </row>
    <row r="11" spans="1:12" x14ac:dyDescent="0.2">
      <c r="A11">
        <v>500</v>
      </c>
      <c r="B11" s="2">
        <v>42675</v>
      </c>
      <c r="C11" t="s">
        <v>4</v>
      </c>
      <c r="D11" s="2">
        <v>42674</v>
      </c>
      <c r="E11" s="128"/>
      <c r="F11" s="128"/>
      <c r="G11" s="128"/>
      <c r="H11" s="128"/>
      <c r="I11" s="128"/>
      <c r="J11" s="128"/>
      <c r="K11" s="128"/>
      <c r="L11" s="128"/>
    </row>
    <row r="12" spans="1:12" x14ac:dyDescent="0.2">
      <c r="A12">
        <v>100</v>
      </c>
      <c r="B12" s="2">
        <v>42675</v>
      </c>
      <c r="C12" t="s">
        <v>367</v>
      </c>
      <c r="D12" s="2">
        <v>42674</v>
      </c>
      <c r="E12" s="128"/>
      <c r="F12" s="128"/>
      <c r="G12" s="128"/>
      <c r="H12" s="128"/>
      <c r="I12" s="128"/>
      <c r="J12" s="128"/>
      <c r="K12" s="128"/>
      <c r="L12" s="128"/>
    </row>
    <row r="13" spans="1:12" x14ac:dyDescent="0.2">
      <c r="A13">
        <v>30</v>
      </c>
      <c r="B13" s="2">
        <v>42675</v>
      </c>
      <c r="C13" s="3" t="s">
        <v>429</v>
      </c>
      <c r="D13" s="2">
        <v>42674</v>
      </c>
      <c r="E13" s="128"/>
      <c r="F13" s="129"/>
      <c r="G13" s="128"/>
      <c r="H13" s="128"/>
      <c r="I13" s="128"/>
      <c r="J13" s="128"/>
      <c r="K13" s="128"/>
      <c r="L13" s="128"/>
    </row>
    <row r="14" spans="1:12" x14ac:dyDescent="0.2">
      <c r="A14">
        <v>567.79999999999995</v>
      </c>
      <c r="B14" s="2">
        <v>42675</v>
      </c>
      <c r="C14" s="3" t="s">
        <v>430</v>
      </c>
      <c r="D14" s="2">
        <v>42674</v>
      </c>
      <c r="E14" s="128"/>
      <c r="F14" s="130"/>
      <c r="G14" s="128"/>
      <c r="H14" s="128"/>
      <c r="I14" s="128"/>
      <c r="J14" s="128"/>
      <c r="K14" s="128"/>
      <c r="L14" s="128"/>
    </row>
    <row r="15" spans="1:12" x14ac:dyDescent="0.2">
      <c r="A15" s="126">
        <v>6387.75</v>
      </c>
      <c r="B15" s="127">
        <v>42705</v>
      </c>
      <c r="C15" s="126">
        <v>13</v>
      </c>
      <c r="D15" s="127">
        <v>42704</v>
      </c>
      <c r="E15" s="128"/>
      <c r="F15" s="101"/>
      <c r="G15" s="128"/>
      <c r="H15" s="102"/>
      <c r="I15" s="101"/>
      <c r="J15" s="128"/>
      <c r="K15" s="128"/>
      <c r="L15" s="128"/>
    </row>
    <row r="16" spans="1:12" x14ac:dyDescent="0.2">
      <c r="B16" s="2"/>
      <c r="C16" s="3"/>
      <c r="D16" s="2"/>
      <c r="E16" s="102"/>
      <c r="F16" s="101"/>
      <c r="G16" s="128"/>
      <c r="H16" s="102"/>
      <c r="I16" s="101"/>
      <c r="J16" s="128"/>
      <c r="K16" s="128"/>
      <c r="L16" s="128"/>
    </row>
    <row r="17" spans="2:12" x14ac:dyDescent="0.2">
      <c r="B17" s="2"/>
      <c r="D17" s="2"/>
      <c r="E17" s="102"/>
      <c r="F17" s="101"/>
      <c r="G17" s="128"/>
      <c r="H17" s="102"/>
      <c r="I17" s="101"/>
      <c r="J17" s="128"/>
      <c r="K17" s="128"/>
      <c r="L17" s="128"/>
    </row>
    <row r="18" spans="2:12" x14ac:dyDescent="0.2">
      <c r="B18" s="2"/>
      <c r="D18" s="2"/>
      <c r="E18" s="102"/>
      <c r="F18" s="101"/>
      <c r="G18" s="128"/>
      <c r="H18" s="102"/>
      <c r="I18" s="101"/>
      <c r="J18" s="128"/>
      <c r="K18" s="128"/>
      <c r="L18" s="128"/>
    </row>
    <row r="19" spans="2:12" x14ac:dyDescent="0.2">
      <c r="B19" s="2"/>
      <c r="D19" s="2"/>
      <c r="E19" s="128"/>
      <c r="F19" s="101"/>
      <c r="G19" s="128"/>
      <c r="H19" s="102"/>
      <c r="I19" s="101"/>
      <c r="J19" s="128"/>
      <c r="K19" s="128"/>
      <c r="L19" s="128"/>
    </row>
    <row r="20" spans="2:12" x14ac:dyDescent="0.2">
      <c r="B20" s="2"/>
      <c r="D20" s="2"/>
      <c r="E20" s="128"/>
      <c r="F20" s="101"/>
      <c r="G20" s="128"/>
      <c r="H20" s="128"/>
      <c r="I20" s="128"/>
      <c r="J20" s="128"/>
      <c r="K20" s="128"/>
      <c r="L20" s="128"/>
    </row>
    <row r="21" spans="2:12" x14ac:dyDescent="0.2">
      <c r="B21" s="2"/>
      <c r="D21" s="2"/>
      <c r="E21" s="128"/>
      <c r="F21" s="101"/>
      <c r="G21" s="128"/>
      <c r="H21" s="128"/>
      <c r="I21" s="128"/>
      <c r="J21" s="128"/>
      <c r="K21" s="128"/>
      <c r="L21" s="128"/>
    </row>
    <row r="22" spans="2:12" x14ac:dyDescent="0.2">
      <c r="B22" s="2"/>
      <c r="D22" s="2"/>
      <c r="E22" s="128"/>
      <c r="F22" s="101"/>
      <c r="G22" s="128"/>
      <c r="H22" s="102"/>
      <c r="I22" s="101"/>
      <c r="J22" s="128"/>
      <c r="K22" s="128"/>
      <c r="L22" s="128"/>
    </row>
    <row r="23" spans="2:12" x14ac:dyDescent="0.2">
      <c r="E23" s="128"/>
      <c r="F23" s="101"/>
      <c r="G23" s="128"/>
      <c r="H23" s="102"/>
      <c r="I23" s="101"/>
      <c r="J23" s="128"/>
      <c r="K23" s="128"/>
      <c r="L23" s="128"/>
    </row>
    <row r="24" spans="2:12" x14ac:dyDescent="0.2">
      <c r="E24" s="128"/>
      <c r="F24" s="101"/>
      <c r="G24" s="128"/>
      <c r="H24" s="128"/>
      <c r="I24" s="128"/>
      <c r="J24" s="128"/>
      <c r="K24" s="128"/>
      <c r="L24" s="128"/>
    </row>
    <row r="25" spans="2:12" x14ac:dyDescent="0.2">
      <c r="E25" s="128"/>
      <c r="F25" s="101"/>
      <c r="G25" s="128"/>
      <c r="H25" s="128"/>
      <c r="I25" s="128"/>
      <c r="J25" s="128"/>
      <c r="K25" s="128"/>
      <c r="L25" s="128"/>
    </row>
    <row r="26" spans="2:12" x14ac:dyDescent="0.2">
      <c r="E26" s="128"/>
      <c r="F26" s="101"/>
      <c r="G26" s="128"/>
      <c r="H26" s="128"/>
      <c r="I26" s="128"/>
      <c r="J26" s="128"/>
      <c r="K26" s="128"/>
      <c r="L26" s="128"/>
    </row>
    <row r="27" spans="2:12" x14ac:dyDescent="0.2">
      <c r="E27" s="128"/>
      <c r="F27" s="101"/>
      <c r="G27" s="128"/>
      <c r="H27" s="128"/>
      <c r="I27" s="128"/>
      <c r="J27" s="128"/>
      <c r="K27" s="128"/>
      <c r="L27" s="128"/>
    </row>
    <row r="28" spans="2:12" x14ac:dyDescent="0.2">
      <c r="E28" s="128"/>
      <c r="F28" s="101"/>
      <c r="G28" s="128"/>
      <c r="H28" s="128"/>
      <c r="I28" s="128"/>
      <c r="J28" s="128"/>
      <c r="K28" s="128"/>
      <c r="L28" s="128"/>
    </row>
    <row r="29" spans="2:12" x14ac:dyDescent="0.2">
      <c r="E29" s="128"/>
      <c r="F29" s="101"/>
      <c r="G29" s="128"/>
      <c r="H29" s="128"/>
      <c r="I29" s="128"/>
      <c r="J29" s="128"/>
      <c r="K29" s="128"/>
      <c r="L29" s="128"/>
    </row>
    <row r="30" spans="2:12" x14ac:dyDescent="0.2">
      <c r="E30" s="128"/>
      <c r="F30" s="101"/>
      <c r="G30" s="128"/>
      <c r="H30" s="128"/>
      <c r="I30" s="128"/>
      <c r="J30" s="128"/>
      <c r="K30" s="128"/>
      <c r="L30" s="128"/>
    </row>
    <row r="31" spans="2:12" x14ac:dyDescent="0.2">
      <c r="E31" s="128"/>
      <c r="F31" s="102"/>
      <c r="G31" s="128"/>
      <c r="H31" s="128"/>
      <c r="I31" s="128"/>
      <c r="J31" s="128"/>
      <c r="K31" s="128"/>
      <c r="L31" s="128"/>
    </row>
    <row r="32" spans="2:12" x14ac:dyDescent="0.2">
      <c r="E32" s="128"/>
      <c r="F32" s="102"/>
      <c r="G32" s="128"/>
      <c r="H32" s="128"/>
      <c r="I32" s="128"/>
      <c r="J32" s="128"/>
      <c r="K32" s="128"/>
      <c r="L32" s="128"/>
    </row>
    <row r="33" spans="5:12" x14ac:dyDescent="0.2">
      <c r="E33" s="128"/>
      <c r="F33" s="101"/>
      <c r="G33" s="128"/>
      <c r="H33" s="128"/>
      <c r="I33" s="128"/>
      <c r="J33" s="128"/>
      <c r="K33" s="128"/>
      <c r="L33" s="128"/>
    </row>
    <row r="34" spans="5:12" x14ac:dyDescent="0.2">
      <c r="E34" s="128"/>
      <c r="F34" s="101"/>
      <c r="G34" s="128"/>
      <c r="H34" s="128"/>
      <c r="I34" s="128"/>
      <c r="J34" s="128"/>
      <c r="K34" s="128"/>
      <c r="L34" s="128"/>
    </row>
    <row r="35" spans="5:12" x14ac:dyDescent="0.2">
      <c r="E35" s="128"/>
      <c r="F35" s="101"/>
      <c r="G35" s="128"/>
      <c r="H35" s="128"/>
      <c r="I35" s="128"/>
      <c r="J35" s="128"/>
      <c r="K35" s="128"/>
      <c r="L35" s="128"/>
    </row>
    <row r="36" spans="5:12" x14ac:dyDescent="0.2">
      <c r="E36" s="128"/>
      <c r="F36" s="101"/>
      <c r="G36" s="128"/>
      <c r="H36" s="128"/>
      <c r="I36" s="128"/>
      <c r="J36" s="128"/>
      <c r="K36" s="128"/>
      <c r="L36" s="128"/>
    </row>
    <row r="37" spans="5:12" x14ac:dyDescent="0.2">
      <c r="E37" s="128"/>
      <c r="F37" s="101"/>
      <c r="G37" s="128"/>
      <c r="H37" s="128"/>
      <c r="I37" s="128"/>
      <c r="J37" s="128"/>
      <c r="K37" s="128"/>
      <c r="L37" s="128"/>
    </row>
    <row r="38" spans="5:12" x14ac:dyDescent="0.2">
      <c r="E38" s="128"/>
      <c r="F38" s="101"/>
      <c r="G38" s="128"/>
      <c r="H38" s="128"/>
      <c r="I38" s="128"/>
      <c r="J38" s="128"/>
      <c r="K38" s="128"/>
      <c r="L38" s="128"/>
    </row>
    <row r="39" spans="5:12" x14ac:dyDescent="0.2">
      <c r="E39" s="128"/>
      <c r="F39" s="101"/>
      <c r="G39" s="128"/>
      <c r="H39" s="128"/>
      <c r="I39" s="128"/>
      <c r="J39" s="128"/>
      <c r="K39" s="128"/>
      <c r="L39" s="128"/>
    </row>
    <row r="40" spans="5:12" x14ac:dyDescent="0.2">
      <c r="E40" s="128"/>
      <c r="F40" s="101"/>
      <c r="G40" s="128"/>
      <c r="H40" s="128"/>
      <c r="I40" s="128"/>
      <c r="J40" s="128"/>
      <c r="K40" s="128"/>
      <c r="L40" s="128"/>
    </row>
    <row r="41" spans="5:12" x14ac:dyDescent="0.2">
      <c r="E41" s="128"/>
      <c r="F41" s="101"/>
      <c r="G41" s="128"/>
      <c r="H41" s="128"/>
      <c r="I41" s="128"/>
      <c r="J41" s="128"/>
      <c r="K41" s="128"/>
      <c r="L41" s="128"/>
    </row>
    <row r="42" spans="5:12" x14ac:dyDescent="0.2">
      <c r="E42" s="128"/>
      <c r="F42" s="101"/>
      <c r="G42" s="128"/>
      <c r="H42" s="128"/>
      <c r="I42" s="128"/>
      <c r="J42" s="128"/>
      <c r="K42" s="128"/>
      <c r="L42" s="128"/>
    </row>
  </sheetData>
  <pageMargins left="0.51180555555555496" right="0.51180555555555496" top="0.78749999999999998" bottom="0.78749999999999998" header="0.51180555555555496" footer="0.51180555555555496"/>
  <pageSetup paperSize="9"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31"/>
  <sheetViews>
    <sheetView topLeftCell="A285" zoomScale="87" zoomScaleNormal="87" workbookViewId="0">
      <selection activeCell="I1" sqref="I1"/>
    </sheetView>
  </sheetViews>
  <sheetFormatPr defaultRowHeight="12.75" x14ac:dyDescent="0.2"/>
  <cols>
    <col min="1" max="1" width="46.85546875"/>
    <col min="2" max="2" width="14.7109375"/>
    <col min="3" max="3" width="12.42578125"/>
    <col min="4" max="4" width="17.140625"/>
    <col min="5" max="5" width="14.42578125"/>
    <col min="6" max="6" width="14.42578125" style="8"/>
    <col min="7" max="7" width="12.42578125"/>
    <col min="8" max="8" width="14.42578125" style="8"/>
    <col min="9" max="9" width="21.7109375"/>
    <col min="10" max="10" width="14.42578125"/>
    <col min="11" max="1025" width="12.42578125"/>
  </cols>
  <sheetData>
    <row r="1" spans="1:9" x14ac:dyDescent="0.2">
      <c r="A1" s="3" t="s">
        <v>6</v>
      </c>
      <c r="B1" s="7" t="s">
        <v>7</v>
      </c>
      <c r="C1" s="3" t="s">
        <v>8</v>
      </c>
      <c r="D1" s="3" t="s">
        <v>9</v>
      </c>
      <c r="E1" s="3" t="s">
        <v>10</v>
      </c>
      <c r="F1" s="7" t="s">
        <v>11</v>
      </c>
      <c r="G1" s="3" t="s">
        <v>12</v>
      </c>
      <c r="H1" s="7" t="s">
        <v>13</v>
      </c>
      <c r="I1" s="3" t="s">
        <v>14</v>
      </c>
    </row>
    <row r="2" spans="1:9" x14ac:dyDescent="0.2">
      <c r="A2" s="3" t="s">
        <v>305</v>
      </c>
      <c r="B2" s="7">
        <v>1024.28</v>
      </c>
      <c r="C2" s="3">
        <v>0</v>
      </c>
      <c r="D2" s="3">
        <v>1</v>
      </c>
      <c r="E2" s="3">
        <v>0</v>
      </c>
      <c r="F2" s="8">
        <v>42614</v>
      </c>
      <c r="G2" s="3" t="s">
        <v>48</v>
      </c>
      <c r="H2" s="8">
        <v>42612</v>
      </c>
      <c r="I2" s="3" t="s">
        <v>306</v>
      </c>
    </row>
    <row r="3" spans="1:9" x14ac:dyDescent="0.2">
      <c r="A3" s="4" t="s">
        <v>58</v>
      </c>
      <c r="B3" s="9">
        <v>570.88</v>
      </c>
      <c r="C3" s="4">
        <v>1</v>
      </c>
      <c r="D3" s="4">
        <v>0</v>
      </c>
      <c r="E3" s="4">
        <v>0</v>
      </c>
      <c r="F3" s="10">
        <v>42614</v>
      </c>
      <c r="G3" s="4" t="s">
        <v>16</v>
      </c>
      <c r="H3" s="10">
        <v>42614</v>
      </c>
      <c r="I3" s="4" t="s">
        <v>38</v>
      </c>
    </row>
    <row r="4" spans="1:9" x14ac:dyDescent="0.2">
      <c r="A4" s="4" t="s">
        <v>59</v>
      </c>
      <c r="B4" s="9">
        <v>1058.0999999999999</v>
      </c>
      <c r="C4" s="4">
        <v>1</v>
      </c>
      <c r="D4" s="4">
        <v>0</v>
      </c>
      <c r="E4" s="4">
        <v>0</v>
      </c>
      <c r="F4" s="10">
        <v>42614</v>
      </c>
      <c r="G4" s="4" t="s">
        <v>16</v>
      </c>
      <c r="H4" s="10">
        <v>42614</v>
      </c>
      <c r="I4" s="4" t="s">
        <v>38</v>
      </c>
    </row>
    <row r="5" spans="1:9" x14ac:dyDescent="0.2">
      <c r="A5" s="4" t="s">
        <v>56</v>
      </c>
      <c r="B5" s="9">
        <v>9.27</v>
      </c>
      <c r="C5" s="4">
        <v>1</v>
      </c>
      <c r="D5" s="4">
        <v>0</v>
      </c>
      <c r="E5" s="4">
        <v>0</v>
      </c>
      <c r="F5" s="10">
        <v>42614</v>
      </c>
      <c r="G5" s="4" t="s">
        <v>16</v>
      </c>
      <c r="H5" s="10">
        <v>42614</v>
      </c>
      <c r="I5" s="4" t="s">
        <v>38</v>
      </c>
    </row>
    <row r="6" spans="1:9" x14ac:dyDescent="0.2">
      <c r="A6" s="4" t="s">
        <v>61</v>
      </c>
      <c r="B6" s="9">
        <v>36.96</v>
      </c>
      <c r="C6" s="4">
        <v>1</v>
      </c>
      <c r="D6" s="4">
        <v>0</v>
      </c>
      <c r="E6" s="4">
        <v>0</v>
      </c>
      <c r="F6" s="10">
        <v>42614</v>
      </c>
      <c r="G6" s="4" t="s">
        <v>16</v>
      </c>
      <c r="H6" s="10">
        <v>42614</v>
      </c>
      <c r="I6" s="4" t="s">
        <v>38</v>
      </c>
    </row>
    <row r="7" spans="1:9" x14ac:dyDescent="0.2">
      <c r="A7" s="4" t="s">
        <v>66</v>
      </c>
      <c r="B7" s="9">
        <v>121.62</v>
      </c>
      <c r="C7" s="4">
        <v>1</v>
      </c>
      <c r="D7" s="4">
        <v>0</v>
      </c>
      <c r="E7" s="4">
        <v>0</v>
      </c>
      <c r="F7" s="10">
        <v>42614</v>
      </c>
      <c r="G7" s="4" t="s">
        <v>16</v>
      </c>
      <c r="H7" s="10">
        <v>42614</v>
      </c>
      <c r="I7" s="4" t="s">
        <v>38</v>
      </c>
    </row>
    <row r="8" spans="1:9" x14ac:dyDescent="0.2">
      <c r="A8" s="4" t="s">
        <v>67</v>
      </c>
      <c r="B8" s="9">
        <v>39</v>
      </c>
      <c r="C8" s="4">
        <v>1</v>
      </c>
      <c r="D8" s="4">
        <v>0</v>
      </c>
      <c r="E8" s="4">
        <v>0</v>
      </c>
      <c r="F8" s="10">
        <v>42614</v>
      </c>
      <c r="G8" s="4" t="s">
        <v>16</v>
      </c>
      <c r="H8" s="10">
        <v>42614</v>
      </c>
      <c r="I8" s="4" t="s">
        <v>38</v>
      </c>
    </row>
    <row r="9" spans="1:9" x14ac:dyDescent="0.2">
      <c r="A9" s="4" t="s">
        <v>62</v>
      </c>
      <c r="B9" s="9">
        <v>30</v>
      </c>
      <c r="C9" s="4">
        <v>1</v>
      </c>
      <c r="D9" s="4">
        <v>0</v>
      </c>
      <c r="E9" s="4">
        <v>0</v>
      </c>
      <c r="F9" s="10">
        <v>42614</v>
      </c>
      <c r="G9" s="4" t="s">
        <v>16</v>
      </c>
      <c r="H9" s="10">
        <v>42614</v>
      </c>
      <c r="I9" s="4" t="s">
        <v>38</v>
      </c>
    </row>
    <row r="10" spans="1:9" x14ac:dyDescent="0.2">
      <c r="A10" s="4" t="s">
        <v>57</v>
      </c>
      <c r="B10" s="9">
        <v>19.55</v>
      </c>
      <c r="C10" s="4">
        <v>1</v>
      </c>
      <c r="D10" s="4">
        <v>0</v>
      </c>
      <c r="E10" s="4">
        <v>0</v>
      </c>
      <c r="F10" s="10">
        <v>42614</v>
      </c>
      <c r="G10" s="4" t="s">
        <v>16</v>
      </c>
      <c r="H10" s="10">
        <v>42614</v>
      </c>
      <c r="I10" s="4" t="s">
        <v>38</v>
      </c>
    </row>
    <row r="11" spans="1:9" x14ac:dyDescent="0.2">
      <c r="A11" s="4" t="s">
        <v>63</v>
      </c>
      <c r="B11" s="9">
        <v>51</v>
      </c>
      <c r="C11" s="4">
        <v>1</v>
      </c>
      <c r="D11" s="4">
        <v>0</v>
      </c>
      <c r="E11" s="4">
        <v>0</v>
      </c>
      <c r="F11" s="10">
        <v>42614</v>
      </c>
      <c r="G11" s="4" t="s">
        <v>16</v>
      </c>
      <c r="H11" s="10">
        <v>42615</v>
      </c>
      <c r="I11" s="4" t="s">
        <v>17</v>
      </c>
    </row>
    <row r="12" spans="1:9" x14ac:dyDescent="0.2">
      <c r="A12" s="4" t="s">
        <v>21</v>
      </c>
      <c r="B12" s="9">
        <v>0</v>
      </c>
      <c r="C12" s="4">
        <v>1</v>
      </c>
      <c r="D12" s="4">
        <v>0</v>
      </c>
      <c r="E12" s="4">
        <v>1</v>
      </c>
      <c r="F12" s="10">
        <v>42614</v>
      </c>
      <c r="G12" s="4"/>
      <c r="H12" s="10"/>
      <c r="I12" s="4" t="s">
        <v>23</v>
      </c>
    </row>
    <row r="13" spans="1:9" x14ac:dyDescent="0.2">
      <c r="A13" s="4" t="s">
        <v>33</v>
      </c>
      <c r="B13" s="9">
        <v>0</v>
      </c>
      <c r="C13" s="4">
        <v>1</v>
      </c>
      <c r="D13" s="4">
        <v>0</v>
      </c>
      <c r="E13" s="4">
        <v>1</v>
      </c>
      <c r="F13" s="10">
        <v>42614</v>
      </c>
      <c r="G13" s="4"/>
      <c r="H13" s="10"/>
      <c r="I13" s="4" t="s">
        <v>23</v>
      </c>
    </row>
    <row r="14" spans="1:9" x14ac:dyDescent="0.2">
      <c r="A14" s="4" t="s">
        <v>34</v>
      </c>
      <c r="B14" s="9">
        <v>103.22</v>
      </c>
      <c r="C14" s="4">
        <v>1</v>
      </c>
      <c r="D14" s="4">
        <v>0</v>
      </c>
      <c r="E14" s="4">
        <v>0</v>
      </c>
      <c r="F14" s="10">
        <v>42614</v>
      </c>
      <c r="G14" s="4" t="s">
        <v>16</v>
      </c>
      <c r="H14" s="10">
        <v>42615</v>
      </c>
      <c r="I14" s="4" t="s">
        <v>23</v>
      </c>
    </row>
    <row r="15" spans="1:9" x14ac:dyDescent="0.2">
      <c r="A15" s="4" t="s">
        <v>20</v>
      </c>
      <c r="B15" s="9">
        <v>45.2</v>
      </c>
      <c r="C15" s="4">
        <v>1</v>
      </c>
      <c r="D15" s="4">
        <v>0</v>
      </c>
      <c r="E15" s="4">
        <v>0</v>
      </c>
      <c r="F15" s="10">
        <v>42614</v>
      </c>
      <c r="G15" s="4" t="s">
        <v>46</v>
      </c>
      <c r="H15" s="10">
        <v>42625</v>
      </c>
      <c r="I15" s="4" t="s">
        <v>17</v>
      </c>
    </row>
    <row r="16" spans="1:9" x14ac:dyDescent="0.2">
      <c r="A16" s="4" t="s">
        <v>35</v>
      </c>
      <c r="B16" s="9">
        <f>SUMIFS(credito!$B$2:$B$134,credito!$F$2:$F$134,F16,credito!$G$2:$G$134,0)</f>
        <v>3362.3599999999997</v>
      </c>
      <c r="C16" s="4">
        <v>1</v>
      </c>
      <c r="D16" s="4">
        <v>0</v>
      </c>
      <c r="E16" s="4">
        <v>0</v>
      </c>
      <c r="F16" s="10">
        <v>42614</v>
      </c>
      <c r="G16" s="4" t="s">
        <v>16</v>
      </c>
      <c r="H16" s="10">
        <v>42615</v>
      </c>
      <c r="I16" s="4" t="s">
        <v>36</v>
      </c>
    </row>
    <row r="17" spans="1:9" x14ac:dyDescent="0.2">
      <c r="A17" s="4" t="s">
        <v>24</v>
      </c>
      <c r="B17" s="9">
        <v>610</v>
      </c>
      <c r="C17" s="4">
        <v>1</v>
      </c>
      <c r="D17" s="4">
        <v>0</v>
      </c>
      <c r="E17" s="4">
        <v>0</v>
      </c>
      <c r="F17" s="10">
        <v>42614</v>
      </c>
      <c r="G17" s="4" t="s">
        <v>46</v>
      </c>
      <c r="H17" s="10">
        <v>42628</v>
      </c>
      <c r="I17" s="4" t="s">
        <v>25</v>
      </c>
    </row>
    <row r="18" spans="1:9" x14ac:dyDescent="0.2">
      <c r="A18" s="4" t="s">
        <v>26</v>
      </c>
      <c r="B18" s="9">
        <v>145</v>
      </c>
      <c r="C18" s="4">
        <v>1</v>
      </c>
      <c r="D18" s="4">
        <v>0</v>
      </c>
      <c r="E18" s="4">
        <v>0</v>
      </c>
      <c r="F18" s="10">
        <v>42614</v>
      </c>
      <c r="G18" s="4" t="s">
        <v>46</v>
      </c>
      <c r="H18" s="10">
        <v>42625</v>
      </c>
      <c r="I18" s="4" t="s">
        <v>26</v>
      </c>
    </row>
    <row r="19" spans="1:9" x14ac:dyDescent="0.2">
      <c r="A19" s="4" t="s">
        <v>30</v>
      </c>
      <c r="B19" s="9">
        <v>230</v>
      </c>
      <c r="C19" s="4">
        <v>1</v>
      </c>
      <c r="D19" s="4">
        <v>0</v>
      </c>
      <c r="E19" s="4">
        <v>0</v>
      </c>
      <c r="F19" s="10">
        <v>42614</v>
      </c>
      <c r="G19" s="4" t="s">
        <v>46</v>
      </c>
      <c r="H19" s="10">
        <v>42543</v>
      </c>
      <c r="I19" s="4" t="s">
        <v>32</v>
      </c>
    </row>
    <row r="20" spans="1:9" x14ac:dyDescent="0.2">
      <c r="A20" s="4" t="s">
        <v>51</v>
      </c>
      <c r="B20" s="9">
        <v>36.72</v>
      </c>
      <c r="C20" s="4">
        <v>1</v>
      </c>
      <c r="D20" s="4">
        <v>0</v>
      </c>
      <c r="E20" s="4">
        <v>0</v>
      </c>
      <c r="F20" s="10">
        <v>42614</v>
      </c>
      <c r="G20" s="4" t="s">
        <v>16</v>
      </c>
      <c r="H20" s="10">
        <v>42615</v>
      </c>
      <c r="I20" s="4" t="s">
        <v>23</v>
      </c>
    </row>
    <row r="21" spans="1:9" x14ac:dyDescent="0.2">
      <c r="A21" s="4" t="s">
        <v>51</v>
      </c>
      <c r="B21" s="9">
        <v>32.96</v>
      </c>
      <c r="C21" s="4">
        <v>1</v>
      </c>
      <c r="D21" s="4">
        <v>0</v>
      </c>
      <c r="E21" s="4">
        <v>0</v>
      </c>
      <c r="F21" s="10">
        <v>42614</v>
      </c>
      <c r="G21" s="4" t="s">
        <v>16</v>
      </c>
      <c r="H21" s="10">
        <v>42630</v>
      </c>
      <c r="I21" s="4" t="s">
        <v>23</v>
      </c>
    </row>
    <row r="22" spans="1:9" x14ac:dyDescent="0.2">
      <c r="A22" s="4" t="s">
        <v>15</v>
      </c>
      <c r="B22" s="9">
        <v>5.79</v>
      </c>
      <c r="C22" s="4">
        <v>1</v>
      </c>
      <c r="D22" s="4">
        <v>0</v>
      </c>
      <c r="E22" s="4">
        <v>0</v>
      </c>
      <c r="F22" s="10">
        <v>42614</v>
      </c>
      <c r="G22" s="4"/>
      <c r="H22" s="10">
        <v>42625</v>
      </c>
      <c r="I22" s="4" t="s">
        <v>17</v>
      </c>
    </row>
    <row r="23" spans="1:9" x14ac:dyDescent="0.2">
      <c r="A23" s="4" t="s">
        <v>18</v>
      </c>
      <c r="B23" s="9">
        <v>50</v>
      </c>
      <c r="C23" s="4">
        <v>1</v>
      </c>
      <c r="D23" s="4">
        <v>0</v>
      </c>
      <c r="E23" s="4">
        <v>0</v>
      </c>
      <c r="F23" s="10">
        <v>42614</v>
      </c>
      <c r="G23" s="4" t="s">
        <v>46</v>
      </c>
      <c r="H23" s="10">
        <v>42628</v>
      </c>
      <c r="I23" s="4" t="s">
        <v>477</v>
      </c>
    </row>
    <row r="24" spans="1:9" x14ac:dyDescent="0.2">
      <c r="A24" s="4" t="s">
        <v>53</v>
      </c>
      <c r="B24" s="9">
        <v>200</v>
      </c>
      <c r="C24" s="4">
        <v>0</v>
      </c>
      <c r="D24" s="4">
        <v>1</v>
      </c>
      <c r="E24" s="4">
        <v>0</v>
      </c>
      <c r="F24" s="10">
        <v>42614</v>
      </c>
      <c r="G24" s="4" t="s">
        <v>16</v>
      </c>
      <c r="H24" s="10">
        <v>42614</v>
      </c>
      <c r="I24" s="4" t="s">
        <v>60</v>
      </c>
    </row>
    <row r="25" spans="1:9" x14ac:dyDescent="0.2">
      <c r="A25" s="4" t="s">
        <v>296</v>
      </c>
      <c r="B25" s="9">
        <v>8</v>
      </c>
      <c r="C25" s="4">
        <v>0</v>
      </c>
      <c r="D25" s="4">
        <v>1</v>
      </c>
      <c r="E25" s="4">
        <v>0</v>
      </c>
      <c r="F25" s="10">
        <v>42614</v>
      </c>
      <c r="G25" s="4" t="s">
        <v>16</v>
      </c>
      <c r="H25" s="10">
        <v>42614</v>
      </c>
      <c r="I25" s="4" t="s">
        <v>42</v>
      </c>
    </row>
    <row r="26" spans="1:9" x14ac:dyDescent="0.2">
      <c r="A26" s="4" t="s">
        <v>304</v>
      </c>
      <c r="B26" s="9">
        <v>9.9499999999999993</v>
      </c>
      <c r="C26" s="4">
        <v>0</v>
      </c>
      <c r="D26" s="4">
        <v>1</v>
      </c>
      <c r="E26" s="4">
        <v>0</v>
      </c>
      <c r="F26" s="10">
        <v>42614</v>
      </c>
      <c r="G26" s="4" t="s">
        <v>16</v>
      </c>
      <c r="H26" s="10">
        <v>42614</v>
      </c>
      <c r="I26" s="4" t="s">
        <v>42</v>
      </c>
    </row>
    <row r="27" spans="1:9" x14ac:dyDescent="0.2">
      <c r="A27" s="4" t="s">
        <v>71</v>
      </c>
      <c r="B27" s="9">
        <v>375.34</v>
      </c>
      <c r="C27" s="4">
        <v>0</v>
      </c>
      <c r="D27" s="4">
        <v>1</v>
      </c>
      <c r="E27" s="4">
        <v>0</v>
      </c>
      <c r="F27" s="10">
        <v>42614</v>
      </c>
      <c r="G27" s="4" t="s">
        <v>22</v>
      </c>
      <c r="H27" s="10">
        <v>42630</v>
      </c>
      <c r="I27" s="4" t="s">
        <v>50</v>
      </c>
    </row>
    <row r="28" spans="1:9" x14ac:dyDescent="0.2">
      <c r="A28" s="4" t="s">
        <v>69</v>
      </c>
      <c r="B28" s="9">
        <v>68.099999999999994</v>
      </c>
      <c r="C28" s="4">
        <v>0</v>
      </c>
      <c r="D28" s="4">
        <v>1</v>
      </c>
      <c r="E28" s="4">
        <v>0</v>
      </c>
      <c r="F28" s="10">
        <v>42614</v>
      </c>
      <c r="G28" s="4" t="s">
        <v>16</v>
      </c>
      <c r="H28" s="10">
        <v>42615</v>
      </c>
      <c r="I28" s="4" t="s">
        <v>60</v>
      </c>
    </row>
    <row r="29" spans="1:9" x14ac:dyDescent="0.2">
      <c r="A29" s="4" t="s">
        <v>295</v>
      </c>
      <c r="B29" s="9">
        <v>5.13</v>
      </c>
      <c r="C29" s="4">
        <v>0</v>
      </c>
      <c r="D29" s="4">
        <v>1</v>
      </c>
      <c r="E29" s="4">
        <v>0</v>
      </c>
      <c r="F29" s="10">
        <v>42614</v>
      </c>
      <c r="G29" s="4" t="s">
        <v>16</v>
      </c>
      <c r="H29" s="10">
        <v>42615</v>
      </c>
      <c r="I29" s="4" t="s">
        <v>17</v>
      </c>
    </row>
    <row r="30" spans="1:9" x14ac:dyDescent="0.2">
      <c r="A30" s="4" t="s">
        <v>55</v>
      </c>
      <c r="B30" s="9">
        <v>72.11</v>
      </c>
      <c r="C30" s="4">
        <v>0</v>
      </c>
      <c r="D30" s="4">
        <v>1</v>
      </c>
      <c r="E30" s="4">
        <v>0</v>
      </c>
      <c r="F30" s="10">
        <v>42614</v>
      </c>
      <c r="G30" s="4" t="s">
        <v>31</v>
      </c>
      <c r="H30" s="10">
        <v>42618</v>
      </c>
      <c r="I30" s="4" t="s">
        <v>17</v>
      </c>
    </row>
    <row r="31" spans="1:9" x14ac:dyDescent="0.2">
      <c r="A31" s="4" t="s">
        <v>296</v>
      </c>
      <c r="B31" s="9">
        <v>4.18</v>
      </c>
      <c r="C31" s="4">
        <v>0</v>
      </c>
      <c r="D31" s="4">
        <v>1</v>
      </c>
      <c r="E31" s="4">
        <v>0</v>
      </c>
      <c r="F31" s="10">
        <v>42614</v>
      </c>
      <c r="G31" s="4" t="s">
        <v>31</v>
      </c>
      <c r="H31" s="10">
        <v>42618</v>
      </c>
      <c r="I31" s="4" t="s">
        <v>42</v>
      </c>
    </row>
    <row r="32" spans="1:9" x14ac:dyDescent="0.2">
      <c r="A32" s="4" t="s">
        <v>297</v>
      </c>
      <c r="B32" s="9">
        <v>9</v>
      </c>
      <c r="C32" s="4">
        <v>0</v>
      </c>
      <c r="D32" s="4">
        <v>1</v>
      </c>
      <c r="E32" s="4">
        <v>0</v>
      </c>
      <c r="F32" s="10">
        <v>42614</v>
      </c>
      <c r="G32" s="4" t="s">
        <v>31</v>
      </c>
      <c r="H32" s="10">
        <v>42618</v>
      </c>
      <c r="I32" s="4" t="s">
        <v>43</v>
      </c>
    </row>
    <row r="33" spans="1:9" x14ac:dyDescent="0.2">
      <c r="A33" s="4" t="s">
        <v>53</v>
      </c>
      <c r="B33" s="9">
        <v>40</v>
      </c>
      <c r="C33" s="4">
        <v>0</v>
      </c>
      <c r="D33" s="4">
        <v>1</v>
      </c>
      <c r="E33" s="4">
        <v>0</v>
      </c>
      <c r="F33" s="10">
        <v>42614</v>
      </c>
      <c r="G33" s="4" t="s">
        <v>31</v>
      </c>
      <c r="H33" s="10">
        <v>42617</v>
      </c>
      <c r="I33" s="4" t="s">
        <v>60</v>
      </c>
    </row>
    <row r="34" spans="1:9" x14ac:dyDescent="0.2">
      <c r="A34" s="4" t="s">
        <v>47</v>
      </c>
      <c r="B34" s="9">
        <v>8</v>
      </c>
      <c r="C34" s="4">
        <v>0</v>
      </c>
      <c r="D34" s="4">
        <v>1</v>
      </c>
      <c r="E34" s="4">
        <v>0</v>
      </c>
      <c r="F34" s="10">
        <v>42614</v>
      </c>
      <c r="G34" s="4" t="s">
        <v>31</v>
      </c>
      <c r="H34" s="10">
        <v>42618</v>
      </c>
      <c r="I34" s="4" t="s">
        <v>47</v>
      </c>
    </row>
    <row r="35" spans="1:9" x14ac:dyDescent="0.2">
      <c r="A35" s="4" t="s">
        <v>309</v>
      </c>
      <c r="B35" s="9">
        <v>8</v>
      </c>
      <c r="C35" s="4">
        <v>0</v>
      </c>
      <c r="D35" s="4">
        <v>1</v>
      </c>
      <c r="E35" s="4">
        <v>0</v>
      </c>
      <c r="F35" s="10">
        <v>42614</v>
      </c>
      <c r="G35" s="4" t="s">
        <v>31</v>
      </c>
      <c r="H35" s="10">
        <v>42619</v>
      </c>
      <c r="I35" s="4" t="s">
        <v>42</v>
      </c>
    </row>
    <row r="36" spans="1:9" x14ac:dyDescent="0.2">
      <c r="A36" s="4" t="s">
        <v>310</v>
      </c>
      <c r="B36" s="9">
        <v>8</v>
      </c>
      <c r="C36" s="4">
        <v>0</v>
      </c>
      <c r="D36" s="4">
        <v>1</v>
      </c>
      <c r="E36" s="4">
        <v>0</v>
      </c>
      <c r="F36" s="10">
        <v>42614</v>
      </c>
      <c r="G36" s="4" t="s">
        <v>31</v>
      </c>
      <c r="H36" s="10">
        <v>42622</v>
      </c>
      <c r="I36" s="4" t="s">
        <v>42</v>
      </c>
    </row>
    <row r="37" spans="1:9" x14ac:dyDescent="0.2">
      <c r="A37" s="4" t="s">
        <v>311</v>
      </c>
      <c r="B37" s="9">
        <v>20</v>
      </c>
      <c r="C37" s="4">
        <v>0</v>
      </c>
      <c r="D37" s="4">
        <v>1</v>
      </c>
      <c r="E37" s="4">
        <v>0</v>
      </c>
      <c r="F37" s="10">
        <v>42614</v>
      </c>
      <c r="G37" s="4" t="s">
        <v>22</v>
      </c>
      <c r="H37" s="10">
        <v>42623</v>
      </c>
      <c r="I37" s="4" t="s">
        <v>43</v>
      </c>
    </row>
    <row r="38" spans="1:9" x14ac:dyDescent="0.2">
      <c r="A38" s="4" t="s">
        <v>312</v>
      </c>
      <c r="B38" s="9">
        <v>4</v>
      </c>
      <c r="C38" s="4">
        <v>0</v>
      </c>
      <c r="D38" s="4">
        <v>1</v>
      </c>
      <c r="E38" s="4">
        <v>0</v>
      </c>
      <c r="F38" s="10">
        <v>42614</v>
      </c>
      <c r="G38" s="4" t="s">
        <v>22</v>
      </c>
      <c r="H38" s="10">
        <v>42623</v>
      </c>
      <c r="I38" s="4" t="s">
        <v>42</v>
      </c>
    </row>
    <row r="39" spans="1:9" x14ac:dyDescent="0.2">
      <c r="A39" s="4" t="s">
        <v>313</v>
      </c>
      <c r="B39" s="9">
        <v>4</v>
      </c>
      <c r="C39" s="4">
        <v>0</v>
      </c>
      <c r="D39" s="4">
        <v>1</v>
      </c>
      <c r="E39" s="4">
        <v>0</v>
      </c>
      <c r="F39" s="10">
        <v>42614</v>
      </c>
      <c r="G39" s="4" t="s">
        <v>46</v>
      </c>
      <c r="H39" s="10">
        <v>42625</v>
      </c>
      <c r="I39" s="4" t="s">
        <v>42</v>
      </c>
    </row>
    <row r="40" spans="1:9" x14ac:dyDescent="0.2">
      <c r="A40" s="4" t="s">
        <v>314</v>
      </c>
      <c r="B40" s="9">
        <v>13.3</v>
      </c>
      <c r="C40" s="4">
        <v>0</v>
      </c>
      <c r="D40" s="4">
        <v>1</v>
      </c>
      <c r="E40" s="4">
        <v>0</v>
      </c>
      <c r="F40" s="10">
        <v>42614</v>
      </c>
      <c r="G40" s="4" t="s">
        <v>46</v>
      </c>
      <c r="H40" s="10">
        <v>42625</v>
      </c>
      <c r="I40" s="4" t="s">
        <v>42</v>
      </c>
    </row>
    <row r="41" spans="1:9" x14ac:dyDescent="0.2">
      <c r="A41" s="4" t="s">
        <v>314</v>
      </c>
      <c r="B41" s="9">
        <v>6</v>
      </c>
      <c r="C41" s="4">
        <v>0</v>
      </c>
      <c r="D41" s="4">
        <v>1</v>
      </c>
      <c r="E41" s="4">
        <v>0</v>
      </c>
      <c r="F41" s="10">
        <v>42614</v>
      </c>
      <c r="G41" s="4" t="s">
        <v>46</v>
      </c>
      <c r="H41" s="10">
        <v>42625</v>
      </c>
      <c r="I41" s="4" t="s">
        <v>42</v>
      </c>
    </row>
    <row r="42" spans="1:9" x14ac:dyDescent="0.2">
      <c r="A42" s="4" t="s">
        <v>315</v>
      </c>
      <c r="B42" s="9">
        <v>3.9</v>
      </c>
      <c r="C42" s="4">
        <v>0</v>
      </c>
      <c r="D42" s="4">
        <v>1</v>
      </c>
      <c r="E42" s="4">
        <v>0</v>
      </c>
      <c r="F42" s="10">
        <v>42614</v>
      </c>
      <c r="G42" s="4" t="s">
        <v>46</v>
      </c>
      <c r="H42" s="10">
        <v>42627</v>
      </c>
      <c r="I42" s="4" t="s">
        <v>42</v>
      </c>
    </row>
    <row r="43" spans="1:9" x14ac:dyDescent="0.2">
      <c r="A43" s="4" t="s">
        <v>316</v>
      </c>
      <c r="B43" s="9">
        <v>3</v>
      </c>
      <c r="C43" s="4">
        <v>0</v>
      </c>
      <c r="D43" s="4">
        <v>1</v>
      </c>
      <c r="E43" s="4">
        <v>0</v>
      </c>
      <c r="F43" s="10">
        <v>42614</v>
      </c>
      <c r="G43" s="4" t="s">
        <v>46</v>
      </c>
      <c r="H43" s="10">
        <v>42626</v>
      </c>
      <c r="I43" s="4" t="s">
        <v>42</v>
      </c>
    </row>
    <row r="44" spans="1:9" x14ac:dyDescent="0.2">
      <c r="A44" s="4" t="s">
        <v>317</v>
      </c>
      <c r="B44" s="9">
        <v>3</v>
      </c>
      <c r="C44" s="4">
        <v>0</v>
      </c>
      <c r="D44" s="4">
        <v>1</v>
      </c>
      <c r="E44" s="4">
        <v>0</v>
      </c>
      <c r="F44" s="10">
        <v>42614</v>
      </c>
      <c r="G44" s="4" t="s">
        <v>46</v>
      </c>
      <c r="H44" s="10">
        <v>42627</v>
      </c>
      <c r="I44" s="4" t="s">
        <v>42</v>
      </c>
    </row>
    <row r="45" spans="1:9" x14ac:dyDescent="0.2">
      <c r="A45" s="4" t="s">
        <v>316</v>
      </c>
      <c r="B45" s="9">
        <v>6.5</v>
      </c>
      <c r="C45" s="4">
        <v>0</v>
      </c>
      <c r="D45" s="4">
        <v>1</v>
      </c>
      <c r="E45" s="4">
        <v>0</v>
      </c>
      <c r="F45" s="10">
        <v>42614</v>
      </c>
      <c r="G45" s="4" t="s">
        <v>46</v>
      </c>
      <c r="H45" s="10">
        <v>42627</v>
      </c>
      <c r="I45" s="4" t="s">
        <v>42</v>
      </c>
    </row>
    <row r="46" spans="1:9" x14ac:dyDescent="0.2">
      <c r="A46" s="4" t="s">
        <v>318</v>
      </c>
      <c r="B46" s="9">
        <v>15.5</v>
      </c>
      <c r="C46" s="4">
        <v>0</v>
      </c>
      <c r="D46" s="4">
        <v>1</v>
      </c>
      <c r="E46" s="4">
        <v>0</v>
      </c>
      <c r="F46" s="10">
        <v>42614</v>
      </c>
      <c r="G46" s="4" t="s">
        <v>46</v>
      </c>
      <c r="H46" s="10">
        <v>42628</v>
      </c>
      <c r="I46" s="4" t="s">
        <v>42</v>
      </c>
    </row>
    <row r="47" spans="1:9" x14ac:dyDescent="0.2">
      <c r="A47" s="4" t="s">
        <v>314</v>
      </c>
      <c r="B47" s="9">
        <v>5</v>
      </c>
      <c r="C47" s="4">
        <v>0</v>
      </c>
      <c r="D47" s="4">
        <v>1</v>
      </c>
      <c r="E47" s="4">
        <v>0</v>
      </c>
      <c r="F47" s="10">
        <v>42614</v>
      </c>
      <c r="G47" s="4" t="s">
        <v>46</v>
      </c>
      <c r="H47" s="10">
        <v>42628</v>
      </c>
      <c r="I47" s="4" t="s">
        <v>42</v>
      </c>
    </row>
    <row r="48" spans="1:9" x14ac:dyDescent="0.2">
      <c r="A48" s="4" t="s">
        <v>319</v>
      </c>
      <c r="B48" s="9">
        <v>40</v>
      </c>
      <c r="C48" s="4">
        <v>0</v>
      </c>
      <c r="D48" s="4">
        <v>1</v>
      </c>
      <c r="E48" s="4">
        <v>0</v>
      </c>
      <c r="F48" s="10">
        <v>42614</v>
      </c>
      <c r="G48" s="4" t="s">
        <v>46</v>
      </c>
      <c r="H48" s="10">
        <v>42629</v>
      </c>
      <c r="I48" s="4" t="s">
        <v>43</v>
      </c>
    </row>
    <row r="49" spans="1:9" x14ac:dyDescent="0.2">
      <c r="A49" s="4" t="s">
        <v>320</v>
      </c>
      <c r="B49" s="9">
        <v>10</v>
      </c>
      <c r="C49" s="4">
        <v>0</v>
      </c>
      <c r="D49" s="4">
        <v>1</v>
      </c>
      <c r="E49" s="4">
        <v>0</v>
      </c>
      <c r="F49" s="10">
        <v>42614</v>
      </c>
      <c r="G49" s="4" t="s">
        <v>46</v>
      </c>
      <c r="H49" s="10">
        <v>42629</v>
      </c>
      <c r="I49" s="4" t="s">
        <v>43</v>
      </c>
    </row>
    <row r="50" spans="1:9" x14ac:dyDescent="0.2">
      <c r="A50" s="4" t="s">
        <v>315</v>
      </c>
      <c r="B50" s="9">
        <v>5.48</v>
      </c>
      <c r="C50" s="4">
        <v>0</v>
      </c>
      <c r="D50" s="4">
        <v>1</v>
      </c>
      <c r="E50" s="4">
        <v>0</v>
      </c>
      <c r="F50" s="10">
        <v>42614</v>
      </c>
      <c r="G50" s="4" t="s">
        <v>46</v>
      </c>
      <c r="H50" s="10">
        <v>42629</v>
      </c>
      <c r="I50" s="4" t="s">
        <v>42</v>
      </c>
    </row>
    <row r="51" spans="1:9" x14ac:dyDescent="0.2">
      <c r="A51" s="4" t="s">
        <v>314</v>
      </c>
      <c r="B51" s="9">
        <v>8.9</v>
      </c>
      <c r="C51" s="4">
        <v>0</v>
      </c>
      <c r="D51" s="4">
        <v>1</v>
      </c>
      <c r="E51" s="4">
        <v>0</v>
      </c>
      <c r="F51" s="10">
        <v>42614</v>
      </c>
      <c r="G51" s="4" t="s">
        <v>46</v>
      </c>
      <c r="H51" s="10">
        <v>42629</v>
      </c>
      <c r="I51" s="4" t="s">
        <v>42</v>
      </c>
    </row>
    <row r="52" spans="1:9" x14ac:dyDescent="0.2">
      <c r="A52" s="4" t="s">
        <v>321</v>
      </c>
      <c r="B52" s="9">
        <v>35</v>
      </c>
      <c r="C52" s="4">
        <v>0</v>
      </c>
      <c r="D52" s="4">
        <v>1</v>
      </c>
      <c r="E52" s="4">
        <v>0</v>
      </c>
      <c r="F52" s="10">
        <v>42614</v>
      </c>
      <c r="G52" s="4" t="s">
        <v>46</v>
      </c>
      <c r="H52" s="10">
        <v>42629</v>
      </c>
      <c r="I52" s="4" t="s">
        <v>50</v>
      </c>
    </row>
    <row r="53" spans="1:9" x14ac:dyDescent="0.2">
      <c r="A53" s="4" t="s">
        <v>53</v>
      </c>
      <c r="B53" s="9">
        <v>9</v>
      </c>
      <c r="C53" s="4">
        <v>0</v>
      </c>
      <c r="D53" s="4">
        <v>1</v>
      </c>
      <c r="E53" s="4">
        <v>0</v>
      </c>
      <c r="F53" s="10">
        <v>42614</v>
      </c>
      <c r="G53" s="4" t="s">
        <v>22</v>
      </c>
      <c r="H53" s="10">
        <v>42630</v>
      </c>
      <c r="I53" s="4" t="s">
        <v>60</v>
      </c>
    </row>
    <row r="54" spans="1:9" x14ac:dyDescent="0.2">
      <c r="A54" s="4" t="s">
        <v>326</v>
      </c>
      <c r="B54" s="9">
        <v>10</v>
      </c>
      <c r="C54" s="4">
        <v>0</v>
      </c>
      <c r="D54" s="4">
        <v>1</v>
      </c>
      <c r="E54" s="4">
        <v>0</v>
      </c>
      <c r="F54" s="10">
        <v>42614</v>
      </c>
      <c r="G54" s="4" t="s">
        <v>22</v>
      </c>
      <c r="H54" s="10">
        <v>42630</v>
      </c>
      <c r="I54" s="4" t="s">
        <v>42</v>
      </c>
    </row>
    <row r="55" spans="1:9" x14ac:dyDescent="0.2">
      <c r="A55" s="4" t="s">
        <v>323</v>
      </c>
      <c r="B55" s="9">
        <v>20</v>
      </c>
      <c r="C55" s="4">
        <v>0</v>
      </c>
      <c r="D55" s="4">
        <v>1</v>
      </c>
      <c r="E55" s="4">
        <v>0</v>
      </c>
      <c r="F55" s="10">
        <v>42614</v>
      </c>
      <c r="G55" s="4" t="s">
        <v>22</v>
      </c>
      <c r="H55" s="10">
        <v>42631</v>
      </c>
      <c r="I55" s="4" t="s">
        <v>42</v>
      </c>
    </row>
    <row r="56" spans="1:9" x14ac:dyDescent="0.2">
      <c r="A56" s="4" t="s">
        <v>316</v>
      </c>
      <c r="B56" s="9">
        <v>3</v>
      </c>
      <c r="C56" s="4">
        <v>0</v>
      </c>
      <c r="D56" s="4">
        <v>1</v>
      </c>
      <c r="E56" s="4">
        <v>0</v>
      </c>
      <c r="F56" s="10">
        <v>42614</v>
      </c>
      <c r="G56" s="4" t="s">
        <v>46</v>
      </c>
      <c r="H56" s="10">
        <v>42629</v>
      </c>
      <c r="I56" s="4" t="s">
        <v>42</v>
      </c>
    </row>
    <row r="57" spans="1:9" x14ac:dyDescent="0.2">
      <c r="A57" s="4" t="s">
        <v>324</v>
      </c>
      <c r="B57" s="9">
        <v>6.5</v>
      </c>
      <c r="C57" s="4">
        <v>0</v>
      </c>
      <c r="D57" s="4">
        <v>1</v>
      </c>
      <c r="E57" s="4">
        <v>0</v>
      </c>
      <c r="F57" s="10">
        <v>42614</v>
      </c>
      <c r="G57" s="4" t="s">
        <v>46</v>
      </c>
      <c r="H57" s="10">
        <v>42629</v>
      </c>
      <c r="I57" s="4" t="s">
        <v>42</v>
      </c>
    </row>
    <row r="58" spans="1:9" x14ac:dyDescent="0.2">
      <c r="A58" s="4" t="s">
        <v>325</v>
      </c>
      <c r="B58" s="9">
        <v>9</v>
      </c>
      <c r="C58" s="4">
        <v>0</v>
      </c>
      <c r="D58" s="4">
        <v>1</v>
      </c>
      <c r="E58" s="4">
        <v>0</v>
      </c>
      <c r="F58" s="10">
        <v>42614</v>
      </c>
      <c r="G58" s="4" t="s">
        <v>46</v>
      </c>
      <c r="H58" s="10">
        <v>42629</v>
      </c>
      <c r="I58" s="4" t="s">
        <v>42</v>
      </c>
    </row>
    <row r="59" spans="1:9" x14ac:dyDescent="0.2">
      <c r="A59" s="4" t="s">
        <v>316</v>
      </c>
      <c r="B59" s="9">
        <v>8</v>
      </c>
      <c r="C59" s="4">
        <v>0</v>
      </c>
      <c r="D59" s="4">
        <v>1</v>
      </c>
      <c r="E59" s="4">
        <v>0</v>
      </c>
      <c r="F59" s="10">
        <v>42614</v>
      </c>
      <c r="G59" s="4" t="s">
        <v>48</v>
      </c>
      <c r="H59" s="10">
        <v>42633</v>
      </c>
      <c r="I59" s="4" t="s">
        <v>42</v>
      </c>
    </row>
    <row r="60" spans="1:9" x14ac:dyDescent="0.2">
      <c r="A60" s="4" t="s">
        <v>327</v>
      </c>
      <c r="B60" s="9">
        <v>5.5</v>
      </c>
      <c r="C60" s="4">
        <v>0</v>
      </c>
      <c r="D60" s="4">
        <v>1</v>
      </c>
      <c r="E60" s="4">
        <v>0</v>
      </c>
      <c r="F60" s="10">
        <v>42614</v>
      </c>
      <c r="G60" s="4" t="s">
        <v>48</v>
      </c>
      <c r="H60" s="10">
        <v>42633</v>
      </c>
      <c r="I60" s="4" t="s">
        <v>42</v>
      </c>
    </row>
    <row r="61" spans="1:9" x14ac:dyDescent="0.2">
      <c r="A61" s="4" t="s">
        <v>328</v>
      </c>
      <c r="B61" s="9">
        <v>7.59</v>
      </c>
      <c r="C61" s="4">
        <v>0</v>
      </c>
      <c r="D61" s="4">
        <v>1</v>
      </c>
      <c r="E61" s="4">
        <v>0</v>
      </c>
      <c r="F61" s="10">
        <v>42614</v>
      </c>
      <c r="G61" s="4" t="s">
        <v>48</v>
      </c>
      <c r="H61" s="10">
        <v>42634</v>
      </c>
      <c r="I61" s="4" t="s">
        <v>42</v>
      </c>
    </row>
    <row r="62" spans="1:9" x14ac:dyDescent="0.2">
      <c r="A62" s="4" t="s">
        <v>53</v>
      </c>
      <c r="B62" s="9">
        <v>9</v>
      </c>
      <c r="C62" s="4">
        <v>0</v>
      </c>
      <c r="D62" s="4">
        <v>1</v>
      </c>
      <c r="E62" s="4">
        <v>0</v>
      </c>
      <c r="F62" s="10">
        <v>42614</v>
      </c>
      <c r="G62" s="4" t="s">
        <v>48</v>
      </c>
      <c r="H62" s="10">
        <v>42635</v>
      </c>
      <c r="I62" s="4" t="s">
        <v>60</v>
      </c>
    </row>
    <row r="63" spans="1:9" x14ac:dyDescent="0.2">
      <c r="A63" s="4" t="s">
        <v>311</v>
      </c>
      <c r="B63" s="9">
        <v>41.99</v>
      </c>
      <c r="C63" s="4">
        <v>0</v>
      </c>
      <c r="D63" s="4">
        <v>1</v>
      </c>
      <c r="E63" s="4">
        <v>0</v>
      </c>
      <c r="F63" s="10">
        <v>42614</v>
      </c>
      <c r="G63" s="4" t="s">
        <v>48</v>
      </c>
      <c r="H63" s="10">
        <v>42637</v>
      </c>
      <c r="I63" s="4" t="s">
        <v>43</v>
      </c>
    </row>
    <row r="64" spans="1:9" x14ac:dyDescent="0.2">
      <c r="A64" s="4" t="s">
        <v>316</v>
      </c>
      <c r="B64" s="9">
        <v>3</v>
      </c>
      <c r="C64" s="4">
        <v>0</v>
      </c>
      <c r="D64" s="4">
        <v>1</v>
      </c>
      <c r="E64" s="4">
        <v>0</v>
      </c>
      <c r="F64" s="10">
        <v>42614</v>
      </c>
      <c r="G64" s="4" t="s">
        <v>48</v>
      </c>
      <c r="H64" s="10">
        <v>42637</v>
      </c>
      <c r="I64" s="4" t="s">
        <v>42</v>
      </c>
    </row>
    <row r="65" spans="1:9" x14ac:dyDescent="0.2">
      <c r="A65" s="4" t="s">
        <v>327</v>
      </c>
      <c r="B65" s="9">
        <v>3.8</v>
      </c>
      <c r="C65" s="4">
        <v>0</v>
      </c>
      <c r="D65" s="4">
        <v>1</v>
      </c>
      <c r="E65" s="4">
        <v>0</v>
      </c>
      <c r="F65" s="10">
        <v>42614</v>
      </c>
      <c r="G65" s="4" t="s">
        <v>48</v>
      </c>
      <c r="H65" s="10">
        <v>42637</v>
      </c>
      <c r="I65" s="4" t="s">
        <v>42</v>
      </c>
    </row>
    <row r="66" spans="1:9" x14ac:dyDescent="0.2">
      <c r="A66" s="4" t="s">
        <v>329</v>
      </c>
      <c r="B66" s="9">
        <v>37</v>
      </c>
      <c r="C66" s="4">
        <v>0</v>
      </c>
      <c r="D66" s="4">
        <v>1</v>
      </c>
      <c r="E66" s="4">
        <v>0</v>
      </c>
      <c r="F66" s="10">
        <v>42614</v>
      </c>
      <c r="G66" s="4" t="s">
        <v>48</v>
      </c>
      <c r="H66" s="10">
        <v>42637</v>
      </c>
      <c r="I66" s="4" t="s">
        <v>43</v>
      </c>
    </row>
    <row r="67" spans="1:9" x14ac:dyDescent="0.2">
      <c r="A67" s="4" t="s">
        <v>330</v>
      </c>
      <c r="B67" s="9">
        <v>52</v>
      </c>
      <c r="C67" s="4">
        <v>0</v>
      </c>
      <c r="D67" s="4">
        <v>1</v>
      </c>
      <c r="E67" s="4">
        <v>0</v>
      </c>
      <c r="F67" s="10">
        <v>42614</v>
      </c>
      <c r="G67" s="4" t="s">
        <v>48</v>
      </c>
      <c r="H67" s="10">
        <v>42637</v>
      </c>
      <c r="I67" s="4" t="s">
        <v>43</v>
      </c>
    </row>
    <row r="68" spans="1:9" x14ac:dyDescent="0.2">
      <c r="A68" s="4" t="s">
        <v>325</v>
      </c>
      <c r="B68" s="9">
        <v>4.87</v>
      </c>
      <c r="C68" s="4">
        <v>0</v>
      </c>
      <c r="D68" s="4">
        <v>1</v>
      </c>
      <c r="E68" s="4">
        <v>0</v>
      </c>
      <c r="F68" s="10">
        <v>42614</v>
      </c>
      <c r="G68" s="4" t="s">
        <v>48</v>
      </c>
      <c r="H68" s="10">
        <v>42637</v>
      </c>
      <c r="I68" s="4" t="s">
        <v>42</v>
      </c>
    </row>
    <row r="69" spans="1:9" x14ac:dyDescent="0.2">
      <c r="A69" s="4" t="s">
        <v>331</v>
      </c>
      <c r="B69" s="9">
        <v>9.5500000000000007</v>
      </c>
      <c r="C69" s="4">
        <v>0</v>
      </c>
      <c r="D69" s="4">
        <v>1</v>
      </c>
      <c r="E69" s="4">
        <v>0</v>
      </c>
      <c r="F69" s="10">
        <v>42614</v>
      </c>
      <c r="G69" s="4" t="s">
        <v>48</v>
      </c>
      <c r="H69" s="10">
        <v>42637</v>
      </c>
      <c r="I69" s="4" t="s">
        <v>60</v>
      </c>
    </row>
    <row r="70" spans="1:9" x14ac:dyDescent="0.2">
      <c r="A70" s="4" t="s">
        <v>332</v>
      </c>
      <c r="B70" s="9">
        <v>20.5</v>
      </c>
      <c r="C70" s="4">
        <v>0</v>
      </c>
      <c r="D70" s="4">
        <v>1</v>
      </c>
      <c r="E70" s="4">
        <v>0</v>
      </c>
      <c r="F70" s="10">
        <v>42614</v>
      </c>
      <c r="G70" s="4" t="s">
        <v>48</v>
      </c>
      <c r="H70" s="10">
        <v>42637</v>
      </c>
      <c r="I70" s="4" t="s">
        <v>47</v>
      </c>
    </row>
    <row r="71" spans="1:9" x14ac:dyDescent="0.2">
      <c r="A71" s="4" t="s">
        <v>334</v>
      </c>
      <c r="B71" s="9">
        <v>15</v>
      </c>
      <c r="C71" s="4">
        <v>0</v>
      </c>
      <c r="D71" s="4">
        <v>1</v>
      </c>
      <c r="E71" s="4">
        <v>0</v>
      </c>
      <c r="F71" s="10">
        <v>42614</v>
      </c>
      <c r="G71" s="4" t="s">
        <v>48</v>
      </c>
      <c r="H71" s="10">
        <v>42638</v>
      </c>
      <c r="I71" s="4" t="s">
        <v>42</v>
      </c>
    </row>
    <row r="72" spans="1:9" x14ac:dyDescent="0.2">
      <c r="A72" s="4" t="s">
        <v>316</v>
      </c>
      <c r="B72" s="9">
        <v>6.9</v>
      </c>
      <c r="C72" s="4">
        <v>0</v>
      </c>
      <c r="D72" s="4">
        <v>1</v>
      </c>
      <c r="E72" s="4">
        <v>0</v>
      </c>
      <c r="F72" s="10">
        <v>42614</v>
      </c>
      <c r="G72" s="4" t="s">
        <v>48</v>
      </c>
      <c r="H72" s="10">
        <v>42638</v>
      </c>
      <c r="I72" s="4" t="s">
        <v>42</v>
      </c>
    </row>
    <row r="73" spans="1:9" x14ac:dyDescent="0.2">
      <c r="A73" s="4" t="s">
        <v>41</v>
      </c>
      <c r="B73" s="9">
        <v>40.71</v>
      </c>
      <c r="C73" s="4">
        <v>0</v>
      </c>
      <c r="D73" s="4">
        <v>1</v>
      </c>
      <c r="E73" s="4">
        <v>0</v>
      </c>
      <c r="F73" s="10">
        <v>42614</v>
      </c>
      <c r="G73" s="4" t="s">
        <v>48</v>
      </c>
      <c r="H73" s="10">
        <v>42638</v>
      </c>
      <c r="I73" s="4" t="s">
        <v>41</v>
      </c>
    </row>
    <row r="74" spans="1:9" x14ac:dyDescent="0.2">
      <c r="A74" s="4" t="s">
        <v>327</v>
      </c>
      <c r="B74" s="9">
        <v>9.4</v>
      </c>
      <c r="C74" s="4">
        <v>0</v>
      </c>
      <c r="D74" s="4">
        <v>1</v>
      </c>
      <c r="E74" s="4">
        <v>0</v>
      </c>
      <c r="F74" s="10">
        <v>42614</v>
      </c>
      <c r="G74" s="4" t="s">
        <v>48</v>
      </c>
      <c r="H74" s="10">
        <v>42639</v>
      </c>
      <c r="I74" s="4" t="s">
        <v>42</v>
      </c>
    </row>
    <row r="75" spans="1:9" x14ac:dyDescent="0.2">
      <c r="A75" s="4" t="s">
        <v>328</v>
      </c>
      <c r="B75" s="9">
        <v>10.89</v>
      </c>
      <c r="C75" s="4">
        <v>0</v>
      </c>
      <c r="D75" s="4">
        <v>1</v>
      </c>
      <c r="E75" s="4">
        <v>0</v>
      </c>
      <c r="F75" s="10">
        <v>42614</v>
      </c>
      <c r="G75" s="4" t="s">
        <v>48</v>
      </c>
      <c r="H75" s="10">
        <v>42639</v>
      </c>
      <c r="I75" s="4" t="s">
        <v>42</v>
      </c>
    </row>
    <row r="76" spans="1:9" x14ac:dyDescent="0.2">
      <c r="A76" s="4" t="s">
        <v>327</v>
      </c>
      <c r="B76" s="9">
        <v>3</v>
      </c>
      <c r="C76" s="4">
        <v>0</v>
      </c>
      <c r="D76" s="4">
        <v>1</v>
      </c>
      <c r="E76" s="4">
        <v>0</v>
      </c>
      <c r="F76" s="10">
        <v>42614</v>
      </c>
      <c r="G76" s="4" t="s">
        <v>48</v>
      </c>
      <c r="H76" s="10">
        <v>42640</v>
      </c>
      <c r="I76" s="4" t="s">
        <v>42</v>
      </c>
    </row>
    <row r="77" spans="1:9" x14ac:dyDescent="0.2">
      <c r="A77" s="4" t="s">
        <v>333</v>
      </c>
      <c r="B77" s="9">
        <v>4</v>
      </c>
      <c r="C77" s="4">
        <v>0</v>
      </c>
      <c r="D77" s="4">
        <v>1</v>
      </c>
      <c r="E77" s="4">
        <v>0</v>
      </c>
      <c r="F77" s="10">
        <v>42614</v>
      </c>
      <c r="G77" s="4" t="s">
        <v>48</v>
      </c>
      <c r="H77" s="10">
        <v>42640</v>
      </c>
      <c r="I77" s="4" t="s">
        <v>42</v>
      </c>
    </row>
    <row r="78" spans="1:9" x14ac:dyDescent="0.2">
      <c r="A78" s="4" t="s">
        <v>316</v>
      </c>
      <c r="B78" s="9">
        <v>9</v>
      </c>
      <c r="C78" s="4">
        <v>0</v>
      </c>
      <c r="D78" s="4">
        <v>1</v>
      </c>
      <c r="E78" s="4">
        <v>0</v>
      </c>
      <c r="F78" s="10">
        <v>42614</v>
      </c>
      <c r="G78" s="4" t="s">
        <v>48</v>
      </c>
      <c r="H78" s="10">
        <v>42641</v>
      </c>
      <c r="I78" s="4" t="s">
        <v>42</v>
      </c>
    </row>
    <row r="79" spans="1:9" x14ac:dyDescent="0.2">
      <c r="A79" s="4" t="s">
        <v>316</v>
      </c>
      <c r="B79" s="9">
        <v>6.5</v>
      </c>
      <c r="C79" s="4">
        <v>0</v>
      </c>
      <c r="D79" s="4">
        <v>1</v>
      </c>
      <c r="E79" s="4">
        <v>0</v>
      </c>
      <c r="F79" s="10">
        <v>42614</v>
      </c>
      <c r="G79" s="4" t="s">
        <v>48</v>
      </c>
      <c r="H79" s="10">
        <v>42641</v>
      </c>
      <c r="I79" s="4" t="s">
        <v>42</v>
      </c>
    </row>
    <row r="80" spans="1:9" x14ac:dyDescent="0.2">
      <c r="A80" s="4" t="s">
        <v>40</v>
      </c>
      <c r="B80" s="9">
        <v>36</v>
      </c>
      <c r="C80" s="4">
        <v>0</v>
      </c>
      <c r="D80" s="4">
        <v>1</v>
      </c>
      <c r="E80" s="4">
        <v>0</v>
      </c>
      <c r="F80" s="10">
        <v>42614</v>
      </c>
      <c r="G80" s="4" t="s">
        <v>48</v>
      </c>
      <c r="H80" s="10">
        <v>42642</v>
      </c>
      <c r="I80" s="4" t="s">
        <v>40</v>
      </c>
    </row>
    <row r="81" spans="1:9" x14ac:dyDescent="0.2">
      <c r="A81" s="4" t="s">
        <v>349</v>
      </c>
      <c r="B81" s="9">
        <v>12.68</v>
      </c>
      <c r="C81" s="4">
        <v>0</v>
      </c>
      <c r="D81" s="4">
        <v>1</v>
      </c>
      <c r="E81" s="4">
        <v>0</v>
      </c>
      <c r="F81" s="10">
        <v>42614</v>
      </c>
      <c r="G81" s="4" t="s">
        <v>48</v>
      </c>
      <c r="H81" s="10">
        <v>42642</v>
      </c>
      <c r="I81" s="4" t="s">
        <v>42</v>
      </c>
    </row>
    <row r="82" spans="1:9" x14ac:dyDescent="0.2">
      <c r="A82" s="4" t="s">
        <v>350</v>
      </c>
      <c r="B82" s="9">
        <v>17.5</v>
      </c>
      <c r="C82" s="4">
        <v>0</v>
      </c>
      <c r="D82" s="4">
        <v>1</v>
      </c>
      <c r="E82" s="4">
        <v>0</v>
      </c>
      <c r="F82" s="10">
        <v>42614</v>
      </c>
      <c r="G82" s="4" t="s">
        <v>48</v>
      </c>
      <c r="H82" s="10">
        <v>42642</v>
      </c>
      <c r="I82" s="4" t="s">
        <v>42</v>
      </c>
    </row>
    <row r="83" spans="1:9" x14ac:dyDescent="0.2">
      <c r="A83" s="102" t="s">
        <v>55</v>
      </c>
      <c r="B83" s="101">
        <v>42.09</v>
      </c>
      <c r="C83" s="102">
        <v>0</v>
      </c>
      <c r="D83" s="102">
        <v>1</v>
      </c>
      <c r="E83" s="102">
        <v>0</v>
      </c>
      <c r="F83" s="8">
        <v>42644</v>
      </c>
      <c r="G83" s="3" t="s">
        <v>16</v>
      </c>
      <c r="H83" s="8">
        <v>42648</v>
      </c>
      <c r="I83" s="102" t="s">
        <v>17</v>
      </c>
    </row>
    <row r="84" spans="1:9" x14ac:dyDescent="0.2">
      <c r="A84" s="3" t="s">
        <v>58</v>
      </c>
      <c r="B84" s="7">
        <v>570.88</v>
      </c>
      <c r="C84" s="3">
        <v>1</v>
      </c>
      <c r="D84" s="3">
        <v>0</v>
      </c>
      <c r="E84" s="3">
        <v>0</v>
      </c>
      <c r="F84" s="8">
        <v>42644</v>
      </c>
      <c r="G84" s="3" t="s">
        <v>16</v>
      </c>
      <c r="H84" s="8">
        <v>42644</v>
      </c>
      <c r="I84" s="3" t="s">
        <v>38</v>
      </c>
    </row>
    <row r="85" spans="1:9" x14ac:dyDescent="0.2">
      <c r="A85" s="3" t="s">
        <v>59</v>
      </c>
      <c r="B85" s="7">
        <v>1211.55</v>
      </c>
      <c r="C85" s="3">
        <v>1</v>
      </c>
      <c r="D85" s="3">
        <v>0</v>
      </c>
      <c r="E85" s="3">
        <v>0</v>
      </c>
      <c r="F85" s="8">
        <v>42644</v>
      </c>
      <c r="G85" s="3" t="s">
        <v>16</v>
      </c>
      <c r="H85" s="8">
        <v>42644</v>
      </c>
      <c r="I85" s="3" t="s">
        <v>38</v>
      </c>
    </row>
    <row r="86" spans="1:9" x14ac:dyDescent="0.2">
      <c r="A86" s="3" t="s">
        <v>56</v>
      </c>
      <c r="B86" s="7">
        <v>9.92</v>
      </c>
      <c r="C86" s="3">
        <v>1</v>
      </c>
      <c r="D86" s="3">
        <v>0</v>
      </c>
      <c r="E86" s="3">
        <v>0</v>
      </c>
      <c r="F86" s="8">
        <v>42644</v>
      </c>
      <c r="G86" s="3" t="s">
        <v>16</v>
      </c>
      <c r="H86" s="8">
        <v>42644</v>
      </c>
      <c r="I86" s="3" t="s">
        <v>38</v>
      </c>
    </row>
    <row r="87" spans="1:9" x14ac:dyDescent="0.2">
      <c r="A87" s="3" t="s">
        <v>351</v>
      </c>
      <c r="B87" s="7">
        <v>28.78</v>
      </c>
      <c r="C87" s="3">
        <v>1</v>
      </c>
      <c r="D87" s="3">
        <v>0</v>
      </c>
      <c r="E87" s="3">
        <v>0</v>
      </c>
      <c r="F87" s="8">
        <v>42644</v>
      </c>
      <c r="G87" s="3" t="s">
        <v>16</v>
      </c>
      <c r="H87" s="8">
        <v>42644</v>
      </c>
      <c r="I87" s="3" t="s">
        <v>38</v>
      </c>
    </row>
    <row r="88" spans="1:9" x14ac:dyDescent="0.2">
      <c r="A88" s="3" t="s">
        <v>61</v>
      </c>
      <c r="B88" s="7">
        <v>36.96</v>
      </c>
      <c r="C88" s="3">
        <v>1</v>
      </c>
      <c r="D88" s="3">
        <v>0</v>
      </c>
      <c r="E88" s="3">
        <v>0</v>
      </c>
      <c r="F88" s="8">
        <v>42644</v>
      </c>
      <c r="G88" s="3" t="s">
        <v>16</v>
      </c>
      <c r="H88" s="8">
        <v>42644</v>
      </c>
      <c r="I88" s="3" t="s">
        <v>38</v>
      </c>
    </row>
    <row r="89" spans="1:9" x14ac:dyDescent="0.2">
      <c r="A89" s="3" t="s">
        <v>66</v>
      </c>
      <c r="B89" s="7">
        <v>121.62</v>
      </c>
      <c r="C89" s="3">
        <v>1</v>
      </c>
      <c r="D89" s="3">
        <v>0</v>
      </c>
      <c r="E89" s="3">
        <v>0</v>
      </c>
      <c r="F89" s="8">
        <v>42644</v>
      </c>
      <c r="G89" s="3" t="s">
        <v>16</v>
      </c>
      <c r="H89" s="8">
        <v>42644</v>
      </c>
      <c r="I89" s="3" t="s">
        <v>38</v>
      </c>
    </row>
    <row r="90" spans="1:9" x14ac:dyDescent="0.2">
      <c r="A90" s="3" t="s">
        <v>67</v>
      </c>
      <c r="B90" s="7">
        <v>89</v>
      </c>
      <c r="C90" s="3">
        <v>1</v>
      </c>
      <c r="D90" s="3">
        <v>0</v>
      </c>
      <c r="E90" s="3">
        <v>0</v>
      </c>
      <c r="F90" s="8">
        <v>42644</v>
      </c>
      <c r="G90" s="3" t="s">
        <v>16</v>
      </c>
      <c r="H90" s="8">
        <v>42644</v>
      </c>
      <c r="I90" s="3" t="s">
        <v>38</v>
      </c>
    </row>
    <row r="91" spans="1:9" x14ac:dyDescent="0.2">
      <c r="A91" s="3" t="s">
        <v>62</v>
      </c>
      <c r="B91" s="7">
        <v>30</v>
      </c>
      <c r="C91" s="3">
        <v>1</v>
      </c>
      <c r="D91" s="3">
        <v>0</v>
      </c>
      <c r="E91" s="3">
        <v>0</v>
      </c>
      <c r="F91" s="8">
        <v>42644</v>
      </c>
      <c r="G91" s="3" t="s">
        <v>16</v>
      </c>
      <c r="H91" s="8">
        <v>42644</v>
      </c>
      <c r="I91" s="3" t="s">
        <v>38</v>
      </c>
    </row>
    <row r="92" spans="1:9" x14ac:dyDescent="0.2">
      <c r="A92" s="3" t="s">
        <v>57</v>
      </c>
      <c r="B92" s="7">
        <v>17.850000000000001</v>
      </c>
      <c r="C92" s="3">
        <v>1</v>
      </c>
      <c r="D92" s="3">
        <v>0</v>
      </c>
      <c r="E92" s="3">
        <v>0</v>
      </c>
      <c r="F92" s="8">
        <v>42644</v>
      </c>
      <c r="G92" s="3" t="s">
        <v>16</v>
      </c>
      <c r="H92" s="8">
        <v>42644</v>
      </c>
      <c r="I92" s="3" t="s">
        <v>38</v>
      </c>
    </row>
    <row r="93" spans="1:9" x14ac:dyDescent="0.2">
      <c r="A93" s="3" t="s">
        <v>63</v>
      </c>
      <c r="B93" s="7">
        <v>52.4</v>
      </c>
      <c r="C93" s="3">
        <v>1</v>
      </c>
      <c r="D93" s="3">
        <v>0</v>
      </c>
      <c r="E93" s="3">
        <v>0</v>
      </c>
      <c r="F93" s="8">
        <v>42644</v>
      </c>
      <c r="G93" s="3" t="s">
        <v>16</v>
      </c>
      <c r="H93" s="8">
        <v>42644</v>
      </c>
      <c r="I93" s="3" t="s">
        <v>17</v>
      </c>
    </row>
    <row r="94" spans="1:9" x14ac:dyDescent="0.2">
      <c r="A94" s="3" t="s">
        <v>21</v>
      </c>
      <c r="B94" s="7">
        <v>383.58</v>
      </c>
      <c r="C94" s="3">
        <v>1</v>
      </c>
      <c r="D94" s="3">
        <v>0</v>
      </c>
      <c r="E94" s="3">
        <v>0</v>
      </c>
      <c r="F94" s="8">
        <v>42644</v>
      </c>
      <c r="G94" s="3" t="s">
        <v>16</v>
      </c>
      <c r="H94" s="8">
        <v>42650</v>
      </c>
      <c r="I94" s="3" t="s">
        <v>23</v>
      </c>
    </row>
    <row r="95" spans="1:9" x14ac:dyDescent="0.2">
      <c r="A95" s="3" t="s">
        <v>33</v>
      </c>
      <c r="B95" s="7">
        <v>1427.5</v>
      </c>
      <c r="C95" s="3">
        <v>1</v>
      </c>
      <c r="D95" s="3">
        <v>0</v>
      </c>
      <c r="E95" s="3">
        <v>0</v>
      </c>
      <c r="F95" s="8">
        <v>42644</v>
      </c>
      <c r="G95" s="3" t="s">
        <v>31</v>
      </c>
      <c r="H95" s="8">
        <v>42657</v>
      </c>
      <c r="I95" s="3" t="s">
        <v>23</v>
      </c>
    </row>
    <row r="96" spans="1:9" x14ac:dyDescent="0.2">
      <c r="A96" s="3" t="s">
        <v>34</v>
      </c>
      <c r="B96" s="7">
        <v>94.35</v>
      </c>
      <c r="C96" s="3">
        <v>1</v>
      </c>
      <c r="D96" s="3">
        <v>0</v>
      </c>
      <c r="E96" s="3">
        <v>0</v>
      </c>
      <c r="F96" s="8">
        <v>42644</v>
      </c>
      <c r="G96" s="3" t="s">
        <v>16</v>
      </c>
      <c r="H96" s="8">
        <v>42650</v>
      </c>
      <c r="I96" s="3" t="s">
        <v>23</v>
      </c>
    </row>
    <row r="97" spans="1:11" x14ac:dyDescent="0.2">
      <c r="A97" s="3" t="s">
        <v>20</v>
      </c>
      <c r="B97" s="7">
        <v>45.2</v>
      </c>
      <c r="C97" s="3">
        <v>1</v>
      </c>
      <c r="D97" s="3">
        <v>0</v>
      </c>
      <c r="E97" s="3">
        <v>0</v>
      </c>
      <c r="F97" s="8">
        <v>42644</v>
      </c>
      <c r="G97" s="3" t="s">
        <v>31</v>
      </c>
      <c r="H97" s="8">
        <v>42653</v>
      </c>
      <c r="I97" s="3" t="s">
        <v>17</v>
      </c>
    </row>
    <row r="98" spans="1:11" x14ac:dyDescent="0.2">
      <c r="A98" s="3" t="s">
        <v>35</v>
      </c>
      <c r="B98" s="7">
        <f>SUMIFS(credito!$B$2:$B$134,credito!$F$2:$F$134,F98,credito!$G$2:$G$134,0)</f>
        <v>5532.0099999999993</v>
      </c>
      <c r="C98" s="3">
        <v>1</v>
      </c>
      <c r="D98" s="3">
        <v>0</v>
      </c>
      <c r="E98" s="3">
        <v>0</v>
      </c>
      <c r="F98" s="8">
        <v>42644</v>
      </c>
      <c r="G98" s="3" t="s">
        <v>16</v>
      </c>
      <c r="H98" s="8">
        <v>42644</v>
      </c>
      <c r="I98" s="3" t="s">
        <v>36</v>
      </c>
      <c r="K98">
        <v>1532.01</v>
      </c>
    </row>
    <row r="99" spans="1:11" x14ac:dyDescent="0.2">
      <c r="A99" s="3" t="s">
        <v>24</v>
      </c>
      <c r="B99" s="7">
        <v>605.91999999999996</v>
      </c>
      <c r="C99" s="3">
        <v>1</v>
      </c>
      <c r="D99" s="3">
        <v>0</v>
      </c>
      <c r="E99" s="3">
        <v>0</v>
      </c>
      <c r="F99" s="8">
        <v>42644</v>
      </c>
      <c r="G99" s="3" t="s">
        <v>31</v>
      </c>
      <c r="H99" s="8">
        <v>42660</v>
      </c>
      <c r="I99" s="3" t="s">
        <v>25</v>
      </c>
    </row>
    <row r="100" spans="1:11" x14ac:dyDescent="0.2">
      <c r="A100" s="3" t="s">
        <v>26</v>
      </c>
      <c r="B100" s="7">
        <v>145</v>
      </c>
      <c r="C100" s="3">
        <v>1</v>
      </c>
      <c r="D100" s="3">
        <v>0</v>
      </c>
      <c r="E100" s="3">
        <v>0</v>
      </c>
      <c r="F100" s="8">
        <v>42644</v>
      </c>
      <c r="G100" s="3" t="s">
        <v>31</v>
      </c>
      <c r="H100" s="8">
        <v>42657</v>
      </c>
      <c r="I100" s="3" t="s">
        <v>26</v>
      </c>
    </row>
    <row r="101" spans="1:11" x14ac:dyDescent="0.2">
      <c r="A101" s="3" t="s">
        <v>30</v>
      </c>
      <c r="B101" s="7">
        <v>0</v>
      </c>
      <c r="C101" s="3">
        <v>1</v>
      </c>
      <c r="D101" s="3">
        <v>0</v>
      </c>
      <c r="E101" s="3">
        <v>0</v>
      </c>
      <c r="F101" s="8">
        <v>42644</v>
      </c>
      <c r="G101" s="3"/>
      <c r="I101" s="3" t="s">
        <v>32</v>
      </c>
    </row>
    <row r="102" spans="1:11" x14ac:dyDescent="0.2">
      <c r="A102" s="3" t="s">
        <v>51</v>
      </c>
      <c r="B102" s="7">
        <v>27.91</v>
      </c>
      <c r="C102" s="3">
        <v>1</v>
      </c>
      <c r="D102" s="3">
        <v>0</v>
      </c>
      <c r="E102" s="3">
        <v>0</v>
      </c>
      <c r="F102" s="8">
        <v>42644</v>
      </c>
      <c r="G102" s="3" t="s">
        <v>46</v>
      </c>
      <c r="H102" s="8">
        <v>42661</v>
      </c>
      <c r="I102" s="3" t="s">
        <v>23</v>
      </c>
    </row>
    <row r="103" spans="1:11" x14ac:dyDescent="0.2">
      <c r="A103" s="3" t="s">
        <v>15</v>
      </c>
      <c r="B103" s="7">
        <v>5.79</v>
      </c>
      <c r="C103" s="3">
        <v>1</v>
      </c>
      <c r="D103" s="3">
        <v>0</v>
      </c>
      <c r="E103" s="3">
        <v>0</v>
      </c>
      <c r="F103" s="8">
        <v>42644</v>
      </c>
      <c r="G103" s="3" t="s">
        <v>31</v>
      </c>
      <c r="H103" s="8">
        <v>42653</v>
      </c>
      <c r="I103" s="3" t="s">
        <v>17</v>
      </c>
    </row>
    <row r="104" spans="1:11" x14ac:dyDescent="0.2">
      <c r="A104" s="3" t="s">
        <v>18</v>
      </c>
      <c r="B104" s="7">
        <v>50</v>
      </c>
      <c r="C104" s="3">
        <v>1</v>
      </c>
      <c r="D104" s="3">
        <v>0</v>
      </c>
      <c r="E104" s="3">
        <v>0</v>
      </c>
      <c r="F104" s="8">
        <v>42644</v>
      </c>
      <c r="G104" s="3" t="s">
        <v>31</v>
      </c>
      <c r="H104" s="8">
        <v>42660</v>
      </c>
      <c r="I104" s="3" t="s">
        <v>477</v>
      </c>
    </row>
    <row r="105" spans="1:11" x14ac:dyDescent="0.2">
      <c r="A105" s="3" t="s">
        <v>53</v>
      </c>
      <c r="B105" s="7">
        <v>200</v>
      </c>
      <c r="C105" s="3">
        <v>0</v>
      </c>
      <c r="D105" s="3">
        <v>1</v>
      </c>
      <c r="E105" s="3">
        <v>0</v>
      </c>
      <c r="F105" s="8">
        <v>42644</v>
      </c>
      <c r="G105" s="3" t="s">
        <v>16</v>
      </c>
      <c r="H105" s="8">
        <v>42646</v>
      </c>
      <c r="I105" s="3" t="s">
        <v>60</v>
      </c>
    </row>
    <row r="106" spans="1:11" x14ac:dyDescent="0.2">
      <c r="A106" s="3" t="s">
        <v>354</v>
      </c>
      <c r="B106" s="7">
        <v>10.49</v>
      </c>
      <c r="C106" s="3">
        <v>0</v>
      </c>
      <c r="D106" s="3">
        <v>1</v>
      </c>
      <c r="E106" s="3">
        <v>0</v>
      </c>
      <c r="F106" s="8">
        <v>42644</v>
      </c>
      <c r="G106" s="3" t="s">
        <v>16</v>
      </c>
      <c r="H106" s="8">
        <v>42646</v>
      </c>
      <c r="I106" s="3" t="s">
        <v>42</v>
      </c>
    </row>
    <row r="107" spans="1:11" x14ac:dyDescent="0.2">
      <c r="A107" s="3" t="s">
        <v>316</v>
      </c>
      <c r="B107" s="7">
        <v>3</v>
      </c>
      <c r="C107" s="3">
        <v>0</v>
      </c>
      <c r="D107" s="3">
        <v>1</v>
      </c>
      <c r="E107" s="3">
        <v>0</v>
      </c>
      <c r="F107" s="8">
        <v>42644</v>
      </c>
      <c r="G107" s="3" t="s">
        <v>16</v>
      </c>
      <c r="H107" s="8">
        <v>42646</v>
      </c>
      <c r="I107" s="3" t="s">
        <v>42</v>
      </c>
    </row>
    <row r="108" spans="1:11" x14ac:dyDescent="0.2">
      <c r="A108" s="3" t="s">
        <v>352</v>
      </c>
      <c r="B108" s="7">
        <v>4.7</v>
      </c>
      <c r="C108" s="3">
        <v>0</v>
      </c>
      <c r="D108" s="3">
        <v>1</v>
      </c>
      <c r="E108" s="3">
        <v>0</v>
      </c>
      <c r="F108" s="8">
        <v>42644</v>
      </c>
      <c r="G108" s="3" t="s">
        <v>16</v>
      </c>
      <c r="H108" s="8">
        <v>42646</v>
      </c>
      <c r="I108" s="3" t="s">
        <v>17</v>
      </c>
    </row>
    <row r="109" spans="1:11" x14ac:dyDescent="0.2">
      <c r="A109" s="3" t="s">
        <v>353</v>
      </c>
      <c r="B109" s="7">
        <v>9.6300000000000008</v>
      </c>
      <c r="C109" s="3">
        <v>0</v>
      </c>
      <c r="D109" s="3">
        <v>1</v>
      </c>
      <c r="E109" s="3">
        <v>0</v>
      </c>
      <c r="F109" s="8">
        <v>42644</v>
      </c>
      <c r="G109" s="3" t="s">
        <v>16</v>
      </c>
      <c r="H109" s="8">
        <v>42647</v>
      </c>
      <c r="I109" s="3" t="s">
        <v>42</v>
      </c>
    </row>
    <row r="110" spans="1:11" x14ac:dyDescent="0.2">
      <c r="A110" s="3" t="s">
        <v>325</v>
      </c>
      <c r="B110" s="7">
        <v>3.5</v>
      </c>
      <c r="C110" s="3">
        <v>0</v>
      </c>
      <c r="D110" s="3">
        <v>1</v>
      </c>
      <c r="E110" s="3">
        <v>0</v>
      </c>
      <c r="F110" s="8">
        <v>42644</v>
      </c>
      <c r="G110" s="3" t="s">
        <v>16</v>
      </c>
      <c r="H110" s="8">
        <v>42647</v>
      </c>
      <c r="I110" s="3" t="s">
        <v>42</v>
      </c>
    </row>
    <row r="111" spans="1:11" x14ac:dyDescent="0.2">
      <c r="A111" s="3" t="s">
        <v>325</v>
      </c>
      <c r="B111" s="7">
        <v>5</v>
      </c>
      <c r="C111" s="3">
        <v>0</v>
      </c>
      <c r="D111" s="3">
        <v>1</v>
      </c>
      <c r="E111" s="3">
        <v>0</v>
      </c>
      <c r="F111" s="8">
        <v>42644</v>
      </c>
      <c r="G111" s="3" t="s">
        <v>16</v>
      </c>
      <c r="H111" s="8">
        <v>42648</v>
      </c>
      <c r="I111" s="3" t="s">
        <v>42</v>
      </c>
    </row>
    <row r="112" spans="1:11" x14ac:dyDescent="0.2">
      <c r="A112" s="3" t="s">
        <v>316</v>
      </c>
      <c r="B112" s="7">
        <v>6.5</v>
      </c>
      <c r="C112" s="3">
        <v>0</v>
      </c>
      <c r="D112" s="3">
        <v>1</v>
      </c>
      <c r="E112" s="3">
        <v>0</v>
      </c>
      <c r="F112" s="8">
        <v>42644</v>
      </c>
      <c r="G112" s="3" t="s">
        <v>16</v>
      </c>
      <c r="H112" s="8">
        <v>42649</v>
      </c>
      <c r="I112" s="3" t="s">
        <v>42</v>
      </c>
    </row>
    <row r="113" spans="1:9" x14ac:dyDescent="0.2">
      <c r="A113" s="3" t="s">
        <v>40</v>
      </c>
      <c r="B113" s="7">
        <v>14.17</v>
      </c>
      <c r="C113" s="3">
        <v>0</v>
      </c>
      <c r="D113" s="3">
        <v>1</v>
      </c>
      <c r="E113" s="3">
        <v>0</v>
      </c>
      <c r="F113" s="8">
        <v>42644</v>
      </c>
      <c r="G113" s="3" t="s">
        <v>16</v>
      </c>
      <c r="H113" s="8">
        <v>42649</v>
      </c>
      <c r="I113" s="3" t="s">
        <v>40</v>
      </c>
    </row>
    <row r="114" spans="1:9" x14ac:dyDescent="0.2">
      <c r="A114" s="3" t="s">
        <v>316</v>
      </c>
      <c r="B114" s="7">
        <v>4</v>
      </c>
      <c r="C114" s="3">
        <v>0</v>
      </c>
      <c r="D114" s="3">
        <v>1</v>
      </c>
      <c r="E114" s="3">
        <v>0</v>
      </c>
      <c r="F114" s="8">
        <v>42644</v>
      </c>
      <c r="G114" s="3" t="s">
        <v>16</v>
      </c>
      <c r="H114" s="8">
        <v>42649</v>
      </c>
      <c r="I114" s="3" t="s">
        <v>42</v>
      </c>
    </row>
    <row r="115" spans="1:9" x14ac:dyDescent="0.2">
      <c r="A115" s="3" t="s">
        <v>361</v>
      </c>
      <c r="B115" s="7">
        <v>6.5</v>
      </c>
      <c r="C115" s="3">
        <v>0</v>
      </c>
      <c r="D115" s="3">
        <v>1</v>
      </c>
      <c r="E115" s="3">
        <v>0</v>
      </c>
      <c r="F115" s="8">
        <v>42644</v>
      </c>
      <c r="G115" s="3" t="s">
        <v>16</v>
      </c>
      <c r="H115" s="8">
        <v>42649</v>
      </c>
      <c r="I115" s="3" t="s">
        <v>42</v>
      </c>
    </row>
    <row r="116" spans="1:9" x14ac:dyDescent="0.2">
      <c r="A116" s="3" t="s">
        <v>362</v>
      </c>
      <c r="B116" s="7">
        <v>17.55</v>
      </c>
      <c r="C116" s="3">
        <v>0</v>
      </c>
      <c r="D116" s="3">
        <v>1</v>
      </c>
      <c r="E116" s="3">
        <v>0</v>
      </c>
      <c r="F116" s="8">
        <v>42644</v>
      </c>
      <c r="G116" s="3" t="s">
        <v>16</v>
      </c>
      <c r="H116" s="8">
        <v>42649</v>
      </c>
      <c r="I116" s="3" t="s">
        <v>42</v>
      </c>
    </row>
    <row r="117" spans="1:9" x14ac:dyDescent="0.2">
      <c r="A117" s="3" t="s">
        <v>317</v>
      </c>
      <c r="B117" s="7">
        <v>3</v>
      </c>
      <c r="C117" s="3">
        <v>0</v>
      </c>
      <c r="D117" s="3">
        <v>1</v>
      </c>
      <c r="E117" s="3">
        <v>0</v>
      </c>
      <c r="F117" s="8">
        <v>42644</v>
      </c>
      <c r="G117" s="3" t="s">
        <v>16</v>
      </c>
      <c r="H117" s="8">
        <v>42650</v>
      </c>
      <c r="I117" s="3" t="s">
        <v>42</v>
      </c>
    </row>
    <row r="118" spans="1:9" x14ac:dyDescent="0.2">
      <c r="A118" s="3" t="s">
        <v>316</v>
      </c>
      <c r="B118" s="7">
        <v>5</v>
      </c>
      <c r="C118" s="3">
        <v>0</v>
      </c>
      <c r="D118" s="3">
        <v>1</v>
      </c>
      <c r="E118" s="3">
        <v>0</v>
      </c>
      <c r="F118" s="8">
        <v>42644</v>
      </c>
      <c r="G118" s="3" t="s">
        <v>16</v>
      </c>
      <c r="H118" s="8">
        <v>42650</v>
      </c>
      <c r="I118" s="3" t="s">
        <v>42</v>
      </c>
    </row>
    <row r="119" spans="1:9" x14ac:dyDescent="0.2">
      <c r="A119" s="3" t="s">
        <v>311</v>
      </c>
      <c r="B119" s="7">
        <v>20</v>
      </c>
      <c r="C119" s="3">
        <v>0</v>
      </c>
      <c r="D119" s="3">
        <v>1</v>
      </c>
      <c r="E119" s="3">
        <v>0</v>
      </c>
      <c r="F119" s="8">
        <v>42644</v>
      </c>
      <c r="G119" s="3" t="s">
        <v>22</v>
      </c>
      <c r="H119" s="8">
        <v>42651</v>
      </c>
      <c r="I119" s="3" t="s">
        <v>43</v>
      </c>
    </row>
    <row r="120" spans="1:9" x14ac:dyDescent="0.2">
      <c r="A120" s="3" t="s">
        <v>363</v>
      </c>
      <c r="B120" s="7">
        <v>70</v>
      </c>
      <c r="C120" s="3">
        <v>0</v>
      </c>
      <c r="D120" s="3">
        <v>1</v>
      </c>
      <c r="E120" s="3">
        <v>0</v>
      </c>
      <c r="F120" s="8">
        <v>42644</v>
      </c>
      <c r="G120" s="3" t="s">
        <v>22</v>
      </c>
      <c r="H120" s="8">
        <v>42651</v>
      </c>
      <c r="I120" s="3" t="s">
        <v>363</v>
      </c>
    </row>
    <row r="121" spans="1:9" x14ac:dyDescent="0.2">
      <c r="A121" s="3" t="s">
        <v>363</v>
      </c>
      <c r="B121" s="7">
        <v>50</v>
      </c>
      <c r="C121" s="3">
        <v>0</v>
      </c>
      <c r="D121" s="3">
        <v>1</v>
      </c>
      <c r="E121" s="3">
        <v>0</v>
      </c>
      <c r="F121" s="8">
        <v>42644</v>
      </c>
      <c r="G121" s="3" t="s">
        <v>46</v>
      </c>
      <c r="H121" s="8">
        <v>42662</v>
      </c>
      <c r="I121" s="3" t="s">
        <v>363</v>
      </c>
    </row>
    <row r="122" spans="1:9" x14ac:dyDescent="0.2">
      <c r="A122" s="3" t="s">
        <v>47</v>
      </c>
      <c r="B122" s="7">
        <v>23</v>
      </c>
      <c r="C122" s="3">
        <v>0</v>
      </c>
      <c r="D122" s="3">
        <v>1</v>
      </c>
      <c r="E122" s="3">
        <v>0</v>
      </c>
      <c r="F122" s="8">
        <v>42644</v>
      </c>
      <c r="G122" s="3" t="s">
        <v>31</v>
      </c>
      <c r="H122" s="8">
        <v>42653</v>
      </c>
      <c r="I122" s="3" t="s">
        <v>47</v>
      </c>
    </row>
    <row r="123" spans="1:9" x14ac:dyDescent="0.2">
      <c r="A123" s="3" t="s">
        <v>364</v>
      </c>
      <c r="B123" s="7">
        <v>3</v>
      </c>
      <c r="C123" s="3">
        <v>0</v>
      </c>
      <c r="D123" s="3">
        <v>1</v>
      </c>
      <c r="E123" s="3">
        <v>0</v>
      </c>
      <c r="F123" s="8">
        <v>42644</v>
      </c>
      <c r="G123" s="3" t="s">
        <v>31</v>
      </c>
      <c r="H123" s="8">
        <v>42653</v>
      </c>
      <c r="I123" s="3" t="s">
        <v>42</v>
      </c>
    </row>
    <row r="124" spans="1:9" x14ac:dyDescent="0.2">
      <c r="A124" s="3" t="s">
        <v>325</v>
      </c>
      <c r="B124" s="7">
        <v>2</v>
      </c>
      <c r="C124" s="3">
        <v>0</v>
      </c>
      <c r="D124" s="3">
        <v>1</v>
      </c>
      <c r="E124" s="3">
        <v>0</v>
      </c>
      <c r="F124" s="8">
        <v>42644</v>
      </c>
      <c r="G124" s="3" t="s">
        <v>31</v>
      </c>
      <c r="H124" s="8">
        <v>42653</v>
      </c>
      <c r="I124" s="3" t="s">
        <v>42</v>
      </c>
    </row>
    <row r="125" spans="1:9" x14ac:dyDescent="0.2">
      <c r="A125" s="3" t="s">
        <v>365</v>
      </c>
      <c r="B125" s="7">
        <v>15</v>
      </c>
      <c r="C125" s="3">
        <v>0</v>
      </c>
      <c r="D125" s="3">
        <v>1</v>
      </c>
      <c r="E125" s="3">
        <v>0</v>
      </c>
      <c r="F125" s="8">
        <v>42644</v>
      </c>
      <c r="G125" s="3" t="s">
        <v>31</v>
      </c>
      <c r="H125" s="8">
        <v>42654</v>
      </c>
      <c r="I125" s="3" t="s">
        <v>47</v>
      </c>
    </row>
    <row r="126" spans="1:9" x14ac:dyDescent="0.2">
      <c r="A126" s="3" t="s">
        <v>366</v>
      </c>
      <c r="B126" s="7">
        <v>18</v>
      </c>
      <c r="C126" s="3">
        <v>0</v>
      </c>
      <c r="D126" s="3">
        <v>1</v>
      </c>
      <c r="E126" s="3">
        <v>0</v>
      </c>
      <c r="F126" s="8">
        <v>42644</v>
      </c>
      <c r="G126" s="3" t="s">
        <v>31</v>
      </c>
      <c r="H126" s="8">
        <v>42655</v>
      </c>
      <c r="I126" s="3" t="s">
        <v>376</v>
      </c>
    </row>
    <row r="127" spans="1:9" x14ac:dyDescent="0.2">
      <c r="A127" s="3" t="s">
        <v>312</v>
      </c>
      <c r="B127" s="7">
        <v>2.5</v>
      </c>
      <c r="C127" s="3">
        <v>0</v>
      </c>
      <c r="D127" s="3">
        <v>1</v>
      </c>
      <c r="E127" s="3">
        <v>0</v>
      </c>
      <c r="F127" s="8">
        <v>42644</v>
      </c>
      <c r="G127" s="3" t="s">
        <v>31</v>
      </c>
      <c r="H127" s="8">
        <v>42656</v>
      </c>
      <c r="I127" s="3" t="s">
        <v>42</v>
      </c>
    </row>
    <row r="128" spans="1:9" x14ac:dyDescent="0.2">
      <c r="A128" s="3" t="s">
        <v>296</v>
      </c>
      <c r="B128" s="7">
        <v>4</v>
      </c>
      <c r="C128" s="3">
        <v>0</v>
      </c>
      <c r="D128" s="3">
        <v>1</v>
      </c>
      <c r="E128" s="3">
        <v>0</v>
      </c>
      <c r="F128" s="8">
        <v>42644</v>
      </c>
      <c r="G128" s="3" t="s">
        <v>31</v>
      </c>
      <c r="H128" s="8">
        <v>42656</v>
      </c>
      <c r="I128" s="3" t="s">
        <v>42</v>
      </c>
    </row>
    <row r="129" spans="1:9" x14ac:dyDescent="0.2">
      <c r="A129" s="3" t="s">
        <v>296</v>
      </c>
      <c r="B129" s="7">
        <v>6</v>
      </c>
      <c r="C129" s="3">
        <v>0</v>
      </c>
      <c r="D129" s="3">
        <v>1</v>
      </c>
      <c r="E129" s="3">
        <v>0</v>
      </c>
      <c r="F129" s="8">
        <v>42644</v>
      </c>
      <c r="G129" s="3" t="s">
        <v>31</v>
      </c>
      <c r="H129" s="8">
        <v>42656</v>
      </c>
      <c r="I129" s="3" t="s">
        <v>42</v>
      </c>
    </row>
    <row r="130" spans="1:9" x14ac:dyDescent="0.2">
      <c r="A130" s="3" t="s">
        <v>367</v>
      </c>
      <c r="B130" s="7">
        <v>100</v>
      </c>
      <c r="C130" s="3">
        <v>0</v>
      </c>
      <c r="D130" s="3">
        <v>1</v>
      </c>
      <c r="E130" s="3">
        <v>0</v>
      </c>
      <c r="F130" s="8">
        <v>42644</v>
      </c>
      <c r="G130" s="3" t="s">
        <v>31</v>
      </c>
      <c r="H130" s="8">
        <v>42654</v>
      </c>
      <c r="I130" s="3" t="s">
        <v>371</v>
      </c>
    </row>
    <row r="131" spans="1:9" x14ac:dyDescent="0.2">
      <c r="A131" s="3" t="s">
        <v>370</v>
      </c>
      <c r="B131" s="7">
        <v>17</v>
      </c>
      <c r="C131" s="3">
        <v>0</v>
      </c>
      <c r="D131" s="3">
        <v>1</v>
      </c>
      <c r="E131" s="3">
        <v>0</v>
      </c>
      <c r="F131" s="8">
        <v>42644</v>
      </c>
      <c r="G131" s="3" t="s">
        <v>31</v>
      </c>
      <c r="H131" s="8">
        <v>42658</v>
      </c>
      <c r="I131" s="3" t="s">
        <v>43</v>
      </c>
    </row>
    <row r="132" spans="1:9" x14ac:dyDescent="0.2">
      <c r="A132" s="3" t="s">
        <v>363</v>
      </c>
      <c r="B132" s="7">
        <v>30</v>
      </c>
      <c r="C132" s="3">
        <v>0</v>
      </c>
      <c r="D132" s="3">
        <v>1</v>
      </c>
      <c r="E132" s="3">
        <v>0</v>
      </c>
      <c r="F132" s="8">
        <v>42644</v>
      </c>
      <c r="G132" s="3" t="s">
        <v>31</v>
      </c>
      <c r="H132" s="8">
        <v>42659</v>
      </c>
      <c r="I132" s="3" t="s">
        <v>363</v>
      </c>
    </row>
    <row r="133" spans="1:9" x14ac:dyDescent="0.2">
      <c r="A133" s="3" t="s">
        <v>368</v>
      </c>
      <c r="B133" s="7">
        <v>30</v>
      </c>
      <c r="C133" s="3">
        <v>0</v>
      </c>
      <c r="D133" s="3">
        <v>1</v>
      </c>
      <c r="E133" s="3">
        <v>0</v>
      </c>
      <c r="F133" s="8">
        <v>42644</v>
      </c>
      <c r="G133" s="3" t="s">
        <v>31</v>
      </c>
      <c r="H133" s="8">
        <v>42658</v>
      </c>
      <c r="I133" s="3" t="s">
        <v>43</v>
      </c>
    </row>
    <row r="134" spans="1:9" x14ac:dyDescent="0.2">
      <c r="A134" s="3" t="s">
        <v>330</v>
      </c>
      <c r="B134" s="7">
        <v>20</v>
      </c>
      <c r="C134" s="3">
        <v>0</v>
      </c>
      <c r="D134" s="3">
        <v>1</v>
      </c>
      <c r="E134" s="3">
        <v>0</v>
      </c>
      <c r="F134" s="8">
        <v>42644</v>
      </c>
      <c r="G134" s="3" t="s">
        <v>31</v>
      </c>
      <c r="H134" s="8">
        <v>42659</v>
      </c>
      <c r="I134" s="3" t="s">
        <v>43</v>
      </c>
    </row>
    <row r="135" spans="1:9" x14ac:dyDescent="0.2">
      <c r="A135" s="3" t="s">
        <v>369</v>
      </c>
      <c r="B135" s="7">
        <v>476</v>
      </c>
      <c r="C135" s="3">
        <v>0</v>
      </c>
      <c r="D135" s="3">
        <v>1</v>
      </c>
      <c r="E135" s="3">
        <v>0</v>
      </c>
      <c r="F135" s="8">
        <v>42644</v>
      </c>
      <c r="G135" s="3" t="s">
        <v>31</v>
      </c>
      <c r="H135" s="8">
        <v>42658</v>
      </c>
      <c r="I135" s="3" t="s">
        <v>60</v>
      </c>
    </row>
    <row r="136" spans="1:9" x14ac:dyDescent="0.2">
      <c r="A136" s="3" t="s">
        <v>378</v>
      </c>
      <c r="B136" s="7">
        <v>14.4</v>
      </c>
      <c r="C136" s="3">
        <v>0</v>
      </c>
      <c r="D136" s="3">
        <v>1</v>
      </c>
      <c r="E136" s="3">
        <v>0</v>
      </c>
      <c r="F136" s="8">
        <v>42644</v>
      </c>
      <c r="G136" s="3" t="s">
        <v>46</v>
      </c>
      <c r="H136" s="8">
        <v>42663</v>
      </c>
      <c r="I136" s="3" t="s">
        <v>42</v>
      </c>
    </row>
    <row r="137" spans="1:9" x14ac:dyDescent="0.2">
      <c r="A137" s="3" t="s">
        <v>379</v>
      </c>
      <c r="B137" s="7">
        <v>10</v>
      </c>
      <c r="C137" s="3">
        <v>0</v>
      </c>
      <c r="D137" s="3">
        <v>1</v>
      </c>
      <c r="E137" s="3">
        <v>0</v>
      </c>
      <c r="F137" s="8">
        <v>42644</v>
      </c>
      <c r="G137" s="3" t="s">
        <v>46</v>
      </c>
      <c r="H137" s="8">
        <v>42663</v>
      </c>
      <c r="I137" s="3" t="s">
        <v>42</v>
      </c>
    </row>
    <row r="138" spans="1:9" x14ac:dyDescent="0.2">
      <c r="A138" s="3" t="s">
        <v>316</v>
      </c>
      <c r="B138" s="7">
        <v>6</v>
      </c>
      <c r="C138" s="3">
        <v>0</v>
      </c>
      <c r="D138" s="3">
        <v>1</v>
      </c>
      <c r="E138" s="3">
        <v>0</v>
      </c>
      <c r="F138" s="8">
        <v>42644</v>
      </c>
      <c r="G138" s="3" t="s">
        <v>48</v>
      </c>
      <c r="H138" s="8">
        <v>42667</v>
      </c>
      <c r="I138" s="3" t="s">
        <v>42</v>
      </c>
    </row>
    <row r="139" spans="1:9" x14ac:dyDescent="0.2">
      <c r="A139" s="3" t="s">
        <v>316</v>
      </c>
      <c r="B139" s="7">
        <v>8</v>
      </c>
      <c r="C139" s="3">
        <v>0</v>
      </c>
      <c r="D139" s="3">
        <v>1</v>
      </c>
      <c r="E139" s="3">
        <v>0</v>
      </c>
      <c r="F139" s="8">
        <v>42644</v>
      </c>
      <c r="G139" s="3" t="s">
        <v>48</v>
      </c>
      <c r="H139" s="8">
        <v>42669</v>
      </c>
      <c r="I139" s="3" t="s">
        <v>42</v>
      </c>
    </row>
    <row r="140" spans="1:9" x14ac:dyDescent="0.2">
      <c r="A140" s="3" t="s">
        <v>316</v>
      </c>
      <c r="B140" s="7">
        <v>3.5</v>
      </c>
      <c r="C140" s="3">
        <v>0</v>
      </c>
      <c r="D140" s="3">
        <v>1</v>
      </c>
      <c r="E140" s="3">
        <v>0</v>
      </c>
      <c r="F140" s="8">
        <v>42644</v>
      </c>
      <c r="G140" s="3" t="s">
        <v>48</v>
      </c>
      <c r="H140" s="8">
        <v>42671</v>
      </c>
      <c r="I140" s="3" t="s">
        <v>42</v>
      </c>
    </row>
    <row r="141" spans="1:9" x14ac:dyDescent="0.2">
      <c r="A141" s="3" t="s">
        <v>325</v>
      </c>
      <c r="B141" s="7">
        <v>9</v>
      </c>
      <c r="C141" s="3">
        <v>0</v>
      </c>
      <c r="D141" s="3">
        <v>1</v>
      </c>
      <c r="E141" s="3">
        <v>0</v>
      </c>
      <c r="F141" s="8">
        <v>42644</v>
      </c>
      <c r="G141" s="3" t="s">
        <v>48</v>
      </c>
      <c r="H141" s="8">
        <v>42671</v>
      </c>
      <c r="I141" s="3" t="s">
        <v>42</v>
      </c>
    </row>
    <row r="142" spans="1:9" x14ac:dyDescent="0.2">
      <c r="A142" s="3" t="s">
        <v>30</v>
      </c>
      <c r="B142" s="7">
        <v>60</v>
      </c>
      <c r="C142" s="3">
        <v>0</v>
      </c>
      <c r="D142" s="3">
        <v>1</v>
      </c>
      <c r="E142" s="3">
        <v>0</v>
      </c>
      <c r="F142" s="8">
        <v>42644</v>
      </c>
      <c r="G142" s="3" t="s">
        <v>48</v>
      </c>
      <c r="H142" s="8">
        <v>42668</v>
      </c>
      <c r="I142" s="3" t="s">
        <v>32</v>
      </c>
    </row>
    <row r="143" spans="1:9" x14ac:dyDescent="0.2">
      <c r="A143" s="3" t="s">
        <v>363</v>
      </c>
      <c r="B143" s="7">
        <v>64</v>
      </c>
      <c r="C143" s="3">
        <v>0</v>
      </c>
      <c r="D143" s="3">
        <v>1</v>
      </c>
      <c r="E143" s="3">
        <v>0</v>
      </c>
      <c r="F143" s="8">
        <v>42644</v>
      </c>
      <c r="G143" s="3" t="s">
        <v>22</v>
      </c>
      <c r="H143" s="8">
        <v>42666</v>
      </c>
      <c r="I143" s="3" t="s">
        <v>363</v>
      </c>
    </row>
    <row r="144" spans="1:9" x14ac:dyDescent="0.2">
      <c r="A144" s="3" t="s">
        <v>44</v>
      </c>
      <c r="B144" s="7">
        <v>3</v>
      </c>
      <c r="C144" s="3">
        <v>0</v>
      </c>
      <c r="D144" s="3">
        <v>1</v>
      </c>
      <c r="E144" s="3">
        <v>0</v>
      </c>
      <c r="F144" s="8">
        <v>42644</v>
      </c>
      <c r="G144" s="3" t="s">
        <v>22</v>
      </c>
      <c r="H144" s="8">
        <v>42672</v>
      </c>
      <c r="I144" s="3" t="s">
        <v>43</v>
      </c>
    </row>
    <row r="145" spans="1:9" x14ac:dyDescent="0.2">
      <c r="A145" s="121" t="s">
        <v>58</v>
      </c>
      <c r="B145" s="122">
        <v>570.88</v>
      </c>
      <c r="C145" s="108">
        <v>1</v>
      </c>
      <c r="D145" s="108">
        <v>0</v>
      </c>
      <c r="E145" s="108">
        <v>0</v>
      </c>
      <c r="F145" s="105">
        <v>42675</v>
      </c>
      <c r="G145" s="108" t="s">
        <v>16</v>
      </c>
      <c r="H145" s="105">
        <v>42675</v>
      </c>
      <c r="I145" s="108" t="s">
        <v>38</v>
      </c>
    </row>
    <row r="146" spans="1:9" x14ac:dyDescent="0.2">
      <c r="A146" s="121" t="s">
        <v>59</v>
      </c>
      <c r="B146" s="122">
        <v>1367.69</v>
      </c>
      <c r="C146" s="108">
        <v>1</v>
      </c>
      <c r="D146" s="108">
        <v>0</v>
      </c>
      <c r="E146" s="108">
        <v>0</v>
      </c>
      <c r="F146" s="105">
        <v>42675</v>
      </c>
      <c r="G146" s="108" t="s">
        <v>16</v>
      </c>
      <c r="H146" s="105">
        <v>42675</v>
      </c>
      <c r="I146" s="108" t="s">
        <v>38</v>
      </c>
    </row>
    <row r="147" spans="1:9" x14ac:dyDescent="0.2">
      <c r="A147" s="121" t="s">
        <v>56</v>
      </c>
      <c r="B147" s="122">
        <v>9.92</v>
      </c>
      <c r="C147" s="108">
        <v>1</v>
      </c>
      <c r="D147" s="108">
        <v>0</v>
      </c>
      <c r="E147" s="108">
        <v>0</v>
      </c>
      <c r="F147" s="105">
        <v>42675</v>
      </c>
      <c r="G147" s="108" t="s">
        <v>16</v>
      </c>
      <c r="H147" s="105">
        <v>42675</v>
      </c>
      <c r="I147" s="108" t="s">
        <v>38</v>
      </c>
    </row>
    <row r="148" spans="1:9" x14ac:dyDescent="0.2">
      <c r="A148" s="121" t="s">
        <v>351</v>
      </c>
      <c r="B148" s="122">
        <v>0</v>
      </c>
      <c r="C148" s="108">
        <v>1</v>
      </c>
      <c r="D148" s="108">
        <v>0</v>
      </c>
      <c r="E148" s="108">
        <v>0</v>
      </c>
      <c r="F148" s="105">
        <v>42675</v>
      </c>
      <c r="G148" s="108" t="s">
        <v>16</v>
      </c>
      <c r="H148" s="105">
        <v>42675</v>
      </c>
      <c r="I148" s="108" t="s">
        <v>38</v>
      </c>
    </row>
    <row r="149" spans="1:9" x14ac:dyDescent="0.2">
      <c r="A149" s="121" t="s">
        <v>61</v>
      </c>
      <c r="B149" s="122">
        <v>36.96</v>
      </c>
      <c r="C149" s="108">
        <v>1</v>
      </c>
      <c r="D149" s="108">
        <v>0</v>
      </c>
      <c r="E149" s="108">
        <v>0</v>
      </c>
      <c r="F149" s="105">
        <v>42675</v>
      </c>
      <c r="G149" s="108" t="s">
        <v>16</v>
      </c>
      <c r="H149" s="105">
        <v>42675</v>
      </c>
      <c r="I149" s="108" t="s">
        <v>38</v>
      </c>
    </row>
    <row r="150" spans="1:9" x14ac:dyDescent="0.2">
      <c r="A150" s="121" t="s">
        <v>66</v>
      </c>
      <c r="B150" s="122">
        <v>121.62</v>
      </c>
      <c r="C150" s="108">
        <v>1</v>
      </c>
      <c r="D150" s="108">
        <v>0</v>
      </c>
      <c r="E150" s="108">
        <v>0</v>
      </c>
      <c r="F150" s="105">
        <v>42675</v>
      </c>
      <c r="G150" s="108" t="s">
        <v>16</v>
      </c>
      <c r="H150" s="105">
        <v>42675</v>
      </c>
      <c r="I150" s="108" t="s">
        <v>38</v>
      </c>
    </row>
    <row r="151" spans="1:9" x14ac:dyDescent="0.2">
      <c r="A151" s="121" t="s">
        <v>67</v>
      </c>
      <c r="B151" s="122">
        <v>60.17</v>
      </c>
      <c r="C151" s="108">
        <v>1</v>
      </c>
      <c r="D151" s="108">
        <v>0</v>
      </c>
      <c r="E151" s="108">
        <v>0</v>
      </c>
      <c r="F151" s="105">
        <v>42675</v>
      </c>
      <c r="G151" s="108" t="s">
        <v>16</v>
      </c>
      <c r="H151" s="105">
        <v>42675</v>
      </c>
      <c r="I151" s="108" t="s">
        <v>38</v>
      </c>
    </row>
    <row r="152" spans="1:9" x14ac:dyDescent="0.2">
      <c r="A152" s="121" t="s">
        <v>62</v>
      </c>
      <c r="B152" s="122">
        <v>0</v>
      </c>
      <c r="C152" s="108">
        <v>1</v>
      </c>
      <c r="D152" s="108">
        <v>0</v>
      </c>
      <c r="E152" s="108">
        <v>0</v>
      </c>
      <c r="F152" s="105">
        <v>42675</v>
      </c>
      <c r="G152" s="108" t="s">
        <v>16</v>
      </c>
      <c r="H152" s="105">
        <v>42675</v>
      </c>
      <c r="I152" s="108" t="s">
        <v>38</v>
      </c>
    </row>
    <row r="153" spans="1:9" x14ac:dyDescent="0.2">
      <c r="A153" s="121" t="s">
        <v>57</v>
      </c>
      <c r="B153" s="122">
        <v>17</v>
      </c>
      <c r="C153" s="108">
        <v>1</v>
      </c>
      <c r="D153" s="108">
        <v>0</v>
      </c>
      <c r="E153" s="108">
        <v>0</v>
      </c>
      <c r="F153" s="105">
        <v>42675</v>
      </c>
      <c r="G153" s="108" t="s">
        <v>16</v>
      </c>
      <c r="H153" s="105">
        <v>42675</v>
      </c>
      <c r="I153" s="108" t="s">
        <v>38</v>
      </c>
    </row>
    <row r="154" spans="1:9" x14ac:dyDescent="0.2">
      <c r="A154" s="106" t="s">
        <v>63</v>
      </c>
      <c r="B154" s="107">
        <v>52.4</v>
      </c>
      <c r="C154" s="106">
        <v>1</v>
      </c>
      <c r="D154" s="106">
        <v>0</v>
      </c>
      <c r="E154" s="106">
        <v>0</v>
      </c>
      <c r="F154" s="105">
        <v>42675</v>
      </c>
      <c r="G154" s="108" t="s">
        <v>16</v>
      </c>
      <c r="H154" s="105">
        <v>42681</v>
      </c>
      <c r="I154" s="106" t="s">
        <v>17</v>
      </c>
    </row>
    <row r="155" spans="1:9" x14ac:dyDescent="0.2">
      <c r="A155" s="106" t="s">
        <v>21</v>
      </c>
      <c r="B155" s="107">
        <v>343.89</v>
      </c>
      <c r="C155" s="106">
        <v>1</v>
      </c>
      <c r="D155" s="106">
        <v>0</v>
      </c>
      <c r="E155" s="106">
        <v>0</v>
      </c>
      <c r="F155" s="105">
        <v>42675</v>
      </c>
      <c r="G155" s="108" t="s">
        <v>16</v>
      </c>
      <c r="H155" s="105">
        <v>42681</v>
      </c>
      <c r="I155" s="106" t="s">
        <v>23</v>
      </c>
    </row>
    <row r="156" spans="1:9" x14ac:dyDescent="0.2">
      <c r="A156" s="106" t="s">
        <v>33</v>
      </c>
      <c r="B156" s="107">
        <v>1445</v>
      </c>
      <c r="C156" s="106">
        <v>1</v>
      </c>
      <c r="D156" s="106">
        <v>0</v>
      </c>
      <c r="E156" s="106">
        <v>0</v>
      </c>
      <c r="F156" s="105">
        <v>42675</v>
      </c>
      <c r="G156" s="106" t="s">
        <v>31</v>
      </c>
      <c r="H156" s="105">
        <v>42685</v>
      </c>
      <c r="I156" s="106" t="s">
        <v>23</v>
      </c>
    </row>
    <row r="157" spans="1:9" x14ac:dyDescent="0.2">
      <c r="A157" s="106" t="s">
        <v>34</v>
      </c>
      <c r="B157" s="107">
        <v>90.92</v>
      </c>
      <c r="C157" s="106">
        <v>1</v>
      </c>
      <c r="D157" s="106">
        <v>0</v>
      </c>
      <c r="E157" s="106">
        <v>0</v>
      </c>
      <c r="F157" s="105">
        <v>42675</v>
      </c>
      <c r="G157" s="108" t="s">
        <v>16</v>
      </c>
      <c r="H157" s="105">
        <v>42681</v>
      </c>
      <c r="I157" s="106" t="s">
        <v>23</v>
      </c>
    </row>
    <row r="158" spans="1:9" x14ac:dyDescent="0.2">
      <c r="A158" s="106" t="s">
        <v>20</v>
      </c>
      <c r="B158" s="107">
        <v>45.2</v>
      </c>
      <c r="C158" s="106">
        <v>1</v>
      </c>
      <c r="D158" s="106">
        <v>0</v>
      </c>
      <c r="E158" s="106">
        <v>0</v>
      </c>
      <c r="F158" s="105">
        <v>42675</v>
      </c>
      <c r="G158" s="106" t="s">
        <v>31</v>
      </c>
      <c r="H158" s="105">
        <v>42684</v>
      </c>
      <c r="I158" s="106" t="s">
        <v>17</v>
      </c>
    </row>
    <row r="159" spans="1:9" x14ac:dyDescent="0.2">
      <c r="A159" s="106" t="s">
        <v>35</v>
      </c>
      <c r="B159" s="107">
        <f>SUMIFS(credito!$B$2:$B$134,credito!$F$2:$F$134,F159,credito!$G$2:$G$134,0)</f>
        <v>2414.9000000000005</v>
      </c>
      <c r="C159" s="106">
        <v>1</v>
      </c>
      <c r="D159" s="106">
        <v>0</v>
      </c>
      <c r="E159" s="106">
        <v>0</v>
      </c>
      <c r="F159" s="105">
        <v>42675</v>
      </c>
      <c r="G159" s="106" t="s">
        <v>16</v>
      </c>
      <c r="H159" s="105">
        <v>42675</v>
      </c>
      <c r="I159" s="106" t="s">
        <v>36</v>
      </c>
    </row>
    <row r="160" spans="1:9" x14ac:dyDescent="0.2">
      <c r="A160" s="106" t="s">
        <v>24</v>
      </c>
      <c r="B160" s="107">
        <v>666.46</v>
      </c>
      <c r="C160" s="106">
        <v>1</v>
      </c>
      <c r="D160" s="106">
        <v>0</v>
      </c>
      <c r="E160" s="106">
        <v>0</v>
      </c>
      <c r="F160" s="105">
        <v>42675</v>
      </c>
      <c r="G160" s="106" t="s">
        <v>46</v>
      </c>
      <c r="H160" s="105">
        <v>42690</v>
      </c>
      <c r="I160" s="106" t="s">
        <v>25</v>
      </c>
    </row>
    <row r="161" spans="1:9" x14ac:dyDescent="0.2">
      <c r="A161" s="106" t="s">
        <v>26</v>
      </c>
      <c r="B161" s="107">
        <v>145</v>
      </c>
      <c r="C161" s="106">
        <v>1</v>
      </c>
      <c r="D161" s="106">
        <v>0</v>
      </c>
      <c r="E161" s="106">
        <v>0</v>
      </c>
      <c r="F161" s="105">
        <v>42675</v>
      </c>
      <c r="G161" s="106" t="s">
        <v>31</v>
      </c>
      <c r="H161" s="105">
        <v>42685</v>
      </c>
      <c r="I161" s="106" t="s">
        <v>26</v>
      </c>
    </row>
    <row r="162" spans="1:9" x14ac:dyDescent="0.2">
      <c r="A162" s="106" t="s">
        <v>30</v>
      </c>
      <c r="B162" s="107">
        <v>230</v>
      </c>
      <c r="C162" s="106">
        <v>1</v>
      </c>
      <c r="D162" s="106">
        <v>0</v>
      </c>
      <c r="E162" s="106">
        <v>0</v>
      </c>
      <c r="F162" s="105">
        <v>42675</v>
      </c>
      <c r="G162" s="106" t="s">
        <v>16</v>
      </c>
      <c r="H162" s="105">
        <v>42674</v>
      </c>
      <c r="I162" s="106" t="s">
        <v>32</v>
      </c>
    </row>
    <row r="163" spans="1:9" x14ac:dyDescent="0.2">
      <c r="A163" s="106" t="s">
        <v>51</v>
      </c>
      <c r="B163" s="107">
        <v>23.55</v>
      </c>
      <c r="C163" s="106">
        <v>1</v>
      </c>
      <c r="D163" s="106">
        <v>0</v>
      </c>
      <c r="E163" s="106">
        <v>0</v>
      </c>
      <c r="F163" s="105">
        <v>42675</v>
      </c>
      <c r="G163" s="106" t="s">
        <v>440</v>
      </c>
      <c r="H163" s="105">
        <v>42702</v>
      </c>
      <c r="I163" s="106" t="s">
        <v>23</v>
      </c>
    </row>
    <row r="164" spans="1:9" x14ac:dyDescent="0.2">
      <c r="A164" s="106" t="s">
        <v>15</v>
      </c>
      <c r="B164" s="107">
        <v>5.79</v>
      </c>
      <c r="C164" s="106">
        <v>1</v>
      </c>
      <c r="D164" s="106">
        <v>0</v>
      </c>
      <c r="E164" s="106">
        <v>0</v>
      </c>
      <c r="F164" s="105">
        <v>42675</v>
      </c>
      <c r="G164" s="106" t="s">
        <v>31</v>
      </c>
      <c r="H164" s="105">
        <v>42684</v>
      </c>
      <c r="I164" s="106" t="s">
        <v>17</v>
      </c>
    </row>
    <row r="165" spans="1:9" x14ac:dyDescent="0.2">
      <c r="A165" s="106" t="s">
        <v>18</v>
      </c>
      <c r="B165" s="107">
        <v>50</v>
      </c>
      <c r="C165" s="106">
        <v>1</v>
      </c>
      <c r="D165" s="106">
        <v>0</v>
      </c>
      <c r="E165" s="106">
        <v>0</v>
      </c>
      <c r="F165" s="105">
        <v>42675</v>
      </c>
      <c r="G165" s="106" t="s">
        <v>46</v>
      </c>
      <c r="H165" s="105">
        <v>42690</v>
      </c>
      <c r="I165" s="106" t="s">
        <v>477</v>
      </c>
    </row>
    <row r="166" spans="1:9" x14ac:dyDescent="0.2">
      <c r="A166" s="106" t="s">
        <v>53</v>
      </c>
      <c r="B166" s="107">
        <v>200</v>
      </c>
      <c r="C166" s="106">
        <v>0</v>
      </c>
      <c r="D166" s="106">
        <v>1</v>
      </c>
      <c r="E166" s="106">
        <v>0</v>
      </c>
      <c r="F166" s="105">
        <v>42675</v>
      </c>
      <c r="G166" s="106" t="s">
        <v>16</v>
      </c>
      <c r="H166" s="105">
        <v>42676</v>
      </c>
      <c r="I166" s="106" t="s">
        <v>60</v>
      </c>
    </row>
    <row r="167" spans="1:9" x14ac:dyDescent="0.2">
      <c r="A167" s="106" t="s">
        <v>364</v>
      </c>
      <c r="B167" s="107">
        <v>3.5</v>
      </c>
      <c r="C167" s="106">
        <v>0</v>
      </c>
      <c r="D167" s="106">
        <v>1</v>
      </c>
      <c r="E167" s="106">
        <v>0</v>
      </c>
      <c r="F167" s="105">
        <v>42675</v>
      </c>
      <c r="G167" s="106" t="s">
        <v>16</v>
      </c>
      <c r="H167" s="105">
        <v>42675</v>
      </c>
      <c r="I167" s="106" t="s">
        <v>42</v>
      </c>
    </row>
    <row r="168" spans="1:9" x14ac:dyDescent="0.2">
      <c r="A168" s="106" t="s">
        <v>314</v>
      </c>
      <c r="B168" s="107">
        <v>3</v>
      </c>
      <c r="C168" s="106">
        <v>0</v>
      </c>
      <c r="D168" s="106">
        <v>1</v>
      </c>
      <c r="E168" s="106">
        <v>0</v>
      </c>
      <c r="F168" s="105">
        <v>42675</v>
      </c>
      <c r="G168" s="106" t="s">
        <v>16</v>
      </c>
      <c r="H168" s="105">
        <v>42675</v>
      </c>
      <c r="I168" s="106" t="s">
        <v>42</v>
      </c>
    </row>
    <row r="169" spans="1:9" x14ac:dyDescent="0.2">
      <c r="A169" s="106" t="s">
        <v>371</v>
      </c>
      <c r="B169" s="107">
        <v>70</v>
      </c>
      <c r="C169" s="106">
        <v>0</v>
      </c>
      <c r="D169" s="106">
        <v>1</v>
      </c>
      <c r="E169" s="106">
        <v>0</v>
      </c>
      <c r="F169" s="105">
        <v>42675</v>
      </c>
      <c r="G169" s="106" t="s">
        <v>16</v>
      </c>
      <c r="H169" s="105">
        <v>42676</v>
      </c>
      <c r="I169" s="106" t="s">
        <v>371</v>
      </c>
    </row>
    <row r="170" spans="1:9" x14ac:dyDescent="0.2">
      <c r="A170" s="106" t="s">
        <v>398</v>
      </c>
      <c r="B170" s="107">
        <v>8</v>
      </c>
      <c r="C170" s="106">
        <v>0</v>
      </c>
      <c r="D170" s="106">
        <v>1</v>
      </c>
      <c r="E170" s="106">
        <v>0</v>
      </c>
      <c r="F170" s="105">
        <v>42675</v>
      </c>
      <c r="G170" s="106" t="s">
        <v>16</v>
      </c>
      <c r="H170" s="105">
        <v>42675</v>
      </c>
      <c r="I170" s="106" t="s">
        <v>42</v>
      </c>
    </row>
    <row r="171" spans="1:9" x14ac:dyDescent="0.2">
      <c r="A171" s="106" t="s">
        <v>399</v>
      </c>
      <c r="B171" s="107">
        <v>2</v>
      </c>
      <c r="C171" s="106">
        <v>0</v>
      </c>
      <c r="D171" s="106">
        <v>1</v>
      </c>
      <c r="E171" s="106">
        <v>0</v>
      </c>
      <c r="F171" s="105">
        <v>42675</v>
      </c>
      <c r="G171" s="106" t="s">
        <v>16</v>
      </c>
      <c r="H171" s="105">
        <v>42675</v>
      </c>
      <c r="I171" s="106" t="s">
        <v>43</v>
      </c>
    </row>
    <row r="172" spans="1:9" x14ac:dyDescent="0.2">
      <c r="A172" s="106" t="s">
        <v>400</v>
      </c>
      <c r="B172" s="107">
        <v>4.0999999999999996</v>
      </c>
      <c r="C172" s="106">
        <v>0</v>
      </c>
      <c r="D172" s="106">
        <v>1</v>
      </c>
      <c r="E172" s="106">
        <v>0</v>
      </c>
      <c r="F172" s="105">
        <v>42675</v>
      </c>
      <c r="G172" s="106" t="s">
        <v>16</v>
      </c>
      <c r="H172" s="105">
        <v>42677</v>
      </c>
      <c r="I172" s="106" t="s">
        <v>42</v>
      </c>
    </row>
    <row r="173" spans="1:9" x14ac:dyDescent="0.2">
      <c r="A173" s="106" t="s">
        <v>398</v>
      </c>
      <c r="B173" s="107">
        <v>12.9</v>
      </c>
      <c r="C173" s="106">
        <v>0</v>
      </c>
      <c r="D173" s="106">
        <v>1</v>
      </c>
      <c r="E173" s="106">
        <v>0</v>
      </c>
      <c r="F173" s="105">
        <v>42675</v>
      </c>
      <c r="G173" s="106" t="s">
        <v>16</v>
      </c>
      <c r="H173" s="105">
        <v>42678</v>
      </c>
      <c r="I173" s="106" t="s">
        <v>42</v>
      </c>
    </row>
    <row r="174" spans="1:9" x14ac:dyDescent="0.2">
      <c r="A174" s="106" t="s">
        <v>403</v>
      </c>
      <c r="B174" s="107">
        <v>4.04</v>
      </c>
      <c r="C174" s="106">
        <v>0</v>
      </c>
      <c r="D174" s="106">
        <v>1</v>
      </c>
      <c r="E174" s="106">
        <v>0</v>
      </c>
      <c r="F174" s="105">
        <v>42675</v>
      </c>
      <c r="G174" s="106" t="s">
        <v>16</v>
      </c>
      <c r="H174" s="105">
        <v>42678</v>
      </c>
      <c r="I174" s="106" t="s">
        <v>42</v>
      </c>
    </row>
    <row r="175" spans="1:9" x14ac:dyDescent="0.2">
      <c r="A175" s="106" t="s">
        <v>182</v>
      </c>
      <c r="B175" s="107">
        <v>88.39</v>
      </c>
      <c r="C175" s="106">
        <v>0</v>
      </c>
      <c r="D175" s="106">
        <v>1</v>
      </c>
      <c r="E175" s="106">
        <v>0</v>
      </c>
      <c r="F175" s="105">
        <v>42675</v>
      </c>
      <c r="G175" s="106" t="s">
        <v>31</v>
      </c>
      <c r="H175" s="105">
        <v>42681</v>
      </c>
      <c r="I175" s="106" t="s">
        <v>17</v>
      </c>
    </row>
    <row r="176" spans="1:9" x14ac:dyDescent="0.2">
      <c r="A176" s="106" t="s">
        <v>402</v>
      </c>
      <c r="B176" s="107">
        <v>5</v>
      </c>
      <c r="C176" s="106">
        <v>0</v>
      </c>
      <c r="D176" s="106">
        <v>1</v>
      </c>
      <c r="E176" s="106">
        <v>0</v>
      </c>
      <c r="F176" s="105">
        <v>42675</v>
      </c>
      <c r="G176" s="106" t="s">
        <v>31</v>
      </c>
      <c r="H176" s="105">
        <v>42681</v>
      </c>
      <c r="I176" s="106" t="s">
        <v>42</v>
      </c>
    </row>
    <row r="177" spans="1:9" x14ac:dyDescent="0.2">
      <c r="A177" s="106" t="s">
        <v>317</v>
      </c>
      <c r="B177" s="107">
        <v>3.8</v>
      </c>
      <c r="C177" s="106">
        <v>0</v>
      </c>
      <c r="D177" s="106">
        <v>1</v>
      </c>
      <c r="E177" s="106">
        <v>0</v>
      </c>
      <c r="F177" s="105">
        <v>42675</v>
      </c>
      <c r="G177" s="106" t="s">
        <v>31</v>
      </c>
      <c r="H177" s="105">
        <v>42681</v>
      </c>
      <c r="I177" s="106" t="s">
        <v>42</v>
      </c>
    </row>
    <row r="178" spans="1:9" x14ac:dyDescent="0.2">
      <c r="A178" s="106" t="s">
        <v>401</v>
      </c>
      <c r="B178" s="107">
        <v>10.5</v>
      </c>
      <c r="C178" s="106">
        <v>0</v>
      </c>
      <c r="D178" s="106">
        <v>1</v>
      </c>
      <c r="E178" s="106">
        <v>0</v>
      </c>
      <c r="F178" s="105">
        <v>42675</v>
      </c>
      <c r="G178" s="106" t="s">
        <v>31</v>
      </c>
      <c r="H178" s="105">
        <v>42681</v>
      </c>
      <c r="I178" s="106" t="s">
        <v>42</v>
      </c>
    </row>
    <row r="179" spans="1:9" x14ac:dyDescent="0.2">
      <c r="A179" s="106" t="s">
        <v>41</v>
      </c>
      <c r="B179" s="107">
        <v>9.24</v>
      </c>
      <c r="C179" s="106">
        <v>0</v>
      </c>
      <c r="D179" s="106">
        <v>1</v>
      </c>
      <c r="E179" s="106">
        <v>0</v>
      </c>
      <c r="F179" s="105">
        <v>42675</v>
      </c>
      <c r="G179" s="106" t="s">
        <v>22</v>
      </c>
      <c r="H179" s="105">
        <v>42681</v>
      </c>
      <c r="I179" s="106" t="s">
        <v>41</v>
      </c>
    </row>
    <row r="180" spans="1:9" x14ac:dyDescent="0.2">
      <c r="A180" s="106" t="s">
        <v>364</v>
      </c>
      <c r="B180" s="107">
        <v>3.5</v>
      </c>
      <c r="C180" s="106">
        <v>0</v>
      </c>
      <c r="D180" s="106">
        <v>1</v>
      </c>
      <c r="E180" s="106">
        <v>0</v>
      </c>
      <c r="F180" s="105">
        <v>42675</v>
      </c>
      <c r="G180" s="106" t="s">
        <v>31</v>
      </c>
      <c r="H180" s="105">
        <v>42681</v>
      </c>
      <c r="I180" s="106" t="s">
        <v>42</v>
      </c>
    </row>
    <row r="181" spans="1:9" x14ac:dyDescent="0.2">
      <c r="A181" s="106" t="s">
        <v>325</v>
      </c>
      <c r="B181" s="107">
        <v>20</v>
      </c>
      <c r="C181" s="106">
        <v>0</v>
      </c>
      <c r="D181" s="106">
        <v>1</v>
      </c>
      <c r="E181" s="106">
        <v>0</v>
      </c>
      <c r="F181" s="105">
        <v>42675</v>
      </c>
      <c r="G181" s="106" t="s">
        <v>16</v>
      </c>
      <c r="H181" s="105">
        <v>42676</v>
      </c>
      <c r="I181" s="106" t="s">
        <v>42</v>
      </c>
    </row>
    <row r="182" spans="1:9" x14ac:dyDescent="0.2">
      <c r="A182" s="106" t="s">
        <v>411</v>
      </c>
      <c r="B182" s="107">
        <v>25</v>
      </c>
      <c r="C182" s="106">
        <v>0</v>
      </c>
      <c r="D182" s="106">
        <v>1</v>
      </c>
      <c r="E182" s="106">
        <v>0</v>
      </c>
      <c r="F182" s="105">
        <v>42675</v>
      </c>
      <c r="G182" s="106" t="s">
        <v>16</v>
      </c>
      <c r="H182" s="105">
        <v>42676</v>
      </c>
      <c r="I182" s="106" t="s">
        <v>42</v>
      </c>
    </row>
    <row r="183" spans="1:9" x14ac:dyDescent="0.2">
      <c r="A183" s="106" t="s">
        <v>47</v>
      </c>
      <c r="B183" s="107">
        <v>25.15</v>
      </c>
      <c r="C183" s="106">
        <v>0</v>
      </c>
      <c r="D183" s="106">
        <v>1</v>
      </c>
      <c r="E183" s="106">
        <v>0</v>
      </c>
      <c r="F183" s="105">
        <v>42675</v>
      </c>
      <c r="G183" s="106" t="s">
        <v>31</v>
      </c>
      <c r="H183" s="105">
        <v>42684</v>
      </c>
      <c r="I183" s="106" t="s">
        <v>47</v>
      </c>
    </row>
    <row r="184" spans="1:9" x14ac:dyDescent="0.2">
      <c r="A184" s="106" t="s">
        <v>316</v>
      </c>
      <c r="B184" s="107">
        <v>13.3</v>
      </c>
      <c r="C184" s="106">
        <v>0</v>
      </c>
      <c r="D184" s="106">
        <v>1</v>
      </c>
      <c r="E184" s="106">
        <v>0</v>
      </c>
      <c r="F184" s="105">
        <v>42675</v>
      </c>
      <c r="G184" s="106" t="s">
        <v>31</v>
      </c>
      <c r="H184" s="105">
        <v>42684</v>
      </c>
      <c r="I184" s="106" t="s">
        <v>42</v>
      </c>
    </row>
    <row r="185" spans="1:9" x14ac:dyDescent="0.2">
      <c r="A185" s="106" t="s">
        <v>412</v>
      </c>
      <c r="B185" s="107">
        <v>9</v>
      </c>
      <c r="C185" s="106">
        <v>0</v>
      </c>
      <c r="D185" s="106">
        <v>1</v>
      </c>
      <c r="E185" s="106">
        <v>0</v>
      </c>
      <c r="F185" s="105">
        <v>42675</v>
      </c>
      <c r="G185" s="106" t="s">
        <v>31</v>
      </c>
      <c r="H185" s="105">
        <v>42684</v>
      </c>
      <c r="I185" s="106" t="s">
        <v>42</v>
      </c>
    </row>
    <row r="186" spans="1:9" x14ac:dyDescent="0.2">
      <c r="A186" s="106" t="s">
        <v>413</v>
      </c>
      <c r="B186" s="107">
        <v>10.75</v>
      </c>
      <c r="C186" s="106">
        <v>0</v>
      </c>
      <c r="D186" s="106">
        <v>1</v>
      </c>
      <c r="E186" s="106">
        <v>0</v>
      </c>
      <c r="F186" s="105">
        <v>42675</v>
      </c>
      <c r="G186" s="106" t="s">
        <v>31</v>
      </c>
      <c r="H186" s="105">
        <v>42684</v>
      </c>
      <c r="I186" s="106" t="s">
        <v>42</v>
      </c>
    </row>
    <row r="187" spans="1:9" x14ac:dyDescent="0.2">
      <c r="A187" s="106" t="s">
        <v>414</v>
      </c>
      <c r="B187" s="107">
        <v>50</v>
      </c>
      <c r="C187" s="106">
        <v>0</v>
      </c>
      <c r="D187" s="106">
        <v>1</v>
      </c>
      <c r="E187" s="106">
        <v>0</v>
      </c>
      <c r="F187" s="105">
        <v>42675</v>
      </c>
      <c r="G187" s="106" t="s">
        <v>31</v>
      </c>
      <c r="H187" s="105">
        <v>42685</v>
      </c>
      <c r="I187" s="106" t="s">
        <v>43</v>
      </c>
    </row>
    <row r="188" spans="1:9" x14ac:dyDescent="0.2">
      <c r="A188" s="106" t="s">
        <v>397</v>
      </c>
      <c r="B188" s="107">
        <v>50</v>
      </c>
      <c r="C188" s="106">
        <v>0</v>
      </c>
      <c r="D188" s="106">
        <v>1</v>
      </c>
      <c r="E188" s="106">
        <v>0</v>
      </c>
      <c r="F188" s="105">
        <v>42675</v>
      </c>
      <c r="G188" s="106" t="s">
        <v>31</v>
      </c>
      <c r="H188" s="105">
        <v>42685</v>
      </c>
      <c r="I188" s="106" t="s">
        <v>397</v>
      </c>
    </row>
    <row r="189" spans="1:9" x14ac:dyDescent="0.2">
      <c r="A189" s="106" t="s">
        <v>400</v>
      </c>
      <c r="B189" s="107">
        <v>10</v>
      </c>
      <c r="C189" s="106">
        <v>0</v>
      </c>
      <c r="D189" s="106">
        <v>1</v>
      </c>
      <c r="E189" s="106">
        <v>0</v>
      </c>
      <c r="F189" s="105">
        <v>42675</v>
      </c>
      <c r="G189" s="106" t="s">
        <v>31</v>
      </c>
      <c r="H189" s="105">
        <v>42685</v>
      </c>
      <c r="I189" s="106" t="s">
        <v>42</v>
      </c>
    </row>
    <row r="190" spans="1:9" x14ac:dyDescent="0.2">
      <c r="A190" s="106" t="s">
        <v>416</v>
      </c>
      <c r="B190" s="107">
        <v>51.95</v>
      </c>
      <c r="C190" s="106">
        <v>0</v>
      </c>
      <c r="D190" s="106">
        <v>1</v>
      </c>
      <c r="E190" s="106">
        <v>0</v>
      </c>
      <c r="F190" s="105">
        <v>42675</v>
      </c>
      <c r="G190" s="106" t="s">
        <v>31</v>
      </c>
      <c r="H190" s="105">
        <v>42685</v>
      </c>
      <c r="I190" s="106" t="s">
        <v>42</v>
      </c>
    </row>
    <row r="191" spans="1:9" x14ac:dyDescent="0.2">
      <c r="A191" s="106" t="s">
        <v>330</v>
      </c>
      <c r="B191" s="107">
        <v>50</v>
      </c>
      <c r="C191" s="106">
        <v>0</v>
      </c>
      <c r="D191" s="106">
        <v>1</v>
      </c>
      <c r="E191" s="106">
        <v>0</v>
      </c>
      <c r="F191" s="105">
        <v>42675</v>
      </c>
      <c r="G191" s="106" t="s">
        <v>31</v>
      </c>
      <c r="H191" s="105">
        <v>42685</v>
      </c>
      <c r="I191" s="106" t="s">
        <v>43</v>
      </c>
    </row>
    <row r="192" spans="1:9" x14ac:dyDescent="0.2">
      <c r="A192" s="106" t="s">
        <v>422</v>
      </c>
      <c r="B192" s="107">
        <v>15</v>
      </c>
      <c r="C192" s="106">
        <v>0</v>
      </c>
      <c r="D192" s="106">
        <v>1</v>
      </c>
      <c r="E192" s="106">
        <v>0</v>
      </c>
      <c r="F192" s="105">
        <v>42675</v>
      </c>
      <c r="G192" s="106" t="s">
        <v>31</v>
      </c>
      <c r="H192" s="105">
        <v>42685</v>
      </c>
      <c r="I192" s="106" t="s">
        <v>42</v>
      </c>
    </row>
    <row r="193" spans="1:9" x14ac:dyDescent="0.2">
      <c r="A193" s="106" t="s">
        <v>327</v>
      </c>
      <c r="B193" s="107">
        <v>11.4</v>
      </c>
      <c r="C193" s="106">
        <v>0</v>
      </c>
      <c r="D193" s="106">
        <v>1</v>
      </c>
      <c r="E193" s="106">
        <v>0</v>
      </c>
      <c r="F193" s="105">
        <v>42675</v>
      </c>
      <c r="G193" s="106" t="s">
        <v>31</v>
      </c>
      <c r="H193" s="105">
        <v>42685</v>
      </c>
      <c r="I193" s="106" t="s">
        <v>42</v>
      </c>
    </row>
    <row r="194" spans="1:9" x14ac:dyDescent="0.2">
      <c r="A194" s="106" t="s">
        <v>327</v>
      </c>
      <c r="B194" s="107">
        <v>11</v>
      </c>
      <c r="C194" s="106">
        <v>0</v>
      </c>
      <c r="D194" s="106">
        <v>1</v>
      </c>
      <c r="E194" s="106">
        <v>0</v>
      </c>
      <c r="F194" s="105">
        <v>42675</v>
      </c>
      <c r="G194" s="106" t="s">
        <v>31</v>
      </c>
      <c r="H194" s="105">
        <v>42685</v>
      </c>
      <c r="I194" s="106" t="s">
        <v>42</v>
      </c>
    </row>
    <row r="195" spans="1:9" x14ac:dyDescent="0.2">
      <c r="A195" s="106" t="s">
        <v>47</v>
      </c>
      <c r="B195" s="107">
        <v>22</v>
      </c>
      <c r="C195" s="106">
        <v>0</v>
      </c>
      <c r="D195" s="106">
        <v>1</v>
      </c>
      <c r="E195" s="106">
        <v>0</v>
      </c>
      <c r="F195" s="105">
        <v>42675</v>
      </c>
      <c r="G195" s="106" t="s">
        <v>46</v>
      </c>
      <c r="H195" s="105">
        <v>42688</v>
      </c>
      <c r="I195" s="106" t="s">
        <v>47</v>
      </c>
    </row>
    <row r="196" spans="1:9" x14ac:dyDescent="0.2">
      <c r="A196" s="106" t="s">
        <v>41</v>
      </c>
      <c r="B196" s="107">
        <v>10</v>
      </c>
      <c r="C196" s="106">
        <v>0</v>
      </c>
      <c r="D196" s="106">
        <v>1</v>
      </c>
      <c r="E196" s="106">
        <v>0</v>
      </c>
      <c r="F196" s="105">
        <v>42675</v>
      </c>
      <c r="G196" s="106" t="s">
        <v>46</v>
      </c>
      <c r="H196" s="105">
        <v>42688</v>
      </c>
      <c r="I196" s="106" t="s">
        <v>41</v>
      </c>
    </row>
    <row r="197" spans="1:9" x14ac:dyDescent="0.2">
      <c r="A197" s="106" t="s">
        <v>327</v>
      </c>
      <c r="B197" s="107">
        <v>10</v>
      </c>
      <c r="C197" s="106">
        <v>0</v>
      </c>
      <c r="D197" s="106">
        <v>1</v>
      </c>
      <c r="E197" s="106">
        <v>0</v>
      </c>
      <c r="F197" s="105">
        <v>42675</v>
      </c>
      <c r="G197" s="106" t="s">
        <v>46</v>
      </c>
      <c r="H197" s="105">
        <v>42688</v>
      </c>
      <c r="I197" s="106" t="s">
        <v>42</v>
      </c>
    </row>
    <row r="198" spans="1:9" x14ac:dyDescent="0.2">
      <c r="A198" s="106" t="s">
        <v>327</v>
      </c>
      <c r="B198" s="107">
        <v>20</v>
      </c>
      <c r="C198" s="106">
        <v>0</v>
      </c>
      <c r="D198" s="106">
        <v>1</v>
      </c>
      <c r="E198" s="106">
        <v>0</v>
      </c>
      <c r="F198" s="105">
        <v>42675</v>
      </c>
      <c r="G198" s="106" t="s">
        <v>46</v>
      </c>
      <c r="H198" s="105">
        <v>42688</v>
      </c>
      <c r="I198" s="106" t="s">
        <v>42</v>
      </c>
    </row>
    <row r="199" spans="1:9" x14ac:dyDescent="0.2">
      <c r="A199" s="106" t="s">
        <v>400</v>
      </c>
      <c r="B199" s="107">
        <v>9</v>
      </c>
      <c r="C199" s="106">
        <v>0</v>
      </c>
      <c r="D199" s="106">
        <v>1</v>
      </c>
      <c r="E199" s="106">
        <v>0</v>
      </c>
      <c r="F199" s="105">
        <v>42675</v>
      </c>
      <c r="G199" s="106" t="s">
        <v>46</v>
      </c>
      <c r="H199" s="105">
        <v>42692</v>
      </c>
      <c r="I199" s="106" t="s">
        <v>42</v>
      </c>
    </row>
    <row r="200" spans="1:9" x14ac:dyDescent="0.2">
      <c r="A200" s="106" t="s">
        <v>40</v>
      </c>
      <c r="B200" s="107">
        <v>28.78</v>
      </c>
      <c r="C200" s="106">
        <v>0</v>
      </c>
      <c r="D200" s="106">
        <v>1</v>
      </c>
      <c r="E200" s="106">
        <v>0</v>
      </c>
      <c r="F200" s="105">
        <v>42675</v>
      </c>
      <c r="G200" s="106" t="s">
        <v>46</v>
      </c>
      <c r="H200" s="105">
        <v>42692</v>
      </c>
      <c r="I200" s="106" t="s">
        <v>40</v>
      </c>
    </row>
    <row r="201" spans="1:9" x14ac:dyDescent="0.2">
      <c r="A201" s="106" t="s">
        <v>417</v>
      </c>
      <c r="B201" s="107">
        <v>48.79</v>
      </c>
      <c r="C201" s="106">
        <v>0</v>
      </c>
      <c r="D201" s="106">
        <v>1</v>
      </c>
      <c r="E201" s="106">
        <v>0</v>
      </c>
      <c r="F201" s="105">
        <v>42675</v>
      </c>
      <c r="G201" s="106" t="s">
        <v>46</v>
      </c>
      <c r="H201" s="105">
        <v>42692</v>
      </c>
      <c r="I201" s="106" t="s">
        <v>41</v>
      </c>
    </row>
    <row r="202" spans="1:9" x14ac:dyDescent="0.2">
      <c r="A202" s="106" t="s">
        <v>44</v>
      </c>
      <c r="B202" s="107">
        <v>40</v>
      </c>
      <c r="C202" s="106">
        <v>0</v>
      </c>
      <c r="D202" s="106">
        <v>1</v>
      </c>
      <c r="E202" s="106">
        <v>0</v>
      </c>
      <c r="F202" s="105">
        <v>42675</v>
      </c>
      <c r="G202" s="106" t="s">
        <v>22</v>
      </c>
      <c r="H202" s="105">
        <v>42693</v>
      </c>
      <c r="I202" s="106" t="s">
        <v>43</v>
      </c>
    </row>
    <row r="203" spans="1:9" x14ac:dyDescent="0.2">
      <c r="A203" s="106" t="s">
        <v>53</v>
      </c>
      <c r="B203" s="107">
        <v>10</v>
      </c>
      <c r="C203" s="106">
        <v>0</v>
      </c>
      <c r="D203" s="106">
        <v>1</v>
      </c>
      <c r="E203" s="106">
        <v>0</v>
      </c>
      <c r="F203" s="105">
        <v>42675</v>
      </c>
      <c r="G203" s="106" t="s">
        <v>22</v>
      </c>
      <c r="H203" s="105">
        <v>42693</v>
      </c>
      <c r="I203" s="106" t="s">
        <v>60</v>
      </c>
    </row>
    <row r="204" spans="1:9" x14ac:dyDescent="0.2">
      <c r="A204" s="106" t="s">
        <v>330</v>
      </c>
      <c r="B204" s="107">
        <v>20</v>
      </c>
      <c r="C204" s="106">
        <v>0</v>
      </c>
      <c r="D204" s="106">
        <v>1</v>
      </c>
      <c r="E204" s="106">
        <v>0</v>
      </c>
      <c r="F204" s="105">
        <v>42675</v>
      </c>
      <c r="G204" s="106" t="s">
        <v>22</v>
      </c>
      <c r="H204" s="105">
        <v>42693</v>
      </c>
      <c r="I204" s="106" t="s">
        <v>43</v>
      </c>
    </row>
    <row r="205" spans="1:9" x14ac:dyDescent="0.2">
      <c r="A205" s="106" t="s">
        <v>49</v>
      </c>
      <c r="B205" s="107">
        <v>73</v>
      </c>
      <c r="C205" s="106">
        <v>0</v>
      </c>
      <c r="D205" s="106">
        <v>1</v>
      </c>
      <c r="E205" s="106">
        <v>0</v>
      </c>
      <c r="F205" s="105">
        <v>42675</v>
      </c>
      <c r="G205" s="106" t="s">
        <v>22</v>
      </c>
      <c r="H205" s="105">
        <v>42694</v>
      </c>
      <c r="I205" s="106" t="s">
        <v>49</v>
      </c>
    </row>
    <row r="206" spans="1:9" x14ac:dyDescent="0.2">
      <c r="A206" s="106" t="s">
        <v>363</v>
      </c>
      <c r="B206" s="107">
        <v>50</v>
      </c>
      <c r="C206" s="106">
        <v>0</v>
      </c>
      <c r="D206" s="106">
        <v>1</v>
      </c>
      <c r="E206" s="106">
        <v>0</v>
      </c>
      <c r="F206" s="105">
        <v>42675</v>
      </c>
      <c r="G206" s="106" t="s">
        <v>22</v>
      </c>
      <c r="H206" s="105">
        <v>42694</v>
      </c>
      <c r="I206" s="106" t="s">
        <v>363</v>
      </c>
    </row>
    <row r="207" spans="1:9" x14ac:dyDescent="0.2">
      <c r="A207" s="106" t="s">
        <v>397</v>
      </c>
      <c r="B207" s="107">
        <v>50</v>
      </c>
      <c r="C207" s="106">
        <v>0</v>
      </c>
      <c r="D207" s="106">
        <v>1</v>
      </c>
      <c r="E207" s="106">
        <v>0</v>
      </c>
      <c r="F207" s="105">
        <v>42675</v>
      </c>
      <c r="G207" s="106" t="s">
        <v>22</v>
      </c>
      <c r="H207" s="105">
        <v>42694</v>
      </c>
      <c r="I207" s="106" t="s">
        <v>397</v>
      </c>
    </row>
    <row r="208" spans="1:9" x14ac:dyDescent="0.2">
      <c r="A208" s="106" t="s">
        <v>317</v>
      </c>
      <c r="B208" s="107">
        <v>3</v>
      </c>
      <c r="C208" s="106">
        <v>0</v>
      </c>
      <c r="D208" s="106">
        <v>1</v>
      </c>
      <c r="E208" s="106">
        <v>0</v>
      </c>
      <c r="F208" s="105">
        <v>42675</v>
      </c>
      <c r="G208" s="106" t="s">
        <v>48</v>
      </c>
      <c r="H208" s="105">
        <v>42695</v>
      </c>
      <c r="I208" s="106" t="s">
        <v>42</v>
      </c>
    </row>
    <row r="209" spans="1:9" x14ac:dyDescent="0.2">
      <c r="A209" s="106" t="s">
        <v>316</v>
      </c>
      <c r="B209" s="107">
        <v>3.5</v>
      </c>
      <c r="C209" s="106">
        <v>0</v>
      </c>
      <c r="D209" s="106">
        <v>1</v>
      </c>
      <c r="E209" s="106">
        <v>0</v>
      </c>
      <c r="F209" s="105">
        <v>42675</v>
      </c>
      <c r="G209" s="106" t="s">
        <v>48</v>
      </c>
      <c r="H209" s="105">
        <v>42695</v>
      </c>
      <c r="I209" s="106" t="s">
        <v>42</v>
      </c>
    </row>
    <row r="210" spans="1:9" x14ac:dyDescent="0.2">
      <c r="A210" s="106" t="s">
        <v>316</v>
      </c>
      <c r="B210" s="107">
        <v>7</v>
      </c>
      <c r="C210" s="106">
        <v>0</v>
      </c>
      <c r="D210" s="106">
        <v>1</v>
      </c>
      <c r="E210" s="106">
        <v>0</v>
      </c>
      <c r="F210" s="105">
        <v>42675</v>
      </c>
      <c r="G210" s="106" t="s">
        <v>48</v>
      </c>
      <c r="H210" s="105">
        <v>42695</v>
      </c>
      <c r="I210" s="106" t="s">
        <v>42</v>
      </c>
    </row>
    <row r="211" spans="1:9" x14ac:dyDescent="0.2">
      <c r="A211" s="106" t="s">
        <v>327</v>
      </c>
      <c r="B211" s="107">
        <v>5</v>
      </c>
      <c r="C211" s="106">
        <v>0</v>
      </c>
      <c r="D211" s="106">
        <v>1</v>
      </c>
      <c r="E211" s="106">
        <v>0</v>
      </c>
      <c r="F211" s="105">
        <v>42675</v>
      </c>
      <c r="G211" s="106" t="s">
        <v>48</v>
      </c>
      <c r="H211" s="105">
        <v>42695</v>
      </c>
      <c r="I211" s="106" t="s">
        <v>42</v>
      </c>
    </row>
    <row r="212" spans="1:9" x14ac:dyDescent="0.2">
      <c r="A212" s="106" t="s">
        <v>426</v>
      </c>
      <c r="B212" s="107">
        <v>3</v>
      </c>
      <c r="C212" s="106">
        <v>0</v>
      </c>
      <c r="D212" s="106">
        <v>1</v>
      </c>
      <c r="E212" s="106">
        <v>0</v>
      </c>
      <c r="F212" s="105">
        <v>42675</v>
      </c>
      <c r="G212" s="106" t="s">
        <v>48</v>
      </c>
      <c r="H212" s="105">
        <v>42695</v>
      </c>
      <c r="I212" s="106" t="s">
        <v>42</v>
      </c>
    </row>
    <row r="213" spans="1:9" x14ac:dyDescent="0.2">
      <c r="A213" s="106" t="s">
        <v>316</v>
      </c>
      <c r="B213" s="107">
        <v>4.5</v>
      </c>
      <c r="C213" s="106">
        <v>0</v>
      </c>
      <c r="D213" s="106">
        <v>1</v>
      </c>
      <c r="E213" s="106">
        <v>0</v>
      </c>
      <c r="F213" s="105">
        <v>42675</v>
      </c>
      <c r="G213" s="106" t="s">
        <v>48</v>
      </c>
      <c r="H213" s="105">
        <v>42696</v>
      </c>
      <c r="I213" s="106" t="s">
        <v>42</v>
      </c>
    </row>
    <row r="214" spans="1:9" x14ac:dyDescent="0.2">
      <c r="A214" s="106" t="s">
        <v>327</v>
      </c>
      <c r="B214" s="107">
        <v>4</v>
      </c>
      <c r="C214" s="106">
        <v>0</v>
      </c>
      <c r="D214" s="106">
        <v>1</v>
      </c>
      <c r="E214" s="106">
        <v>0</v>
      </c>
      <c r="F214" s="105">
        <v>42675</v>
      </c>
      <c r="G214" s="106" t="s">
        <v>48</v>
      </c>
      <c r="H214" s="105">
        <v>42696</v>
      </c>
      <c r="I214" s="106" t="s">
        <v>42</v>
      </c>
    </row>
    <row r="215" spans="1:9" x14ac:dyDescent="0.2">
      <c r="A215" s="106" t="s">
        <v>427</v>
      </c>
      <c r="B215" s="107">
        <v>4.74</v>
      </c>
      <c r="C215" s="106">
        <v>0</v>
      </c>
      <c r="D215" s="106">
        <v>1</v>
      </c>
      <c r="E215" s="106">
        <v>0</v>
      </c>
      <c r="F215" s="105">
        <v>42675</v>
      </c>
      <c r="G215" s="106" t="s">
        <v>48</v>
      </c>
      <c r="H215" s="105">
        <v>42697</v>
      </c>
      <c r="I215" s="106" t="s">
        <v>42</v>
      </c>
    </row>
    <row r="216" spans="1:9" x14ac:dyDescent="0.2">
      <c r="A216" s="106" t="s">
        <v>47</v>
      </c>
      <c r="B216" s="107">
        <v>27.68</v>
      </c>
      <c r="C216" s="106">
        <v>0</v>
      </c>
      <c r="D216" s="106">
        <v>1</v>
      </c>
      <c r="E216" s="106">
        <v>0</v>
      </c>
      <c r="F216" s="105">
        <v>42675</v>
      </c>
      <c r="G216" s="106" t="s">
        <v>48</v>
      </c>
      <c r="H216" s="105">
        <v>42698</v>
      </c>
      <c r="I216" s="106" t="s">
        <v>47</v>
      </c>
    </row>
    <row r="217" spans="1:9" x14ac:dyDescent="0.2">
      <c r="A217" s="106" t="s">
        <v>47</v>
      </c>
      <c r="B217" s="107">
        <v>34.78</v>
      </c>
      <c r="C217" s="106">
        <v>0</v>
      </c>
      <c r="D217" s="106">
        <v>1</v>
      </c>
      <c r="E217" s="106">
        <v>0</v>
      </c>
      <c r="F217" s="105">
        <v>42675</v>
      </c>
      <c r="G217" s="106" t="s">
        <v>48</v>
      </c>
      <c r="H217" s="105">
        <v>42699</v>
      </c>
      <c r="I217" s="106" t="s">
        <v>47</v>
      </c>
    </row>
    <row r="218" spans="1:9" x14ac:dyDescent="0.2">
      <c r="A218" s="106" t="s">
        <v>49</v>
      </c>
      <c r="B218" s="107">
        <v>250</v>
      </c>
      <c r="C218" s="106">
        <v>0</v>
      </c>
      <c r="D218" s="106">
        <v>1</v>
      </c>
      <c r="E218" s="106">
        <v>0</v>
      </c>
      <c r="F218" s="105">
        <v>42675</v>
      </c>
      <c r="G218" s="106" t="s">
        <v>31</v>
      </c>
      <c r="H218" s="105">
        <v>42685</v>
      </c>
      <c r="I218" s="106" t="s">
        <v>49</v>
      </c>
    </row>
    <row r="219" spans="1:9" x14ac:dyDescent="0.2">
      <c r="A219" s="106" t="s">
        <v>53</v>
      </c>
      <c r="B219" s="107">
        <v>8</v>
      </c>
      <c r="C219" s="106">
        <v>0</v>
      </c>
      <c r="D219" s="106">
        <v>1</v>
      </c>
      <c r="E219" s="106">
        <v>0</v>
      </c>
      <c r="F219" s="105">
        <v>42675</v>
      </c>
      <c r="G219" s="106" t="s">
        <v>440</v>
      </c>
      <c r="H219" s="105">
        <v>42702</v>
      </c>
      <c r="I219" s="106" t="s">
        <v>60</v>
      </c>
    </row>
    <row r="220" spans="1:9" x14ac:dyDescent="0.2">
      <c r="A220" s="106" t="s">
        <v>49</v>
      </c>
      <c r="B220" s="107">
        <v>50</v>
      </c>
      <c r="C220" s="106">
        <v>0</v>
      </c>
      <c r="D220" s="106">
        <v>1</v>
      </c>
      <c r="E220" s="106">
        <v>0</v>
      </c>
      <c r="F220" s="105">
        <v>42675</v>
      </c>
      <c r="G220" s="106" t="s">
        <v>46</v>
      </c>
      <c r="H220" s="105">
        <v>42695</v>
      </c>
      <c r="I220" s="106" t="s">
        <v>49</v>
      </c>
    </row>
    <row r="221" spans="1:9" x14ac:dyDescent="0.2">
      <c r="A221" s="106" t="s">
        <v>49</v>
      </c>
      <c r="B221" s="107">
        <v>100</v>
      </c>
      <c r="C221" s="106">
        <v>0</v>
      </c>
      <c r="D221" s="106">
        <v>1</v>
      </c>
      <c r="E221" s="106">
        <v>0</v>
      </c>
      <c r="F221" s="105">
        <v>42675</v>
      </c>
      <c r="G221" s="106" t="s">
        <v>46</v>
      </c>
      <c r="H221" s="105">
        <v>42695</v>
      </c>
      <c r="I221" s="106" t="s">
        <v>49</v>
      </c>
    </row>
    <row r="222" spans="1:9" x14ac:dyDescent="0.2">
      <c r="A222" s="106" t="s">
        <v>432</v>
      </c>
      <c r="B222" s="107">
        <v>148</v>
      </c>
      <c r="C222" s="106">
        <v>0</v>
      </c>
      <c r="D222" s="106">
        <v>1</v>
      </c>
      <c r="E222" s="106">
        <v>0</v>
      </c>
      <c r="F222" s="105">
        <v>42675</v>
      </c>
      <c r="G222" s="106" t="s">
        <v>48</v>
      </c>
      <c r="H222" s="105">
        <v>42699</v>
      </c>
      <c r="I222" s="106" t="s">
        <v>432</v>
      </c>
    </row>
    <row r="223" spans="1:9" x14ac:dyDescent="0.2">
      <c r="A223" s="106" t="s">
        <v>439</v>
      </c>
      <c r="B223" s="107">
        <v>100</v>
      </c>
      <c r="C223" s="106">
        <v>0</v>
      </c>
      <c r="D223" s="106">
        <v>1</v>
      </c>
      <c r="E223" s="106">
        <v>0</v>
      </c>
      <c r="F223" s="105">
        <v>42675</v>
      </c>
      <c r="G223" s="106" t="s">
        <v>440</v>
      </c>
      <c r="H223" s="105">
        <v>42702</v>
      </c>
      <c r="I223" s="106" t="s">
        <v>43</v>
      </c>
    </row>
    <row r="224" spans="1:9" x14ac:dyDescent="0.2">
      <c r="A224" s="106" t="s">
        <v>317</v>
      </c>
      <c r="B224" s="107">
        <v>2.99</v>
      </c>
      <c r="C224" s="106">
        <v>0</v>
      </c>
      <c r="D224" s="106">
        <v>1</v>
      </c>
      <c r="E224" s="106">
        <v>0</v>
      </c>
      <c r="F224" s="105">
        <v>42675</v>
      </c>
      <c r="G224" s="106" t="s">
        <v>440</v>
      </c>
      <c r="H224" s="105">
        <v>42702</v>
      </c>
      <c r="I224" s="106" t="s">
        <v>42</v>
      </c>
    </row>
    <row r="225" spans="1:9" x14ac:dyDescent="0.2">
      <c r="A225" s="106" t="s">
        <v>403</v>
      </c>
      <c r="B225" s="107">
        <v>15</v>
      </c>
      <c r="C225" s="106">
        <v>0</v>
      </c>
      <c r="D225" s="106">
        <v>1</v>
      </c>
      <c r="E225" s="106">
        <v>0</v>
      </c>
      <c r="F225" s="105">
        <v>42675</v>
      </c>
      <c r="G225" s="106" t="s">
        <v>440</v>
      </c>
      <c r="H225" s="105">
        <v>42702</v>
      </c>
      <c r="I225" s="106" t="s">
        <v>42</v>
      </c>
    </row>
    <row r="226" spans="1:9" x14ac:dyDescent="0.2">
      <c r="A226" s="106" t="s">
        <v>441</v>
      </c>
      <c r="B226" s="107">
        <v>24.4</v>
      </c>
      <c r="C226" s="106">
        <v>0</v>
      </c>
      <c r="D226" s="106">
        <v>1</v>
      </c>
      <c r="E226" s="106">
        <v>0</v>
      </c>
      <c r="F226" s="105">
        <v>42675</v>
      </c>
      <c r="G226" s="106" t="s">
        <v>440</v>
      </c>
      <c r="H226" s="105">
        <v>42702</v>
      </c>
      <c r="I226" s="106" t="s">
        <v>43</v>
      </c>
    </row>
    <row r="227" spans="1:9" x14ac:dyDescent="0.2">
      <c r="A227" s="106" t="s">
        <v>315</v>
      </c>
      <c r="B227" s="107">
        <v>6</v>
      </c>
      <c r="C227" s="106">
        <v>0</v>
      </c>
      <c r="D227" s="106">
        <v>1</v>
      </c>
      <c r="E227" s="106">
        <v>0</v>
      </c>
      <c r="F227" s="105">
        <v>42675</v>
      </c>
      <c r="G227" s="106" t="s">
        <v>440</v>
      </c>
      <c r="H227" s="105">
        <v>42703</v>
      </c>
      <c r="I227" s="106" t="s">
        <v>42</v>
      </c>
    </row>
    <row r="228" spans="1:9" x14ac:dyDescent="0.2">
      <c r="A228" s="106" t="s">
        <v>442</v>
      </c>
      <c r="B228" s="107">
        <v>7.9</v>
      </c>
      <c r="C228" s="106">
        <v>0</v>
      </c>
      <c r="D228" s="106">
        <v>1</v>
      </c>
      <c r="E228" s="106">
        <v>0</v>
      </c>
      <c r="F228" s="105">
        <v>42675</v>
      </c>
      <c r="G228" s="106" t="s">
        <v>440</v>
      </c>
      <c r="H228" s="105">
        <v>42703</v>
      </c>
      <c r="I228" s="106" t="s">
        <v>42</v>
      </c>
    </row>
    <row r="229" spans="1:9" x14ac:dyDescent="0.2">
      <c r="A229" s="106" t="s">
        <v>317</v>
      </c>
      <c r="B229" s="107">
        <v>3</v>
      </c>
      <c r="C229" s="106">
        <v>0</v>
      </c>
      <c r="D229" s="106">
        <v>1</v>
      </c>
      <c r="E229" s="106">
        <v>0</v>
      </c>
      <c r="F229" s="105">
        <v>42675</v>
      </c>
      <c r="G229" s="106" t="s">
        <v>440</v>
      </c>
      <c r="H229" s="105">
        <v>42704</v>
      </c>
      <c r="I229" s="106" t="s">
        <v>42</v>
      </c>
    </row>
    <row r="230" spans="1:9" x14ac:dyDescent="0.2">
      <c r="A230" s="106" t="s">
        <v>364</v>
      </c>
      <c r="B230" s="107">
        <v>3.5</v>
      </c>
      <c r="C230" s="106">
        <v>0</v>
      </c>
      <c r="D230" s="106">
        <v>1</v>
      </c>
      <c r="E230" s="106">
        <v>0</v>
      </c>
      <c r="F230" s="105">
        <v>42675</v>
      </c>
      <c r="G230" s="106" t="s">
        <v>440</v>
      </c>
      <c r="H230" s="105">
        <v>42704</v>
      </c>
      <c r="I230" s="106" t="s">
        <v>42</v>
      </c>
    </row>
    <row r="231" spans="1:9" x14ac:dyDescent="0.2">
      <c r="A231" s="125" t="s">
        <v>58</v>
      </c>
      <c r="B231" s="126">
        <v>570.88</v>
      </c>
      <c r="C231" s="125">
        <v>1</v>
      </c>
      <c r="D231" s="125">
        <v>0</v>
      </c>
      <c r="E231" s="125">
        <v>0</v>
      </c>
      <c r="F231" s="127">
        <v>42705</v>
      </c>
      <c r="G231" s="125" t="s">
        <v>16</v>
      </c>
      <c r="H231" s="127">
        <v>42705</v>
      </c>
      <c r="I231" s="125" t="s">
        <v>38</v>
      </c>
    </row>
    <row r="232" spans="1:9" x14ac:dyDescent="0.2">
      <c r="A232" s="125" t="s">
        <v>59</v>
      </c>
      <c r="B232" s="126">
        <v>1211.55</v>
      </c>
      <c r="C232" s="125">
        <v>1</v>
      </c>
      <c r="D232" s="125">
        <v>0</v>
      </c>
      <c r="E232" s="125">
        <v>0</v>
      </c>
      <c r="F232" s="127">
        <v>42705</v>
      </c>
      <c r="G232" s="125" t="s">
        <v>16</v>
      </c>
      <c r="H232" s="127">
        <v>42705</v>
      </c>
      <c r="I232" s="125" t="s">
        <v>38</v>
      </c>
    </row>
    <row r="233" spans="1:9" x14ac:dyDescent="0.2">
      <c r="A233" s="125" t="s">
        <v>56</v>
      </c>
      <c r="B233" s="126">
        <v>9.92</v>
      </c>
      <c r="C233" s="125">
        <v>1</v>
      </c>
      <c r="D233" s="125">
        <v>0</v>
      </c>
      <c r="E233" s="125">
        <v>0</v>
      </c>
      <c r="F233" s="127">
        <v>42705</v>
      </c>
      <c r="G233" s="125" t="s">
        <v>16</v>
      </c>
      <c r="H233" s="127">
        <v>42705</v>
      </c>
      <c r="I233" s="125" t="s">
        <v>38</v>
      </c>
    </row>
    <row r="234" spans="1:9" x14ac:dyDescent="0.2">
      <c r="A234" s="125" t="s">
        <v>61</v>
      </c>
      <c r="B234" s="126">
        <v>36.96</v>
      </c>
      <c r="C234" s="125">
        <v>1</v>
      </c>
      <c r="D234" s="125">
        <v>0</v>
      </c>
      <c r="E234" s="125">
        <v>0</v>
      </c>
      <c r="F234" s="127">
        <v>42705</v>
      </c>
      <c r="G234" s="125" t="s">
        <v>16</v>
      </c>
      <c r="H234" s="127">
        <v>42705</v>
      </c>
      <c r="I234" s="125" t="s">
        <v>38</v>
      </c>
    </row>
    <row r="235" spans="1:9" x14ac:dyDescent="0.2">
      <c r="A235" s="125" t="s">
        <v>66</v>
      </c>
      <c r="B235" s="126">
        <v>121.62</v>
      </c>
      <c r="C235" s="125">
        <v>1</v>
      </c>
      <c r="D235" s="125">
        <v>0</v>
      </c>
      <c r="E235" s="125">
        <v>0</v>
      </c>
      <c r="F235" s="127">
        <v>42705</v>
      </c>
      <c r="G235" s="125" t="s">
        <v>16</v>
      </c>
      <c r="H235" s="127">
        <v>42705</v>
      </c>
      <c r="I235" s="125" t="s">
        <v>38</v>
      </c>
    </row>
    <row r="236" spans="1:9" x14ac:dyDescent="0.2">
      <c r="A236" s="125" t="s">
        <v>462</v>
      </c>
      <c r="B236" s="126">
        <v>15.4</v>
      </c>
      <c r="C236" s="125">
        <v>1</v>
      </c>
      <c r="D236" s="125">
        <v>0</v>
      </c>
      <c r="E236" s="125">
        <v>0</v>
      </c>
      <c r="F236" s="127">
        <v>42705</v>
      </c>
      <c r="G236" s="125" t="s">
        <v>16</v>
      </c>
      <c r="H236" s="127">
        <v>42705</v>
      </c>
      <c r="I236" s="125" t="s">
        <v>38</v>
      </c>
    </row>
    <row r="237" spans="1:9" x14ac:dyDescent="0.2">
      <c r="A237" s="3" t="s">
        <v>63</v>
      </c>
      <c r="B237" s="7">
        <v>52.4</v>
      </c>
      <c r="C237" s="3">
        <v>1</v>
      </c>
      <c r="D237" s="3">
        <v>0</v>
      </c>
      <c r="E237" s="3">
        <v>0</v>
      </c>
      <c r="F237" s="8">
        <v>42705</v>
      </c>
      <c r="G237" s="3" t="s">
        <v>16</v>
      </c>
      <c r="H237" s="8">
        <v>42709</v>
      </c>
      <c r="I237" s="3" t="s">
        <v>17</v>
      </c>
    </row>
    <row r="238" spans="1:9" x14ac:dyDescent="0.2">
      <c r="A238" s="3" t="s">
        <v>21</v>
      </c>
      <c r="B238" s="7">
        <v>368.68</v>
      </c>
      <c r="C238" s="3">
        <v>1</v>
      </c>
      <c r="D238" s="3">
        <v>0</v>
      </c>
      <c r="E238" s="3">
        <v>0</v>
      </c>
      <c r="F238" s="8">
        <v>42705</v>
      </c>
      <c r="G238" s="3" t="s">
        <v>16</v>
      </c>
      <c r="H238" s="8">
        <v>42706</v>
      </c>
      <c r="I238" s="3" t="s">
        <v>23</v>
      </c>
    </row>
    <row r="239" spans="1:9" x14ac:dyDescent="0.2">
      <c r="A239" s="3" t="s">
        <v>33</v>
      </c>
      <c r="B239" s="7">
        <v>1437.5</v>
      </c>
      <c r="C239" s="3">
        <v>1</v>
      </c>
      <c r="D239" s="3">
        <v>0</v>
      </c>
      <c r="E239" s="3">
        <v>0</v>
      </c>
      <c r="F239" s="8">
        <v>42705</v>
      </c>
      <c r="G239" s="3" t="s">
        <v>16</v>
      </c>
      <c r="H239" s="8">
        <v>42712</v>
      </c>
      <c r="I239" s="3" t="s">
        <v>23</v>
      </c>
    </row>
    <row r="240" spans="1:9" x14ac:dyDescent="0.2">
      <c r="A240" s="3" t="s">
        <v>34</v>
      </c>
      <c r="B240" s="7">
        <v>87.36</v>
      </c>
      <c r="C240" s="3">
        <v>1</v>
      </c>
      <c r="D240" s="3">
        <v>0</v>
      </c>
      <c r="E240" s="3">
        <v>0</v>
      </c>
      <c r="F240" s="8">
        <v>42705</v>
      </c>
      <c r="G240" s="3" t="s">
        <v>16</v>
      </c>
      <c r="H240" s="8">
        <v>42706</v>
      </c>
      <c r="I240" s="3" t="s">
        <v>23</v>
      </c>
    </row>
    <row r="241" spans="1:9" x14ac:dyDescent="0.2">
      <c r="A241" s="3" t="s">
        <v>20</v>
      </c>
      <c r="B241" s="7">
        <v>45.2</v>
      </c>
      <c r="C241" s="3">
        <v>1</v>
      </c>
      <c r="D241" s="3">
        <v>0</v>
      </c>
      <c r="E241" s="3">
        <v>0</v>
      </c>
      <c r="F241" s="8">
        <v>42705</v>
      </c>
      <c r="G241" s="3" t="s">
        <v>31</v>
      </c>
      <c r="H241" s="8">
        <v>42381</v>
      </c>
      <c r="I241" s="3" t="s">
        <v>17</v>
      </c>
    </row>
    <row r="242" spans="1:9" x14ac:dyDescent="0.2">
      <c r="A242" s="3" t="s">
        <v>35</v>
      </c>
      <c r="B242" s="7">
        <f>SUMIFS(credito!$B$2:$B$234,credito!$F$2:$F$234,F242,credito!$G$2:$G$234,0)</f>
        <v>3377.4199999999996</v>
      </c>
      <c r="C242" s="3">
        <v>1</v>
      </c>
      <c r="D242" s="3">
        <v>0</v>
      </c>
      <c r="E242" s="3">
        <v>0</v>
      </c>
      <c r="F242" s="8">
        <v>42705</v>
      </c>
      <c r="G242" s="3" t="s">
        <v>16</v>
      </c>
      <c r="H242" s="8">
        <v>42706</v>
      </c>
      <c r="I242" s="3" t="s">
        <v>36</v>
      </c>
    </row>
    <row r="243" spans="1:9" x14ac:dyDescent="0.2">
      <c r="A243" s="3" t="s">
        <v>24</v>
      </c>
      <c r="B243" s="7">
        <v>636.16999999999996</v>
      </c>
      <c r="C243" s="3">
        <v>1</v>
      </c>
      <c r="D243" s="3">
        <v>0</v>
      </c>
      <c r="E243" s="3">
        <v>0</v>
      </c>
      <c r="F243" s="8">
        <v>42705</v>
      </c>
      <c r="G243" s="3" t="s">
        <v>31</v>
      </c>
      <c r="H243" s="8">
        <v>42719</v>
      </c>
      <c r="I243" s="3" t="s">
        <v>25</v>
      </c>
    </row>
    <row r="244" spans="1:9" x14ac:dyDescent="0.2">
      <c r="A244" s="3" t="s">
        <v>26</v>
      </c>
      <c r="B244" s="7">
        <v>145</v>
      </c>
      <c r="C244" s="3">
        <v>1</v>
      </c>
      <c r="D244" s="3">
        <v>0</v>
      </c>
      <c r="E244" s="3">
        <v>0</v>
      </c>
      <c r="F244" s="8">
        <v>42705</v>
      </c>
      <c r="G244" s="3" t="s">
        <v>31</v>
      </c>
      <c r="H244" s="8">
        <v>42717</v>
      </c>
      <c r="I244" s="3" t="s">
        <v>26</v>
      </c>
    </row>
    <row r="245" spans="1:9" x14ac:dyDescent="0.2">
      <c r="A245" s="3" t="s">
        <v>30</v>
      </c>
      <c r="B245" s="7">
        <v>230</v>
      </c>
      <c r="C245" s="3">
        <v>1</v>
      </c>
      <c r="D245" s="3">
        <v>0</v>
      </c>
      <c r="E245" s="3">
        <v>0</v>
      </c>
      <c r="F245" s="8">
        <v>42705</v>
      </c>
      <c r="G245" s="3" t="s">
        <v>16</v>
      </c>
      <c r="H245" s="8">
        <v>42706</v>
      </c>
      <c r="I245" s="3" t="s">
        <v>32</v>
      </c>
    </row>
    <row r="246" spans="1:9" x14ac:dyDescent="0.2">
      <c r="A246" s="3" t="s">
        <v>51</v>
      </c>
      <c r="B246" s="7">
        <v>31.9</v>
      </c>
      <c r="C246" s="3">
        <v>1</v>
      </c>
      <c r="D246" s="3">
        <v>0</v>
      </c>
      <c r="E246" s="3">
        <v>0</v>
      </c>
      <c r="F246" s="8">
        <v>42705</v>
      </c>
      <c r="G246" s="3" t="s">
        <v>46</v>
      </c>
      <c r="H246" s="8">
        <v>42726</v>
      </c>
      <c r="I246" s="3" t="s">
        <v>23</v>
      </c>
    </row>
    <row r="247" spans="1:9" x14ac:dyDescent="0.2">
      <c r="A247" s="3" t="s">
        <v>15</v>
      </c>
      <c r="B247" s="7">
        <v>5.79</v>
      </c>
      <c r="C247" s="3">
        <v>1</v>
      </c>
      <c r="D247" s="3">
        <v>0</v>
      </c>
      <c r="E247" s="3">
        <v>0</v>
      </c>
      <c r="F247" s="8">
        <v>42705</v>
      </c>
      <c r="G247" s="3" t="s">
        <v>31</v>
      </c>
      <c r="H247" s="8">
        <v>42381</v>
      </c>
      <c r="I247" s="3" t="s">
        <v>17</v>
      </c>
    </row>
    <row r="248" spans="1:9" x14ac:dyDescent="0.2">
      <c r="A248" s="3" t="s">
        <v>18</v>
      </c>
      <c r="B248" s="7">
        <v>50</v>
      </c>
      <c r="C248" s="3">
        <v>1</v>
      </c>
      <c r="D248" s="3">
        <v>0</v>
      </c>
      <c r="E248" s="3">
        <v>0</v>
      </c>
      <c r="F248" s="8">
        <v>42705</v>
      </c>
      <c r="G248" s="3" t="s">
        <v>31</v>
      </c>
      <c r="H248" s="8">
        <v>42719</v>
      </c>
      <c r="I248" s="3" t="s">
        <v>477</v>
      </c>
    </row>
    <row r="249" spans="1:9" x14ac:dyDescent="0.2">
      <c r="A249" s="3" t="s">
        <v>53</v>
      </c>
      <c r="B249" s="7">
        <v>200</v>
      </c>
      <c r="C249" s="3">
        <v>0</v>
      </c>
      <c r="D249" s="3">
        <v>1</v>
      </c>
      <c r="E249" s="3">
        <v>0</v>
      </c>
      <c r="F249" s="8">
        <v>42705</v>
      </c>
      <c r="G249" s="3" t="s">
        <v>22</v>
      </c>
      <c r="H249" s="8">
        <v>42707</v>
      </c>
      <c r="I249" s="3" t="s">
        <v>60</v>
      </c>
    </row>
    <row r="250" spans="1:9" x14ac:dyDescent="0.2">
      <c r="A250" s="3" t="s">
        <v>443</v>
      </c>
      <c r="B250" s="7">
        <v>10</v>
      </c>
      <c r="C250" s="3">
        <v>0</v>
      </c>
      <c r="D250" s="3">
        <v>1</v>
      </c>
      <c r="E250" s="3">
        <v>0</v>
      </c>
      <c r="F250" s="8">
        <v>42705</v>
      </c>
      <c r="G250" s="3" t="s">
        <v>16</v>
      </c>
      <c r="H250" s="8">
        <v>42705</v>
      </c>
      <c r="I250" s="3" t="s">
        <v>42</v>
      </c>
    </row>
    <row r="251" spans="1:9" x14ac:dyDescent="0.2">
      <c r="A251" s="3" t="s">
        <v>41</v>
      </c>
      <c r="B251" s="7">
        <v>64.2</v>
      </c>
      <c r="C251" s="3">
        <v>0</v>
      </c>
      <c r="D251" s="3">
        <v>1</v>
      </c>
      <c r="E251" s="3">
        <v>0</v>
      </c>
      <c r="F251" s="8">
        <v>42705</v>
      </c>
      <c r="G251" s="3" t="s">
        <v>16</v>
      </c>
      <c r="H251" s="8">
        <v>42706</v>
      </c>
      <c r="I251" s="3" t="s">
        <v>41</v>
      </c>
    </row>
    <row r="252" spans="1:9" x14ac:dyDescent="0.2">
      <c r="A252" s="3" t="s">
        <v>41</v>
      </c>
      <c r="B252" s="7">
        <v>87.12</v>
      </c>
      <c r="C252" s="3">
        <v>0</v>
      </c>
      <c r="D252" s="3">
        <v>1</v>
      </c>
      <c r="E252" s="3">
        <v>0</v>
      </c>
      <c r="F252" s="8">
        <v>42705</v>
      </c>
      <c r="G252" s="3" t="s">
        <v>22</v>
      </c>
      <c r="H252" s="8">
        <v>42707</v>
      </c>
      <c r="I252" s="3" t="s">
        <v>41</v>
      </c>
    </row>
    <row r="253" spans="1:9" x14ac:dyDescent="0.2">
      <c r="A253" s="3" t="s">
        <v>40</v>
      </c>
      <c r="B253" s="7">
        <v>22.56</v>
      </c>
      <c r="C253" s="3">
        <v>0</v>
      </c>
      <c r="D253" s="3">
        <v>1</v>
      </c>
      <c r="E253" s="3">
        <v>0</v>
      </c>
      <c r="F253" s="8">
        <v>42705</v>
      </c>
      <c r="G253" s="3" t="s">
        <v>16</v>
      </c>
      <c r="H253" s="8">
        <v>42705</v>
      </c>
      <c r="I253" s="3" t="s">
        <v>40</v>
      </c>
    </row>
    <row r="254" spans="1:9" x14ac:dyDescent="0.2">
      <c r="A254" s="3" t="s">
        <v>352</v>
      </c>
      <c r="B254" s="7">
        <v>5.79</v>
      </c>
      <c r="C254" s="3">
        <v>0</v>
      </c>
      <c r="D254" s="3">
        <v>1</v>
      </c>
      <c r="E254" s="3">
        <v>0</v>
      </c>
      <c r="F254" s="8">
        <v>42705</v>
      </c>
      <c r="G254" s="3" t="s">
        <v>16</v>
      </c>
      <c r="H254" s="8">
        <v>42705</v>
      </c>
      <c r="I254" s="3" t="s">
        <v>17</v>
      </c>
    </row>
    <row r="255" spans="1:9" x14ac:dyDescent="0.2">
      <c r="A255" s="3" t="s">
        <v>444</v>
      </c>
      <c r="B255" s="7">
        <v>200</v>
      </c>
      <c r="C255" s="3">
        <v>0</v>
      </c>
      <c r="D255" s="3">
        <v>1</v>
      </c>
      <c r="E255" s="3">
        <v>0</v>
      </c>
      <c r="F255" s="8">
        <v>42705</v>
      </c>
      <c r="G255" s="3" t="s">
        <v>16</v>
      </c>
      <c r="H255" s="8">
        <v>42706</v>
      </c>
      <c r="I255" s="3" t="s">
        <v>43</v>
      </c>
    </row>
    <row r="256" spans="1:9" x14ac:dyDescent="0.2">
      <c r="A256" s="3" t="s">
        <v>397</v>
      </c>
      <c r="B256" s="7">
        <v>100</v>
      </c>
      <c r="C256" s="3">
        <v>0</v>
      </c>
      <c r="D256" s="3">
        <v>1</v>
      </c>
      <c r="E256" s="3">
        <v>0</v>
      </c>
      <c r="F256" s="8">
        <v>42705</v>
      </c>
      <c r="G256" s="3" t="s">
        <v>22</v>
      </c>
      <c r="H256" s="8">
        <v>42708</v>
      </c>
      <c r="I256" s="3" t="s">
        <v>43</v>
      </c>
    </row>
    <row r="257" spans="1:9" x14ac:dyDescent="0.2">
      <c r="A257" s="3" t="s">
        <v>363</v>
      </c>
      <c r="B257" s="7">
        <v>70</v>
      </c>
      <c r="C257" s="3">
        <v>0</v>
      </c>
      <c r="D257" s="3">
        <v>1</v>
      </c>
      <c r="E257" s="3">
        <v>0</v>
      </c>
      <c r="F257" s="8">
        <v>42705</v>
      </c>
      <c r="G257" s="3" t="s">
        <v>22</v>
      </c>
      <c r="H257" s="8">
        <v>42708</v>
      </c>
      <c r="I257" s="3" t="s">
        <v>363</v>
      </c>
    </row>
    <row r="258" spans="1:9" x14ac:dyDescent="0.2">
      <c r="A258" s="3" t="s">
        <v>445</v>
      </c>
      <c r="B258" s="7">
        <v>8</v>
      </c>
      <c r="C258" s="3">
        <v>0</v>
      </c>
      <c r="D258" s="3">
        <v>1</v>
      </c>
      <c r="E258" s="3">
        <v>0</v>
      </c>
      <c r="F258" s="8">
        <v>42705</v>
      </c>
      <c r="G258" s="3" t="s">
        <v>16</v>
      </c>
      <c r="H258" s="8">
        <v>42705</v>
      </c>
      <c r="I258" s="3" t="s">
        <v>42</v>
      </c>
    </row>
    <row r="259" spans="1:9" x14ac:dyDescent="0.2">
      <c r="A259" s="3" t="s">
        <v>30</v>
      </c>
      <c r="B259" s="7">
        <v>3.75</v>
      </c>
      <c r="C259" s="3">
        <v>0</v>
      </c>
      <c r="D259" s="3">
        <v>1</v>
      </c>
      <c r="E259" s="3">
        <v>0</v>
      </c>
      <c r="F259" s="8">
        <v>42705</v>
      </c>
      <c r="G259" s="3" t="s">
        <v>16</v>
      </c>
      <c r="H259" s="8">
        <v>42706</v>
      </c>
      <c r="I259" s="3" t="s">
        <v>32</v>
      </c>
    </row>
    <row r="260" spans="1:9" x14ac:dyDescent="0.2">
      <c r="A260" s="3" t="s">
        <v>330</v>
      </c>
      <c r="B260" s="7">
        <v>18.25</v>
      </c>
      <c r="C260" s="3">
        <v>0</v>
      </c>
      <c r="D260" s="3">
        <v>1</v>
      </c>
      <c r="E260" s="3">
        <v>0</v>
      </c>
      <c r="F260" s="8">
        <v>42705</v>
      </c>
      <c r="G260" s="3" t="s">
        <v>16</v>
      </c>
      <c r="H260" s="8">
        <v>42707</v>
      </c>
      <c r="I260" s="3" t="s">
        <v>43</v>
      </c>
    </row>
    <row r="261" spans="1:9" x14ac:dyDescent="0.2">
      <c r="A261" s="3" t="s">
        <v>55</v>
      </c>
      <c r="B261" s="7">
        <v>32.659999999999997</v>
      </c>
      <c r="C261" s="3">
        <v>1</v>
      </c>
      <c r="D261" s="3">
        <v>0</v>
      </c>
      <c r="E261" s="3">
        <v>0</v>
      </c>
      <c r="F261" s="8">
        <v>42705</v>
      </c>
      <c r="G261" s="3" t="s">
        <v>16</v>
      </c>
      <c r="H261" s="8">
        <v>42709</v>
      </c>
      <c r="I261" s="3" t="s">
        <v>17</v>
      </c>
    </row>
    <row r="262" spans="1:9" x14ac:dyDescent="0.2">
      <c r="A262" s="3" t="s">
        <v>446</v>
      </c>
      <c r="B262" s="7">
        <v>15.5</v>
      </c>
      <c r="C262" s="3">
        <v>1</v>
      </c>
      <c r="D262" s="3">
        <v>0</v>
      </c>
      <c r="E262" s="3">
        <v>0</v>
      </c>
      <c r="F262" s="8">
        <v>42705</v>
      </c>
      <c r="G262" s="3" t="s">
        <v>16</v>
      </c>
      <c r="H262" s="8">
        <v>42710</v>
      </c>
      <c r="I262" s="3" t="s">
        <v>42</v>
      </c>
    </row>
    <row r="263" spans="1:9" x14ac:dyDescent="0.2">
      <c r="A263" s="3" t="s">
        <v>447</v>
      </c>
      <c r="B263" s="7">
        <v>3.5</v>
      </c>
      <c r="C263" s="3">
        <v>1</v>
      </c>
      <c r="D263" s="3">
        <v>0</v>
      </c>
      <c r="E263" s="3">
        <v>0</v>
      </c>
      <c r="F263" s="8">
        <v>42705</v>
      </c>
      <c r="G263" s="3" t="s">
        <v>16</v>
      </c>
      <c r="H263" s="8">
        <v>42711</v>
      </c>
      <c r="I263" s="3" t="s">
        <v>42</v>
      </c>
    </row>
    <row r="264" spans="1:9" x14ac:dyDescent="0.2">
      <c r="A264" s="3" t="s">
        <v>316</v>
      </c>
      <c r="B264" s="7">
        <v>6.75</v>
      </c>
      <c r="C264" s="3">
        <v>1</v>
      </c>
      <c r="D264" s="3">
        <v>0</v>
      </c>
      <c r="E264" s="3">
        <v>0</v>
      </c>
      <c r="F264" s="8">
        <v>42705</v>
      </c>
      <c r="G264" s="3" t="s">
        <v>16</v>
      </c>
      <c r="H264" s="8">
        <v>42712</v>
      </c>
      <c r="I264" s="3" t="s">
        <v>42</v>
      </c>
    </row>
    <row r="265" spans="1:9" x14ac:dyDescent="0.2">
      <c r="A265" s="3" t="s">
        <v>447</v>
      </c>
      <c r="B265" s="7">
        <v>3.5</v>
      </c>
      <c r="C265" s="3">
        <v>1</v>
      </c>
      <c r="D265" s="3">
        <v>0</v>
      </c>
      <c r="E265" s="3">
        <v>0</v>
      </c>
      <c r="F265" s="8">
        <v>42705</v>
      </c>
      <c r="G265" s="3" t="s">
        <v>16</v>
      </c>
      <c r="H265" s="8">
        <v>42712</v>
      </c>
      <c r="I265" s="3" t="s">
        <v>42</v>
      </c>
    </row>
    <row r="266" spans="1:9" x14ac:dyDescent="0.2">
      <c r="A266" s="3" t="s">
        <v>316</v>
      </c>
      <c r="B266" s="7">
        <v>8.5</v>
      </c>
      <c r="C266" s="3">
        <v>1</v>
      </c>
      <c r="D266" s="3">
        <v>0</v>
      </c>
      <c r="E266" s="3">
        <v>0</v>
      </c>
      <c r="F266" s="8">
        <v>42705</v>
      </c>
      <c r="G266" s="3" t="s">
        <v>16</v>
      </c>
      <c r="H266" s="8">
        <v>42712</v>
      </c>
      <c r="I266" s="3" t="s">
        <v>42</v>
      </c>
    </row>
    <row r="267" spans="1:9" x14ac:dyDescent="0.2">
      <c r="A267" s="3" t="s">
        <v>315</v>
      </c>
      <c r="B267" s="7">
        <v>11</v>
      </c>
      <c r="C267" s="3">
        <v>1</v>
      </c>
      <c r="D267" s="3">
        <v>0</v>
      </c>
      <c r="E267" s="3">
        <v>0</v>
      </c>
      <c r="F267" s="8">
        <v>42705</v>
      </c>
      <c r="G267" s="3" t="s">
        <v>16</v>
      </c>
      <c r="H267" s="8">
        <v>42713</v>
      </c>
      <c r="I267" s="3" t="s">
        <v>42</v>
      </c>
    </row>
    <row r="268" spans="1:9" x14ac:dyDescent="0.2">
      <c r="A268" s="3" t="s">
        <v>416</v>
      </c>
      <c r="B268" s="7">
        <v>8</v>
      </c>
      <c r="C268" s="3">
        <v>1</v>
      </c>
      <c r="D268" s="3">
        <v>0</v>
      </c>
      <c r="E268" s="3">
        <v>0</v>
      </c>
      <c r="F268" s="8">
        <v>42705</v>
      </c>
      <c r="G268" s="3" t="s">
        <v>31</v>
      </c>
      <c r="H268" s="8">
        <v>42716</v>
      </c>
      <c r="I268" s="3" t="s">
        <v>42</v>
      </c>
    </row>
    <row r="269" spans="1:9" x14ac:dyDescent="0.2">
      <c r="A269" s="3" t="s">
        <v>448</v>
      </c>
      <c r="B269" s="7">
        <v>4</v>
      </c>
      <c r="C269" s="3">
        <v>1</v>
      </c>
      <c r="D269" s="3">
        <v>0</v>
      </c>
      <c r="E269" s="3">
        <v>0</v>
      </c>
      <c r="F269" s="8">
        <v>42705</v>
      </c>
      <c r="G269" s="3" t="s">
        <v>31</v>
      </c>
      <c r="H269" s="8">
        <v>42717</v>
      </c>
      <c r="I269" s="3" t="s">
        <v>42</v>
      </c>
    </row>
    <row r="270" spans="1:9" x14ac:dyDescent="0.2">
      <c r="A270" s="3" t="s">
        <v>316</v>
      </c>
      <c r="B270" s="7">
        <v>4.9800000000000004</v>
      </c>
      <c r="C270" s="3">
        <v>1</v>
      </c>
      <c r="D270" s="3">
        <v>0</v>
      </c>
      <c r="E270" s="3">
        <v>0</v>
      </c>
      <c r="F270" s="8">
        <v>42705</v>
      </c>
      <c r="G270" s="3" t="s">
        <v>31</v>
      </c>
      <c r="H270" s="8">
        <v>42717</v>
      </c>
      <c r="I270" s="3" t="s">
        <v>42</v>
      </c>
    </row>
    <row r="271" spans="1:9" x14ac:dyDescent="0.2">
      <c r="A271" s="3" t="s">
        <v>364</v>
      </c>
      <c r="B271" s="7">
        <v>3.5</v>
      </c>
      <c r="C271" s="3">
        <v>1</v>
      </c>
      <c r="D271" s="3">
        <v>0</v>
      </c>
      <c r="E271" s="3">
        <v>0</v>
      </c>
      <c r="F271" s="8">
        <v>42705</v>
      </c>
      <c r="G271" s="3" t="s">
        <v>31</v>
      </c>
      <c r="H271" s="8">
        <v>42717</v>
      </c>
      <c r="I271" s="3" t="s">
        <v>42</v>
      </c>
    </row>
    <row r="272" spans="1:9" x14ac:dyDescent="0.2">
      <c r="A272" s="3" t="s">
        <v>449</v>
      </c>
      <c r="B272" s="7">
        <v>6.9</v>
      </c>
      <c r="C272" s="3">
        <v>1</v>
      </c>
      <c r="D272" s="3">
        <v>0</v>
      </c>
      <c r="E272" s="3">
        <v>0</v>
      </c>
      <c r="F272" s="8">
        <v>42705</v>
      </c>
      <c r="G272" s="3" t="s">
        <v>31</v>
      </c>
      <c r="H272" s="8">
        <v>42717</v>
      </c>
      <c r="I272" s="3" t="s">
        <v>42</v>
      </c>
    </row>
    <row r="273" spans="1:9" x14ac:dyDescent="0.2">
      <c r="A273" s="3" t="s">
        <v>314</v>
      </c>
      <c r="B273" s="7">
        <v>9.1999999999999993</v>
      </c>
      <c r="C273" s="3">
        <v>1</v>
      </c>
      <c r="D273" s="3">
        <v>0</v>
      </c>
      <c r="E273" s="3">
        <v>0</v>
      </c>
      <c r="F273" s="8">
        <v>42705</v>
      </c>
      <c r="G273" s="3" t="s">
        <v>31</v>
      </c>
      <c r="H273" s="8">
        <v>42717</v>
      </c>
      <c r="I273" s="3" t="s">
        <v>42</v>
      </c>
    </row>
    <row r="274" spans="1:9" x14ac:dyDescent="0.2">
      <c r="A274" s="3" t="s">
        <v>327</v>
      </c>
      <c r="B274" s="7">
        <v>2.2000000000000002</v>
      </c>
      <c r="C274" s="3">
        <v>1</v>
      </c>
      <c r="D274" s="3">
        <v>0</v>
      </c>
      <c r="E274" s="3">
        <v>0</v>
      </c>
      <c r="F274" s="8">
        <v>42705</v>
      </c>
      <c r="G274" s="3" t="s">
        <v>31</v>
      </c>
      <c r="H274" s="8">
        <v>42719</v>
      </c>
      <c r="I274" s="3" t="s">
        <v>42</v>
      </c>
    </row>
    <row r="275" spans="1:9" x14ac:dyDescent="0.2">
      <c r="A275" s="3" t="s">
        <v>450</v>
      </c>
      <c r="B275" s="7">
        <v>16.899999999999999</v>
      </c>
      <c r="C275" s="3">
        <v>1</v>
      </c>
      <c r="D275" s="3">
        <v>0</v>
      </c>
      <c r="E275" s="3">
        <v>0</v>
      </c>
      <c r="F275" s="8">
        <v>42705</v>
      </c>
      <c r="G275" s="3" t="s">
        <v>31</v>
      </c>
      <c r="H275" s="8">
        <v>42719</v>
      </c>
      <c r="I275" s="3" t="s">
        <v>42</v>
      </c>
    </row>
    <row r="276" spans="1:9" x14ac:dyDescent="0.2">
      <c r="A276" s="3" t="s">
        <v>364</v>
      </c>
      <c r="B276" s="7">
        <v>3.5</v>
      </c>
      <c r="C276" s="3">
        <v>1</v>
      </c>
      <c r="D276" s="3">
        <v>0</v>
      </c>
      <c r="E276" s="3">
        <v>0</v>
      </c>
      <c r="F276" s="8">
        <v>42705</v>
      </c>
      <c r="G276" s="3" t="s">
        <v>31</v>
      </c>
      <c r="H276" s="8">
        <v>42719</v>
      </c>
      <c r="I276" s="3" t="s">
        <v>42</v>
      </c>
    </row>
    <row r="277" spans="1:9" x14ac:dyDescent="0.2">
      <c r="A277" s="3" t="s">
        <v>325</v>
      </c>
      <c r="B277" s="7">
        <v>13</v>
      </c>
      <c r="C277" s="3">
        <v>1</v>
      </c>
      <c r="D277" s="3">
        <v>0</v>
      </c>
      <c r="E277" s="3">
        <v>0</v>
      </c>
      <c r="F277" s="8">
        <v>42705</v>
      </c>
      <c r="G277" s="3" t="s">
        <v>31</v>
      </c>
      <c r="H277" s="8">
        <v>42720</v>
      </c>
      <c r="I277" s="3" t="s">
        <v>42</v>
      </c>
    </row>
    <row r="278" spans="1:9" x14ac:dyDescent="0.2">
      <c r="A278" s="3" t="s">
        <v>451</v>
      </c>
      <c r="B278" s="7">
        <v>16</v>
      </c>
      <c r="C278" s="3">
        <v>1</v>
      </c>
      <c r="D278" s="3">
        <v>0</v>
      </c>
      <c r="E278" s="3">
        <v>0</v>
      </c>
      <c r="F278" s="8">
        <v>42705</v>
      </c>
      <c r="G278" s="3" t="s">
        <v>31</v>
      </c>
      <c r="H278" s="8">
        <v>42720</v>
      </c>
      <c r="I278" s="3" t="s">
        <v>42</v>
      </c>
    </row>
    <row r="279" spans="1:9" x14ac:dyDescent="0.2">
      <c r="A279" s="3" t="s">
        <v>452</v>
      </c>
      <c r="B279" s="7">
        <v>30</v>
      </c>
      <c r="C279" s="3">
        <v>1</v>
      </c>
      <c r="D279" s="3">
        <v>0</v>
      </c>
      <c r="E279" s="3">
        <v>0</v>
      </c>
      <c r="F279" s="8">
        <v>42705</v>
      </c>
      <c r="G279" s="3" t="s">
        <v>31</v>
      </c>
      <c r="H279" s="8">
        <v>42720</v>
      </c>
      <c r="I279" s="3" t="s">
        <v>376</v>
      </c>
    </row>
    <row r="280" spans="1:9" x14ac:dyDescent="0.2">
      <c r="A280" s="3" t="s">
        <v>364</v>
      </c>
      <c r="B280" s="7">
        <v>3.5</v>
      </c>
      <c r="C280" s="3">
        <v>1</v>
      </c>
      <c r="D280" s="3">
        <v>0</v>
      </c>
      <c r="E280" s="3">
        <v>0</v>
      </c>
      <c r="F280" s="8">
        <v>42705</v>
      </c>
      <c r="G280" s="3" t="s">
        <v>31</v>
      </c>
      <c r="H280" s="8">
        <v>42720</v>
      </c>
      <c r="I280" s="3" t="s">
        <v>42</v>
      </c>
    </row>
    <row r="281" spans="1:9" x14ac:dyDescent="0.2">
      <c r="A281" s="3" t="s">
        <v>453</v>
      </c>
      <c r="B281" s="7">
        <v>199.76</v>
      </c>
      <c r="C281" s="3">
        <v>1</v>
      </c>
      <c r="D281" s="3">
        <v>0</v>
      </c>
      <c r="E281" s="3">
        <v>0</v>
      </c>
      <c r="F281" s="8">
        <v>42705</v>
      </c>
      <c r="G281" s="3" t="s">
        <v>22</v>
      </c>
      <c r="H281" s="8">
        <v>42721</v>
      </c>
      <c r="I281" s="3" t="s">
        <v>43</v>
      </c>
    </row>
    <row r="282" spans="1:9" x14ac:dyDescent="0.2">
      <c r="A282" s="102" t="s">
        <v>454</v>
      </c>
      <c r="B282" s="101">
        <v>20.49</v>
      </c>
      <c r="C282" s="102">
        <v>1</v>
      </c>
      <c r="D282" s="102">
        <v>0</v>
      </c>
      <c r="E282" s="102">
        <v>0</v>
      </c>
      <c r="F282" s="103">
        <v>42705</v>
      </c>
      <c r="G282" s="3" t="s">
        <v>22</v>
      </c>
      <c r="H282" s="8">
        <v>42721</v>
      </c>
      <c r="I282" s="3" t="s">
        <v>376</v>
      </c>
    </row>
    <row r="283" spans="1:9" x14ac:dyDescent="0.2">
      <c r="A283" s="102" t="s">
        <v>53</v>
      </c>
      <c r="B283" s="101">
        <v>32</v>
      </c>
      <c r="C283" s="102">
        <v>1</v>
      </c>
      <c r="D283" s="102">
        <v>0</v>
      </c>
      <c r="E283" s="102">
        <v>0</v>
      </c>
      <c r="F283" s="103">
        <v>42705</v>
      </c>
      <c r="G283" s="3" t="s">
        <v>22</v>
      </c>
      <c r="H283" s="8">
        <v>42721</v>
      </c>
      <c r="I283" s="3" t="s">
        <v>60</v>
      </c>
    </row>
    <row r="284" spans="1:9" x14ac:dyDescent="0.2">
      <c r="A284" s="102" t="s">
        <v>327</v>
      </c>
      <c r="B284" s="101">
        <v>2.2000000000000002</v>
      </c>
      <c r="C284" s="102">
        <v>1</v>
      </c>
      <c r="D284" s="102">
        <v>0</v>
      </c>
      <c r="E284" s="102">
        <v>0</v>
      </c>
      <c r="F284" s="103">
        <v>42705</v>
      </c>
      <c r="G284" s="3" t="s">
        <v>46</v>
      </c>
      <c r="H284" s="8">
        <v>42724</v>
      </c>
      <c r="I284" s="3" t="s">
        <v>42</v>
      </c>
    </row>
    <row r="285" spans="1:9" x14ac:dyDescent="0.2">
      <c r="A285" s="102" t="s">
        <v>314</v>
      </c>
      <c r="B285" s="101">
        <v>90</v>
      </c>
      <c r="C285" s="102">
        <v>1</v>
      </c>
      <c r="D285" s="102">
        <v>0</v>
      </c>
      <c r="E285" s="102">
        <v>0</v>
      </c>
      <c r="F285" s="103">
        <v>42705</v>
      </c>
      <c r="G285" s="3" t="s">
        <v>46</v>
      </c>
      <c r="H285" s="8">
        <v>42724</v>
      </c>
      <c r="I285" s="3" t="s">
        <v>43</v>
      </c>
    </row>
    <row r="286" spans="1:9" x14ac:dyDescent="0.2">
      <c r="A286" s="102" t="s">
        <v>455</v>
      </c>
      <c r="B286" s="101">
        <v>13</v>
      </c>
      <c r="C286" s="102">
        <v>1</v>
      </c>
      <c r="D286" s="102">
        <v>0</v>
      </c>
      <c r="E286" s="102">
        <v>0</v>
      </c>
      <c r="F286" s="103">
        <v>42705</v>
      </c>
      <c r="G286" s="3" t="s">
        <v>46</v>
      </c>
      <c r="H286" s="8">
        <v>42723</v>
      </c>
      <c r="I286" s="3" t="s">
        <v>42</v>
      </c>
    </row>
    <row r="287" spans="1:9" x14ac:dyDescent="0.2">
      <c r="A287" s="102" t="s">
        <v>41</v>
      </c>
      <c r="B287" s="101">
        <v>22.79</v>
      </c>
      <c r="C287" s="102">
        <v>1</v>
      </c>
      <c r="D287" s="102">
        <v>0</v>
      </c>
      <c r="E287" s="102">
        <v>0</v>
      </c>
      <c r="F287" s="103">
        <v>42705</v>
      </c>
      <c r="G287" s="3" t="s">
        <v>22</v>
      </c>
      <c r="H287" s="8">
        <v>42722</v>
      </c>
      <c r="I287" s="3" t="s">
        <v>41</v>
      </c>
    </row>
    <row r="288" spans="1:9" x14ac:dyDescent="0.2">
      <c r="A288" s="102" t="s">
        <v>363</v>
      </c>
      <c r="B288" s="101">
        <v>70</v>
      </c>
      <c r="C288" s="102">
        <v>1</v>
      </c>
      <c r="D288" s="102">
        <v>0</v>
      </c>
      <c r="E288" s="102">
        <v>0</v>
      </c>
      <c r="F288" s="103">
        <v>42705</v>
      </c>
      <c r="G288" s="3" t="s">
        <v>22</v>
      </c>
      <c r="H288" s="8">
        <v>42722</v>
      </c>
      <c r="I288" s="3" t="s">
        <v>363</v>
      </c>
    </row>
    <row r="289" spans="1:9" x14ac:dyDescent="0.2">
      <c r="A289" s="102" t="s">
        <v>456</v>
      </c>
      <c r="B289" s="101">
        <v>16.2</v>
      </c>
      <c r="C289" s="102">
        <v>1</v>
      </c>
      <c r="D289" s="102">
        <v>0</v>
      </c>
      <c r="E289" s="102">
        <v>0</v>
      </c>
      <c r="F289" s="103">
        <v>42705</v>
      </c>
      <c r="G289" s="3" t="s">
        <v>46</v>
      </c>
      <c r="H289" s="8">
        <v>42724</v>
      </c>
      <c r="I289" s="3" t="s">
        <v>42</v>
      </c>
    </row>
    <row r="290" spans="1:9" x14ac:dyDescent="0.2">
      <c r="A290" s="102" t="s">
        <v>457</v>
      </c>
      <c r="B290" s="101">
        <v>20</v>
      </c>
      <c r="C290" s="102">
        <v>1</v>
      </c>
      <c r="D290" s="102">
        <v>0</v>
      </c>
      <c r="E290" s="102">
        <v>0</v>
      </c>
      <c r="F290" s="103">
        <v>42705</v>
      </c>
      <c r="G290" s="3" t="s">
        <v>46</v>
      </c>
      <c r="H290" s="8">
        <v>42724</v>
      </c>
      <c r="I290" s="3" t="s">
        <v>42</v>
      </c>
    </row>
    <row r="291" spans="1:9" x14ac:dyDescent="0.2">
      <c r="A291" s="125" t="s">
        <v>468</v>
      </c>
      <c r="B291" s="126">
        <v>181.8</v>
      </c>
      <c r="C291" s="125">
        <v>1</v>
      </c>
      <c r="D291" s="125">
        <v>0</v>
      </c>
      <c r="E291" s="125">
        <v>0</v>
      </c>
      <c r="F291" s="127">
        <v>42705</v>
      </c>
      <c r="G291" s="125" t="s">
        <v>31</v>
      </c>
      <c r="H291" s="127">
        <v>42724</v>
      </c>
      <c r="I291" s="125" t="s">
        <v>432</v>
      </c>
    </row>
    <row r="292" spans="1:9" x14ac:dyDescent="0.2">
      <c r="A292" s="125" t="s">
        <v>58</v>
      </c>
      <c r="B292" s="126">
        <v>570.88</v>
      </c>
      <c r="C292" s="125">
        <v>1</v>
      </c>
      <c r="D292" s="125">
        <v>0</v>
      </c>
      <c r="E292" s="125">
        <v>0</v>
      </c>
      <c r="F292" s="127">
        <v>42705</v>
      </c>
      <c r="G292" s="125" t="s">
        <v>46</v>
      </c>
      <c r="H292" s="127">
        <v>42724</v>
      </c>
      <c r="I292" s="125" t="s">
        <v>38</v>
      </c>
    </row>
    <row r="293" spans="1:9" x14ac:dyDescent="0.2">
      <c r="A293" s="125" t="s">
        <v>59</v>
      </c>
      <c r="B293" s="126">
        <v>1211.55</v>
      </c>
      <c r="C293" s="125">
        <v>1</v>
      </c>
      <c r="D293" s="125">
        <v>0</v>
      </c>
      <c r="E293" s="125">
        <v>0</v>
      </c>
      <c r="F293" s="127">
        <v>42705</v>
      </c>
      <c r="G293" s="125" t="s">
        <v>46</v>
      </c>
      <c r="H293" s="127">
        <v>42724</v>
      </c>
      <c r="I293" s="125" t="s">
        <v>38</v>
      </c>
    </row>
    <row r="294" spans="1:9" x14ac:dyDescent="0.2">
      <c r="A294" s="125" t="s">
        <v>466</v>
      </c>
      <c r="B294" s="126">
        <v>36.96</v>
      </c>
      <c r="C294" s="125">
        <v>1</v>
      </c>
      <c r="D294" s="125">
        <v>0</v>
      </c>
      <c r="E294" s="125">
        <v>0</v>
      </c>
      <c r="F294" s="127">
        <v>42705</v>
      </c>
      <c r="G294" s="125" t="s">
        <v>46</v>
      </c>
      <c r="H294" s="127">
        <v>42724</v>
      </c>
      <c r="I294" s="125" t="s">
        <v>38</v>
      </c>
    </row>
    <row r="295" spans="1:9" x14ac:dyDescent="0.2">
      <c r="A295" s="125" t="s">
        <v>66</v>
      </c>
      <c r="B295" s="126">
        <v>121.62</v>
      </c>
      <c r="C295" s="125">
        <v>1</v>
      </c>
      <c r="D295" s="125">
        <v>0</v>
      </c>
      <c r="E295" s="125">
        <v>0</v>
      </c>
      <c r="F295" s="127">
        <v>42705</v>
      </c>
      <c r="G295" s="125" t="s">
        <v>46</v>
      </c>
      <c r="H295" s="127">
        <v>42724</v>
      </c>
      <c r="I295" s="125" t="s">
        <v>38</v>
      </c>
    </row>
    <row r="296" spans="1:9" x14ac:dyDescent="0.2">
      <c r="A296" s="125" t="s">
        <v>463</v>
      </c>
      <c r="B296" s="126">
        <v>570.88</v>
      </c>
      <c r="C296" s="125">
        <v>1</v>
      </c>
      <c r="D296" s="125">
        <v>0</v>
      </c>
      <c r="E296" s="125">
        <v>0</v>
      </c>
      <c r="F296" s="127">
        <v>42705</v>
      </c>
      <c r="G296" s="125" t="s">
        <v>46</v>
      </c>
      <c r="H296" s="127">
        <v>42724</v>
      </c>
      <c r="I296" s="125" t="s">
        <v>38</v>
      </c>
    </row>
    <row r="297" spans="1:9" x14ac:dyDescent="0.2">
      <c r="A297" s="125" t="s">
        <v>464</v>
      </c>
      <c r="B297" s="126">
        <v>626</v>
      </c>
      <c r="C297" s="125">
        <v>1</v>
      </c>
      <c r="D297" s="125">
        <v>0</v>
      </c>
      <c r="E297" s="125">
        <v>0</v>
      </c>
      <c r="F297" s="127">
        <v>42705</v>
      </c>
      <c r="G297" s="125" t="s">
        <v>46</v>
      </c>
      <c r="H297" s="127">
        <v>42724</v>
      </c>
      <c r="I297" s="125" t="s">
        <v>38</v>
      </c>
    </row>
    <row r="298" spans="1:9" x14ac:dyDescent="0.2">
      <c r="A298" s="125" t="s">
        <v>465</v>
      </c>
      <c r="B298" s="126">
        <v>9.92</v>
      </c>
      <c r="C298" s="125">
        <v>1</v>
      </c>
      <c r="D298" s="125">
        <v>0</v>
      </c>
      <c r="E298" s="125">
        <v>0</v>
      </c>
      <c r="F298" s="127">
        <v>42705</v>
      </c>
      <c r="G298" s="125" t="s">
        <v>46</v>
      </c>
      <c r="H298" s="127">
        <v>42724</v>
      </c>
      <c r="I298" s="125" t="s">
        <v>38</v>
      </c>
    </row>
    <row r="299" spans="1:9" x14ac:dyDescent="0.2">
      <c r="A299" s="125" t="s">
        <v>462</v>
      </c>
      <c r="B299" s="126">
        <v>15.4</v>
      </c>
      <c r="C299" s="125">
        <v>1</v>
      </c>
      <c r="D299" s="125">
        <v>0</v>
      </c>
      <c r="E299" s="125">
        <v>0</v>
      </c>
      <c r="F299" s="127">
        <v>42705</v>
      </c>
      <c r="G299" s="125" t="s">
        <v>46</v>
      </c>
      <c r="H299" s="127">
        <v>42724</v>
      </c>
      <c r="I299" s="125" t="s">
        <v>38</v>
      </c>
    </row>
    <row r="300" spans="1:9" x14ac:dyDescent="0.2">
      <c r="A300" s="125" t="s">
        <v>467</v>
      </c>
      <c r="B300" s="126">
        <v>3193.88</v>
      </c>
      <c r="C300" s="125">
        <v>1</v>
      </c>
      <c r="D300" s="125">
        <v>0</v>
      </c>
      <c r="E300" s="125">
        <v>0</v>
      </c>
      <c r="F300" s="127">
        <v>42705</v>
      </c>
      <c r="G300" s="125" t="s">
        <v>46</v>
      </c>
      <c r="H300" s="127">
        <v>42704</v>
      </c>
      <c r="I300" s="125" t="s">
        <v>38</v>
      </c>
    </row>
    <row r="301" spans="1:9" x14ac:dyDescent="0.2">
      <c r="A301" s="125" t="s">
        <v>469</v>
      </c>
      <c r="B301" s="126">
        <v>38</v>
      </c>
      <c r="C301" s="125">
        <v>1</v>
      </c>
      <c r="D301" s="125">
        <v>0</v>
      </c>
      <c r="E301" s="125">
        <v>0</v>
      </c>
      <c r="F301" s="127">
        <v>42705</v>
      </c>
      <c r="G301" s="125" t="s">
        <v>46</v>
      </c>
      <c r="H301" s="127">
        <v>42724</v>
      </c>
      <c r="I301" s="125" t="s">
        <v>432</v>
      </c>
    </row>
    <row r="302" spans="1:9" x14ac:dyDescent="0.2">
      <c r="A302" s="101" t="s">
        <v>458</v>
      </c>
      <c r="B302" s="101">
        <v>102.99</v>
      </c>
      <c r="C302" s="101">
        <v>1</v>
      </c>
      <c r="D302" s="101">
        <v>0</v>
      </c>
      <c r="E302" s="101">
        <v>0</v>
      </c>
      <c r="F302" s="103">
        <v>42705</v>
      </c>
      <c r="G302" s="7" t="s">
        <v>46</v>
      </c>
      <c r="H302" s="8">
        <v>42725</v>
      </c>
      <c r="I302" s="7" t="s">
        <v>43</v>
      </c>
    </row>
    <row r="303" spans="1:9" x14ac:dyDescent="0.2">
      <c r="A303" s="101" t="s">
        <v>65</v>
      </c>
      <c r="B303" s="101">
        <v>50</v>
      </c>
      <c r="C303" s="101">
        <v>1</v>
      </c>
      <c r="D303" s="101">
        <v>0</v>
      </c>
      <c r="E303" s="101">
        <v>0</v>
      </c>
      <c r="F303" s="103">
        <v>42705</v>
      </c>
      <c r="G303" s="7" t="s">
        <v>46</v>
      </c>
      <c r="H303" s="8">
        <v>42725</v>
      </c>
      <c r="I303" s="7" t="s">
        <v>60</v>
      </c>
    </row>
    <row r="304" spans="1:9" x14ac:dyDescent="0.2">
      <c r="A304" s="101" t="s">
        <v>459</v>
      </c>
      <c r="B304" s="101">
        <v>63</v>
      </c>
      <c r="C304" s="101">
        <v>1</v>
      </c>
      <c r="D304" s="101">
        <v>0</v>
      </c>
      <c r="E304" s="101">
        <v>0</v>
      </c>
      <c r="F304" s="103">
        <v>42705</v>
      </c>
      <c r="G304" s="7" t="s">
        <v>46</v>
      </c>
      <c r="H304" s="8">
        <v>42725</v>
      </c>
      <c r="I304" s="7" t="s">
        <v>43</v>
      </c>
    </row>
    <row r="305" spans="1:9" x14ac:dyDescent="0.2">
      <c r="A305" s="101" t="s">
        <v>460</v>
      </c>
      <c r="B305" s="101">
        <v>153.22999999999999</v>
      </c>
      <c r="C305" s="101">
        <v>1</v>
      </c>
      <c r="D305" s="101">
        <v>0</v>
      </c>
      <c r="E305" s="101">
        <v>0</v>
      </c>
      <c r="F305" s="103">
        <v>42705</v>
      </c>
      <c r="G305" s="7" t="s">
        <v>46</v>
      </c>
      <c r="H305" s="8">
        <v>42726</v>
      </c>
      <c r="I305" s="7" t="s">
        <v>43</v>
      </c>
    </row>
    <row r="306" spans="1:9" x14ac:dyDescent="0.2">
      <c r="A306" s="101" t="s">
        <v>364</v>
      </c>
      <c r="B306" s="101">
        <v>6.5</v>
      </c>
      <c r="C306" s="101">
        <v>1</v>
      </c>
      <c r="D306" s="101">
        <v>0</v>
      </c>
      <c r="E306" s="101">
        <v>0</v>
      </c>
      <c r="F306" s="103">
        <v>42705</v>
      </c>
      <c r="G306" s="7" t="s">
        <v>46</v>
      </c>
      <c r="H306" s="8">
        <v>42726</v>
      </c>
      <c r="I306" s="7" t="s">
        <v>42</v>
      </c>
    </row>
    <row r="307" spans="1:9" x14ac:dyDescent="0.2">
      <c r="A307" s="101" t="s">
        <v>461</v>
      </c>
      <c r="B307" s="101">
        <v>20.5</v>
      </c>
      <c r="C307" s="101">
        <v>1</v>
      </c>
      <c r="D307" s="101">
        <v>0</v>
      </c>
      <c r="E307" s="101">
        <v>0</v>
      </c>
      <c r="F307" s="103">
        <v>42705</v>
      </c>
      <c r="G307" s="7" t="s">
        <v>46</v>
      </c>
      <c r="H307" s="8">
        <v>42726</v>
      </c>
      <c r="I307" s="7" t="s">
        <v>42</v>
      </c>
    </row>
    <row r="308" spans="1:9" x14ac:dyDescent="0.2">
      <c r="A308" s="101" t="s">
        <v>47</v>
      </c>
      <c r="B308" s="101">
        <v>20.9</v>
      </c>
      <c r="C308" s="101">
        <v>1</v>
      </c>
      <c r="D308" s="101">
        <v>0</v>
      </c>
      <c r="E308" s="101">
        <v>0</v>
      </c>
      <c r="F308" s="103">
        <v>42705</v>
      </c>
      <c r="G308" s="7" t="s">
        <v>46</v>
      </c>
      <c r="H308" s="8">
        <v>42727</v>
      </c>
      <c r="I308" s="7" t="s">
        <v>47</v>
      </c>
    </row>
    <row r="309" spans="1:9" x14ac:dyDescent="0.2">
      <c r="A309" s="101" t="s">
        <v>52</v>
      </c>
      <c r="B309" s="101">
        <v>180.17</v>
      </c>
      <c r="C309" s="101">
        <v>1</v>
      </c>
      <c r="D309" s="101">
        <v>0</v>
      </c>
      <c r="E309" s="101">
        <v>0</v>
      </c>
      <c r="F309" s="103">
        <v>42705</v>
      </c>
      <c r="G309" s="7" t="s">
        <v>22</v>
      </c>
      <c r="H309" s="8">
        <v>42729</v>
      </c>
      <c r="I309" s="7" t="s">
        <v>60</v>
      </c>
    </row>
    <row r="310" spans="1:9" x14ac:dyDescent="0.2">
      <c r="A310" s="101" t="s">
        <v>44</v>
      </c>
      <c r="B310" s="101">
        <v>50</v>
      </c>
      <c r="C310" s="101">
        <v>1</v>
      </c>
      <c r="D310" s="101">
        <v>0</v>
      </c>
      <c r="E310" s="101">
        <v>0</v>
      </c>
      <c r="F310" s="103">
        <v>42705</v>
      </c>
      <c r="G310" s="7" t="s">
        <v>22</v>
      </c>
      <c r="H310" s="8">
        <v>42728</v>
      </c>
      <c r="I310" s="7" t="s">
        <v>43</v>
      </c>
    </row>
    <row r="311" spans="1:9" x14ac:dyDescent="0.2">
      <c r="A311" s="101" t="s">
        <v>363</v>
      </c>
      <c r="B311" s="101">
        <v>50</v>
      </c>
      <c r="C311" s="101">
        <v>1</v>
      </c>
      <c r="D311" s="101">
        <v>0</v>
      </c>
      <c r="E311" s="101">
        <v>0</v>
      </c>
      <c r="F311" s="103">
        <v>42705</v>
      </c>
      <c r="G311" s="7" t="s">
        <v>22</v>
      </c>
      <c r="H311" s="8">
        <v>42728</v>
      </c>
      <c r="I311" s="7" t="s">
        <v>363</v>
      </c>
    </row>
    <row r="312" spans="1:9" x14ac:dyDescent="0.2">
      <c r="A312" s="101" t="s">
        <v>470</v>
      </c>
      <c r="B312" s="101">
        <v>10</v>
      </c>
      <c r="C312" s="101">
        <v>1</v>
      </c>
      <c r="D312" s="101">
        <v>0</v>
      </c>
      <c r="E312" s="101">
        <v>0</v>
      </c>
      <c r="F312" s="103">
        <v>42705</v>
      </c>
      <c r="G312" s="7" t="s">
        <v>48</v>
      </c>
      <c r="H312" s="8">
        <v>42730</v>
      </c>
      <c r="I312" s="7" t="s">
        <v>42</v>
      </c>
    </row>
    <row r="313" spans="1:9" x14ac:dyDescent="0.2">
      <c r="A313" s="101" t="s">
        <v>41</v>
      </c>
      <c r="B313" s="101">
        <v>27.3</v>
      </c>
      <c r="C313" s="101">
        <v>1</v>
      </c>
      <c r="D313" s="101">
        <v>0</v>
      </c>
      <c r="E313" s="101">
        <v>0</v>
      </c>
      <c r="F313" s="103">
        <v>42705</v>
      </c>
      <c r="G313" s="7" t="s">
        <v>48</v>
      </c>
      <c r="H313" s="8">
        <v>42732</v>
      </c>
      <c r="I313" s="7" t="s">
        <v>41</v>
      </c>
    </row>
    <row r="314" spans="1:9" x14ac:dyDescent="0.2">
      <c r="A314" s="101" t="s">
        <v>364</v>
      </c>
      <c r="B314" s="101">
        <v>3.5</v>
      </c>
      <c r="C314" s="101">
        <v>1</v>
      </c>
      <c r="D314" s="101">
        <v>0</v>
      </c>
      <c r="E314" s="101">
        <v>0</v>
      </c>
      <c r="F314" s="103">
        <v>42705</v>
      </c>
      <c r="G314" s="7" t="s">
        <v>48</v>
      </c>
      <c r="H314" s="8">
        <v>42732</v>
      </c>
      <c r="I314" s="7" t="s">
        <v>42</v>
      </c>
    </row>
    <row r="315" spans="1:9" x14ac:dyDescent="0.2">
      <c r="A315" s="101" t="s">
        <v>41</v>
      </c>
      <c r="B315" s="101">
        <v>5.3</v>
      </c>
      <c r="C315" s="101">
        <v>1</v>
      </c>
      <c r="D315" s="101">
        <v>0</v>
      </c>
      <c r="E315" s="101">
        <v>0</v>
      </c>
      <c r="F315" s="103">
        <v>42705</v>
      </c>
      <c r="G315" s="7" t="s">
        <v>48</v>
      </c>
      <c r="H315" s="8">
        <v>42732</v>
      </c>
      <c r="I315" s="7" t="s">
        <v>41</v>
      </c>
    </row>
    <row r="316" spans="1:9" x14ac:dyDescent="0.2">
      <c r="A316" s="101" t="s">
        <v>471</v>
      </c>
      <c r="B316" s="101">
        <v>7.79</v>
      </c>
      <c r="C316" s="101">
        <v>1</v>
      </c>
      <c r="D316" s="101">
        <v>0</v>
      </c>
      <c r="E316" s="101">
        <v>0</v>
      </c>
      <c r="F316" s="103">
        <v>42705</v>
      </c>
      <c r="G316" s="7" t="s">
        <v>48</v>
      </c>
      <c r="H316" s="8">
        <v>42733</v>
      </c>
      <c r="I316" s="7" t="s">
        <v>42</v>
      </c>
    </row>
    <row r="317" spans="1:9" x14ac:dyDescent="0.2">
      <c r="A317" s="101" t="s">
        <v>363</v>
      </c>
      <c r="B317" s="101">
        <v>50</v>
      </c>
      <c r="C317" s="101">
        <v>1</v>
      </c>
      <c r="D317" s="101">
        <v>0</v>
      </c>
      <c r="E317" s="101">
        <v>0</v>
      </c>
      <c r="F317" s="103">
        <v>42705</v>
      </c>
      <c r="G317" s="7" t="s">
        <v>48</v>
      </c>
      <c r="H317" s="8">
        <v>42735</v>
      </c>
      <c r="I317" s="7" t="s">
        <v>363</v>
      </c>
    </row>
    <row r="318" spans="1:9" x14ac:dyDescent="0.2">
      <c r="A318" s="101" t="s">
        <v>44</v>
      </c>
      <c r="B318" s="101">
        <v>30</v>
      </c>
      <c r="C318" s="101">
        <v>1</v>
      </c>
      <c r="D318" s="101">
        <v>0</v>
      </c>
      <c r="E318" s="101">
        <v>0</v>
      </c>
      <c r="F318" s="103">
        <v>42705</v>
      </c>
      <c r="G318" s="7" t="s">
        <v>48</v>
      </c>
      <c r="H318" s="8">
        <v>42734</v>
      </c>
      <c r="I318" s="7" t="s">
        <v>43</v>
      </c>
    </row>
    <row r="319" spans="1:9" x14ac:dyDescent="0.2">
      <c r="A319" s="101" t="s">
        <v>40</v>
      </c>
      <c r="B319" s="101">
        <v>22.48</v>
      </c>
      <c r="C319" s="101">
        <v>1</v>
      </c>
      <c r="D319" s="101">
        <v>0</v>
      </c>
      <c r="E319" s="101">
        <v>0</v>
      </c>
      <c r="F319" s="103">
        <v>42705</v>
      </c>
      <c r="G319" s="7" t="s">
        <v>48</v>
      </c>
      <c r="H319" s="8">
        <v>42734</v>
      </c>
      <c r="I319" s="7" t="s">
        <v>40</v>
      </c>
    </row>
    <row r="320" spans="1:9" x14ac:dyDescent="0.2">
      <c r="A320" s="101" t="s">
        <v>472</v>
      </c>
      <c r="B320" s="7">
        <v>7.54</v>
      </c>
      <c r="C320" s="101">
        <v>1</v>
      </c>
      <c r="D320" s="101">
        <v>0</v>
      </c>
      <c r="E320" s="101">
        <v>0</v>
      </c>
      <c r="F320" s="103">
        <v>42705</v>
      </c>
      <c r="G320" s="7" t="s">
        <v>48</v>
      </c>
      <c r="H320" s="8">
        <v>42734</v>
      </c>
      <c r="I320" s="7" t="s">
        <v>47</v>
      </c>
    </row>
    <row r="321" spans="1:9" x14ac:dyDescent="0.2">
      <c r="A321" s="101" t="s">
        <v>473</v>
      </c>
      <c r="B321" s="7">
        <v>65</v>
      </c>
      <c r="C321" s="101">
        <v>1</v>
      </c>
      <c r="D321" s="101">
        <v>0</v>
      </c>
      <c r="E321" s="101">
        <v>0</v>
      </c>
      <c r="F321" s="103">
        <v>42705</v>
      </c>
      <c r="G321" s="7" t="s">
        <v>48</v>
      </c>
      <c r="H321" s="8">
        <v>42734</v>
      </c>
      <c r="I321" s="7" t="s">
        <v>376</v>
      </c>
    </row>
    <row r="322" spans="1:9" x14ac:dyDescent="0.2">
      <c r="A322" s="101" t="s">
        <v>474</v>
      </c>
      <c r="B322" s="7">
        <v>30</v>
      </c>
      <c r="C322" s="101">
        <v>1</v>
      </c>
      <c r="D322" s="101">
        <v>0</v>
      </c>
      <c r="E322" s="101">
        <v>0</v>
      </c>
      <c r="F322" s="103">
        <v>42705</v>
      </c>
      <c r="G322" s="7" t="s">
        <v>48</v>
      </c>
      <c r="H322" s="8">
        <v>42734</v>
      </c>
      <c r="I322" s="7" t="s">
        <v>47</v>
      </c>
    </row>
    <row r="323" spans="1:9" x14ac:dyDescent="0.2">
      <c r="A323" s="101" t="s">
        <v>41</v>
      </c>
      <c r="B323" s="7">
        <v>195.59</v>
      </c>
      <c r="C323" s="101">
        <v>1</v>
      </c>
      <c r="D323" s="101">
        <v>0</v>
      </c>
      <c r="E323" s="101">
        <v>0</v>
      </c>
      <c r="F323" s="103">
        <v>42705</v>
      </c>
      <c r="G323" s="7" t="s">
        <v>48</v>
      </c>
      <c r="H323" s="8">
        <v>42734</v>
      </c>
      <c r="I323" s="7" t="s">
        <v>41</v>
      </c>
    </row>
    <row r="324" spans="1:9" x14ac:dyDescent="0.2">
      <c r="A324" s="101" t="s">
        <v>325</v>
      </c>
      <c r="B324" s="7">
        <v>21</v>
      </c>
      <c r="C324" s="101">
        <v>1</v>
      </c>
      <c r="D324" s="101">
        <v>0</v>
      </c>
      <c r="E324" s="101">
        <v>0</v>
      </c>
      <c r="F324" s="103">
        <v>42705</v>
      </c>
      <c r="G324" s="7" t="s">
        <v>48</v>
      </c>
      <c r="H324" s="8">
        <v>42734</v>
      </c>
      <c r="I324" s="7" t="s">
        <v>42</v>
      </c>
    </row>
    <row r="325" spans="1:9" x14ac:dyDescent="0.2">
      <c r="A325" s="101" t="s">
        <v>475</v>
      </c>
      <c r="B325" s="7">
        <v>35</v>
      </c>
      <c r="C325" s="101">
        <v>1</v>
      </c>
      <c r="D325" s="101">
        <v>0</v>
      </c>
      <c r="E325" s="101">
        <v>0</v>
      </c>
      <c r="F325" s="103">
        <v>42705</v>
      </c>
      <c r="G325" s="7" t="s">
        <v>22</v>
      </c>
      <c r="H325" s="8">
        <v>42735</v>
      </c>
      <c r="I325" s="7" t="s">
        <v>43</v>
      </c>
    </row>
    <row r="326" spans="1:9" x14ac:dyDescent="0.2">
      <c r="A326" s="101" t="s">
        <v>40</v>
      </c>
      <c r="B326" s="7">
        <v>29.08</v>
      </c>
      <c r="C326" s="101">
        <v>1</v>
      </c>
      <c r="D326" s="101">
        <v>0</v>
      </c>
      <c r="E326" s="101">
        <v>0</v>
      </c>
      <c r="F326" s="103">
        <v>42705</v>
      </c>
      <c r="G326" s="7" t="s">
        <v>22</v>
      </c>
      <c r="H326" s="8">
        <v>42735</v>
      </c>
      <c r="I326" s="7" t="s">
        <v>40</v>
      </c>
    </row>
    <row r="327" spans="1:9" x14ac:dyDescent="0.2">
      <c r="A327" s="101" t="s">
        <v>41</v>
      </c>
      <c r="B327" s="7">
        <v>48.81</v>
      </c>
      <c r="C327" s="101">
        <v>1</v>
      </c>
      <c r="D327" s="101">
        <v>0</v>
      </c>
      <c r="E327" s="101">
        <v>0</v>
      </c>
      <c r="F327" s="103">
        <v>42705</v>
      </c>
      <c r="G327" s="7" t="s">
        <v>22</v>
      </c>
      <c r="H327" s="8">
        <v>42735</v>
      </c>
      <c r="I327" s="7" t="s">
        <v>41</v>
      </c>
    </row>
    <row r="328" spans="1:9" x14ac:dyDescent="0.2">
      <c r="A328" s="101" t="s">
        <v>41</v>
      </c>
      <c r="B328" s="7">
        <v>17.989999999999998</v>
      </c>
      <c r="C328" s="101">
        <v>1</v>
      </c>
      <c r="D328" s="101">
        <v>0</v>
      </c>
      <c r="E328" s="101">
        <v>0</v>
      </c>
      <c r="F328" s="103">
        <v>42705</v>
      </c>
      <c r="G328" s="7" t="s">
        <v>22</v>
      </c>
      <c r="H328" s="8">
        <v>42735</v>
      </c>
      <c r="I328" s="7" t="s">
        <v>41</v>
      </c>
    </row>
    <row r="329" spans="1:9" x14ac:dyDescent="0.2">
      <c r="A329" s="101" t="s">
        <v>325</v>
      </c>
      <c r="B329" s="7">
        <v>14.2</v>
      </c>
      <c r="C329" s="101">
        <v>1</v>
      </c>
      <c r="D329" s="101">
        <v>0</v>
      </c>
      <c r="E329" s="101">
        <v>0</v>
      </c>
      <c r="F329" s="103">
        <v>42705</v>
      </c>
      <c r="G329" s="7" t="s">
        <v>22</v>
      </c>
      <c r="H329" s="8">
        <v>42735</v>
      </c>
      <c r="I329" s="7" t="s">
        <v>42</v>
      </c>
    </row>
    <row r="330" spans="1:9" x14ac:dyDescent="0.2">
      <c r="A330" s="101" t="s">
        <v>476</v>
      </c>
      <c r="B330" s="7">
        <v>45</v>
      </c>
      <c r="C330" s="101">
        <v>1</v>
      </c>
      <c r="D330" s="101">
        <v>0</v>
      </c>
      <c r="E330" s="101">
        <v>0</v>
      </c>
      <c r="F330" s="103">
        <v>42705</v>
      </c>
      <c r="G330" s="7" t="s">
        <v>48</v>
      </c>
      <c r="H330" s="8">
        <v>42734</v>
      </c>
      <c r="I330" s="7" t="s">
        <v>42</v>
      </c>
    </row>
    <row r="331" spans="1:9" x14ac:dyDescent="0.2">
      <c r="A331" s="101" t="s">
        <v>397</v>
      </c>
      <c r="B331" s="7">
        <v>37</v>
      </c>
      <c r="C331" s="101">
        <v>1</v>
      </c>
      <c r="D331" s="101">
        <v>0</v>
      </c>
      <c r="E331" s="101">
        <v>0</v>
      </c>
      <c r="F331" s="103">
        <v>42705</v>
      </c>
      <c r="G331" s="7" t="s">
        <v>22</v>
      </c>
      <c r="H331" s="8">
        <v>42735</v>
      </c>
      <c r="I331" s="7" t="s">
        <v>397</v>
      </c>
    </row>
  </sheetData>
  <pageMargins left="0.51180555555555496" right="0.51180555555555496" top="0.78749999999999998" bottom="0.78749999999999998" header="0.51180555555555496" footer="0.51180555555555496"/>
  <pageSetup paperSize="9" firstPageNumber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79"/>
  <sheetViews>
    <sheetView zoomScale="75" zoomScaleNormal="75" workbookViewId="0">
      <selection activeCell="J13" sqref="J13"/>
    </sheetView>
  </sheetViews>
  <sheetFormatPr defaultRowHeight="12.75" x14ac:dyDescent="0.2"/>
  <cols>
    <col min="1" max="1" width="42.140625"/>
    <col min="2" max="2" width="19.28515625"/>
    <col min="3" max="3" width="14.42578125"/>
    <col min="4" max="5" width="12.42578125"/>
    <col min="6" max="6" width="23.7109375" style="1"/>
    <col min="7" max="7" width="19.5703125"/>
    <col min="8" max="8" width="19.140625"/>
    <col min="9" max="9" width="20.7109375" style="149"/>
    <col min="10" max="10" width="15.7109375"/>
    <col min="11" max="11" width="14.42578125"/>
    <col min="12" max="12" width="12.42578125"/>
    <col min="13" max="13" width="14.42578125"/>
    <col min="14" max="1025" width="12.42578125"/>
  </cols>
  <sheetData>
    <row r="1" spans="1:12" x14ac:dyDescent="0.2">
      <c r="A1" s="12" t="s">
        <v>72</v>
      </c>
      <c r="B1" s="12" t="s">
        <v>73</v>
      </c>
      <c r="C1" s="12" t="s">
        <v>74</v>
      </c>
      <c r="D1" s="12" t="s">
        <v>75</v>
      </c>
      <c r="E1" s="12" t="s">
        <v>76</v>
      </c>
      <c r="F1" s="13" t="s">
        <v>77</v>
      </c>
      <c r="G1" s="12" t="s">
        <v>78</v>
      </c>
      <c r="H1" s="12" t="s">
        <v>79</v>
      </c>
      <c r="I1" s="137" t="s">
        <v>80</v>
      </c>
      <c r="J1" s="12" t="s">
        <v>81</v>
      </c>
      <c r="K1" s="2"/>
    </row>
    <row r="2" spans="1:12" x14ac:dyDescent="0.2">
      <c r="A2" s="12" t="s">
        <v>95</v>
      </c>
      <c r="B2" s="20">
        <v>1378.97</v>
      </c>
      <c r="C2" s="12">
        <v>0</v>
      </c>
      <c r="D2" s="12">
        <v>1</v>
      </c>
      <c r="E2" s="12">
        <v>0</v>
      </c>
      <c r="F2" s="13">
        <v>42614</v>
      </c>
      <c r="G2" s="12">
        <v>0</v>
      </c>
      <c r="H2" s="16"/>
      <c r="I2" s="138">
        <v>42561</v>
      </c>
      <c r="J2" s="12" t="s">
        <v>90</v>
      </c>
      <c r="K2" s="19"/>
      <c r="L2" s="19"/>
    </row>
    <row r="3" spans="1:12" x14ac:dyDescent="0.2">
      <c r="A3" s="17" t="s">
        <v>94</v>
      </c>
      <c r="B3" s="18">
        <v>1408.56</v>
      </c>
      <c r="C3" s="150">
        <v>0</v>
      </c>
      <c r="D3" s="150">
        <v>1</v>
      </c>
      <c r="E3" s="150">
        <v>0</v>
      </c>
      <c r="F3" s="151">
        <v>42614</v>
      </c>
      <c r="G3" s="150">
        <v>0</v>
      </c>
      <c r="H3" s="150"/>
      <c r="I3" s="139">
        <v>42561</v>
      </c>
      <c r="J3" s="150" t="s">
        <v>23</v>
      </c>
      <c r="K3" s="18">
        <v>1456.3</v>
      </c>
      <c r="L3" s="16"/>
    </row>
    <row r="4" spans="1:12" x14ac:dyDescent="0.2">
      <c r="A4" s="150" t="s">
        <v>26</v>
      </c>
      <c r="B4" s="150">
        <v>145</v>
      </c>
      <c r="C4" s="150">
        <v>0</v>
      </c>
      <c r="D4" s="150">
        <v>1</v>
      </c>
      <c r="E4" s="150">
        <v>0</v>
      </c>
      <c r="F4" s="151">
        <v>42614</v>
      </c>
      <c r="G4" s="150">
        <v>0</v>
      </c>
      <c r="H4" s="150"/>
      <c r="I4" s="139">
        <v>42561</v>
      </c>
      <c r="J4" s="150" t="s">
        <v>26</v>
      </c>
      <c r="K4" s="150">
        <v>149.43</v>
      </c>
    </row>
    <row r="5" spans="1:12" x14ac:dyDescent="0.2">
      <c r="A5" s="150" t="s">
        <v>97</v>
      </c>
      <c r="B5" s="150">
        <v>150</v>
      </c>
      <c r="C5" s="150">
        <v>0</v>
      </c>
      <c r="D5" s="150">
        <v>1</v>
      </c>
      <c r="E5" s="150">
        <v>0</v>
      </c>
      <c r="F5" s="151">
        <v>42614</v>
      </c>
      <c r="G5" s="150">
        <v>0</v>
      </c>
      <c r="H5" s="150"/>
      <c r="I5" s="140">
        <v>42561</v>
      </c>
      <c r="J5" s="150" t="s">
        <v>60</v>
      </c>
      <c r="K5" s="152"/>
    </row>
    <row r="6" spans="1:12" x14ac:dyDescent="0.2">
      <c r="A6" s="14" t="s">
        <v>83</v>
      </c>
      <c r="B6" s="15">
        <v>74.900000000000006</v>
      </c>
      <c r="C6" s="150">
        <v>0</v>
      </c>
      <c r="D6" s="150">
        <v>1</v>
      </c>
      <c r="E6" s="150">
        <v>0</v>
      </c>
      <c r="F6" s="151">
        <v>42614</v>
      </c>
      <c r="G6" s="150">
        <v>0</v>
      </c>
      <c r="H6" s="150"/>
      <c r="I6" s="139">
        <v>42561</v>
      </c>
      <c r="J6" s="150" t="s">
        <v>50</v>
      </c>
      <c r="K6" s="152"/>
    </row>
    <row r="7" spans="1:12" x14ac:dyDescent="0.2">
      <c r="A7" s="14" t="s">
        <v>85</v>
      </c>
      <c r="B7" s="15">
        <v>22.9</v>
      </c>
      <c r="C7" s="150">
        <v>0</v>
      </c>
      <c r="D7" s="150">
        <v>1</v>
      </c>
      <c r="E7" s="150">
        <v>0</v>
      </c>
      <c r="F7" s="151">
        <v>42614</v>
      </c>
      <c r="G7" s="150">
        <v>0</v>
      </c>
      <c r="H7" s="150"/>
      <c r="I7" s="139">
        <v>42561</v>
      </c>
      <c r="J7" s="150" t="s">
        <v>86</v>
      </c>
      <c r="K7" s="152"/>
    </row>
    <row r="8" spans="1:12" x14ac:dyDescent="0.2">
      <c r="A8" s="152" t="s">
        <v>89</v>
      </c>
      <c r="B8" s="152">
        <v>31</v>
      </c>
      <c r="C8" s="150">
        <v>0</v>
      </c>
      <c r="D8" s="150">
        <v>1</v>
      </c>
      <c r="E8" s="150">
        <v>0</v>
      </c>
      <c r="F8" s="151">
        <v>42614</v>
      </c>
      <c r="G8" s="150">
        <v>0</v>
      </c>
      <c r="H8" s="152"/>
      <c r="I8" s="139">
        <v>42561</v>
      </c>
      <c r="J8" s="152" t="s">
        <v>477</v>
      </c>
      <c r="K8" s="152"/>
    </row>
    <row r="9" spans="1:12" x14ac:dyDescent="0.2">
      <c r="A9" s="152" t="s">
        <v>99</v>
      </c>
      <c r="B9" s="152">
        <v>52.04</v>
      </c>
      <c r="C9" s="150">
        <v>0</v>
      </c>
      <c r="D9" s="150">
        <v>1</v>
      </c>
      <c r="E9" s="150">
        <v>0</v>
      </c>
      <c r="F9" s="151">
        <v>42614</v>
      </c>
      <c r="G9" s="150">
        <v>0</v>
      </c>
      <c r="H9" s="152"/>
      <c r="I9" s="139">
        <v>42561</v>
      </c>
      <c r="J9" s="150" t="s">
        <v>86</v>
      </c>
      <c r="K9" s="152"/>
    </row>
    <row r="10" spans="1:12" x14ac:dyDescent="0.2">
      <c r="A10" s="152" t="s">
        <v>87</v>
      </c>
      <c r="B10" s="152">
        <v>40.08</v>
      </c>
      <c r="C10" s="150">
        <v>0</v>
      </c>
      <c r="D10" s="150">
        <v>1</v>
      </c>
      <c r="E10" s="150">
        <v>0</v>
      </c>
      <c r="F10" s="151">
        <v>42614</v>
      </c>
      <c r="G10" s="150">
        <v>0</v>
      </c>
      <c r="H10" s="152"/>
      <c r="I10" s="141">
        <v>42561</v>
      </c>
      <c r="J10" s="150" t="s">
        <v>86</v>
      </c>
      <c r="K10" s="152"/>
    </row>
    <row r="11" spans="1:12" x14ac:dyDescent="0.2">
      <c r="A11" s="152" t="s">
        <v>47</v>
      </c>
      <c r="B11" s="152">
        <v>15.99</v>
      </c>
      <c r="C11" s="150">
        <v>0</v>
      </c>
      <c r="D11" s="150">
        <v>1</v>
      </c>
      <c r="E11" s="150">
        <v>0</v>
      </c>
      <c r="F11" s="151">
        <v>42614</v>
      </c>
      <c r="G11" s="150">
        <v>0</v>
      </c>
      <c r="H11" s="152"/>
      <c r="I11" s="139">
        <v>42595</v>
      </c>
      <c r="J11" s="150" t="s">
        <v>47</v>
      </c>
      <c r="K11" s="152"/>
    </row>
    <row r="12" spans="1:12" x14ac:dyDescent="0.2">
      <c r="A12" s="152" t="s">
        <v>432</v>
      </c>
      <c r="B12" s="152">
        <v>42.92</v>
      </c>
      <c r="C12" s="150">
        <v>0</v>
      </c>
      <c r="D12" s="150">
        <v>1</v>
      </c>
      <c r="E12" s="150">
        <v>0</v>
      </c>
      <c r="F12" s="151">
        <v>42614</v>
      </c>
      <c r="G12" s="150">
        <v>0</v>
      </c>
      <c r="H12" s="152"/>
      <c r="I12" s="139">
        <v>42595</v>
      </c>
      <c r="J12" s="150" t="s">
        <v>478</v>
      </c>
      <c r="K12" s="152"/>
    </row>
    <row r="13" spans="1:12" x14ac:dyDescent="0.2">
      <c r="A13" s="150" t="s">
        <v>96</v>
      </c>
      <c r="B13" s="153">
        <v>1378.97</v>
      </c>
      <c r="C13" s="150">
        <v>0</v>
      </c>
      <c r="D13" s="150">
        <v>1</v>
      </c>
      <c r="E13" s="150">
        <v>0</v>
      </c>
      <c r="F13" s="151">
        <v>42644</v>
      </c>
      <c r="G13" s="150">
        <v>0</v>
      </c>
      <c r="H13" s="150"/>
      <c r="I13" s="142">
        <v>42597</v>
      </c>
      <c r="J13" s="12" t="s">
        <v>90</v>
      </c>
      <c r="K13" s="153">
        <v>1378.97</v>
      </c>
    </row>
    <row r="14" spans="1:12" x14ac:dyDescent="0.2">
      <c r="A14" s="17" t="s">
        <v>94</v>
      </c>
      <c r="B14" s="18">
        <v>1402.58</v>
      </c>
      <c r="C14" s="150">
        <v>0</v>
      </c>
      <c r="D14" s="150">
        <v>1</v>
      </c>
      <c r="E14" s="150">
        <v>0</v>
      </c>
      <c r="F14" s="151">
        <v>42644</v>
      </c>
      <c r="G14" s="150">
        <v>0</v>
      </c>
      <c r="H14" s="150"/>
      <c r="I14" s="142">
        <v>42597</v>
      </c>
      <c r="J14" s="150" t="s">
        <v>23</v>
      </c>
      <c r="K14" s="18">
        <v>1456.3</v>
      </c>
    </row>
    <row r="15" spans="1:12" x14ac:dyDescent="0.2">
      <c r="A15" s="150" t="s">
        <v>98</v>
      </c>
      <c r="B15" s="150">
        <v>150</v>
      </c>
      <c r="C15" s="150">
        <v>0</v>
      </c>
      <c r="D15" s="150">
        <v>1</v>
      </c>
      <c r="E15" s="150">
        <v>0</v>
      </c>
      <c r="F15" s="151">
        <v>42644</v>
      </c>
      <c r="G15" s="150">
        <v>0</v>
      </c>
      <c r="H15" s="150"/>
      <c r="I15" s="143">
        <v>42597</v>
      </c>
      <c r="J15" s="152" t="s">
        <v>60</v>
      </c>
      <c r="K15" s="154">
        <v>150</v>
      </c>
    </row>
    <row r="16" spans="1:12" x14ac:dyDescent="0.2">
      <c r="A16" s="14" t="s">
        <v>83</v>
      </c>
      <c r="B16" s="15">
        <v>74.900000000000006</v>
      </c>
      <c r="C16" s="150">
        <v>0</v>
      </c>
      <c r="D16" s="150">
        <v>1</v>
      </c>
      <c r="E16" s="150">
        <v>0</v>
      </c>
      <c r="F16" s="151">
        <v>42644</v>
      </c>
      <c r="G16" s="150">
        <v>0</v>
      </c>
      <c r="H16" s="150"/>
      <c r="I16" s="142">
        <v>42597</v>
      </c>
      <c r="J16" s="150" t="s">
        <v>50</v>
      </c>
      <c r="K16" s="152"/>
    </row>
    <row r="17" spans="1:11" x14ac:dyDescent="0.2">
      <c r="A17" s="14" t="s">
        <v>85</v>
      </c>
      <c r="B17" s="15">
        <v>22.9</v>
      </c>
      <c r="C17" s="150">
        <v>0</v>
      </c>
      <c r="D17" s="150">
        <v>1</v>
      </c>
      <c r="E17" s="150">
        <v>0</v>
      </c>
      <c r="F17" s="151">
        <v>42644</v>
      </c>
      <c r="G17" s="150">
        <v>0</v>
      </c>
      <c r="H17" s="150"/>
      <c r="I17" s="143">
        <v>42600</v>
      </c>
      <c r="J17" s="152" t="s">
        <v>86</v>
      </c>
      <c r="K17" s="152"/>
    </row>
    <row r="18" spans="1:11" x14ac:dyDescent="0.2">
      <c r="A18" s="152" t="s">
        <v>100</v>
      </c>
      <c r="B18" s="152">
        <v>80.66</v>
      </c>
      <c r="C18" s="150">
        <v>0</v>
      </c>
      <c r="D18" s="150">
        <v>1</v>
      </c>
      <c r="E18" s="150">
        <v>0</v>
      </c>
      <c r="F18" s="155">
        <v>42644</v>
      </c>
      <c r="G18" s="152">
        <v>0</v>
      </c>
      <c r="H18" s="152"/>
      <c r="I18" s="143">
        <v>42602</v>
      </c>
      <c r="J18" s="152" t="s">
        <v>41</v>
      </c>
      <c r="K18" s="152"/>
    </row>
    <row r="19" spans="1:11" x14ac:dyDescent="0.2">
      <c r="A19" s="152" t="s">
        <v>93</v>
      </c>
      <c r="B19" s="152">
        <v>135.02000000000001</v>
      </c>
      <c r="C19" s="150">
        <v>0</v>
      </c>
      <c r="D19" s="150">
        <v>1</v>
      </c>
      <c r="E19" s="150">
        <v>0</v>
      </c>
      <c r="F19" s="155">
        <v>42644</v>
      </c>
      <c r="G19" s="152">
        <v>0</v>
      </c>
      <c r="H19" s="152"/>
      <c r="I19" s="143">
        <v>42603</v>
      </c>
      <c r="J19" s="152" t="s">
        <v>45</v>
      </c>
      <c r="K19" s="152"/>
    </row>
    <row r="20" spans="1:11" x14ac:dyDescent="0.2">
      <c r="A20" s="152" t="s">
        <v>101</v>
      </c>
      <c r="B20" s="152">
        <v>13.62</v>
      </c>
      <c r="C20" s="150">
        <v>0</v>
      </c>
      <c r="D20" s="150">
        <v>1</v>
      </c>
      <c r="E20" s="150">
        <v>0</v>
      </c>
      <c r="F20" s="155">
        <v>42644</v>
      </c>
      <c r="G20" s="152">
        <v>0</v>
      </c>
      <c r="H20" s="152"/>
      <c r="I20" s="143">
        <v>42608</v>
      </c>
      <c r="J20" s="152" t="s">
        <v>41</v>
      </c>
      <c r="K20" s="152"/>
    </row>
    <row r="21" spans="1:11" x14ac:dyDescent="0.2">
      <c r="A21" s="152" t="s">
        <v>88</v>
      </c>
      <c r="B21" s="152">
        <v>150</v>
      </c>
      <c r="C21" s="150">
        <v>0</v>
      </c>
      <c r="D21" s="150">
        <v>1</v>
      </c>
      <c r="E21" s="150">
        <v>0</v>
      </c>
      <c r="F21" s="155">
        <v>42644</v>
      </c>
      <c r="G21" s="152">
        <v>0</v>
      </c>
      <c r="H21" s="152"/>
      <c r="I21" s="143">
        <v>42609</v>
      </c>
      <c r="J21" s="152" t="s">
        <v>60</v>
      </c>
      <c r="K21" s="152"/>
    </row>
    <row r="22" spans="1:11" x14ac:dyDescent="0.2">
      <c r="A22" s="152" t="s">
        <v>298</v>
      </c>
      <c r="B22" s="152">
        <v>109</v>
      </c>
      <c r="C22" s="150">
        <v>0</v>
      </c>
      <c r="D22" s="150">
        <v>1</v>
      </c>
      <c r="E22" s="150">
        <v>0</v>
      </c>
      <c r="F22" s="155">
        <v>42644</v>
      </c>
      <c r="G22" s="152">
        <v>0</v>
      </c>
      <c r="H22" s="152"/>
      <c r="I22" s="143">
        <v>42610</v>
      </c>
      <c r="J22" s="152" t="s">
        <v>43</v>
      </c>
      <c r="K22" s="152">
        <v>109</v>
      </c>
    </row>
    <row r="23" spans="1:11" x14ac:dyDescent="0.2">
      <c r="A23" s="156" t="s">
        <v>21</v>
      </c>
      <c r="B23" s="156">
        <v>361</v>
      </c>
      <c r="C23" s="150">
        <v>0</v>
      </c>
      <c r="D23" s="150">
        <v>1</v>
      </c>
      <c r="E23" s="150">
        <v>0</v>
      </c>
      <c r="F23" s="155">
        <v>42644</v>
      </c>
      <c r="G23" s="152">
        <v>0</v>
      </c>
      <c r="H23" s="152"/>
      <c r="I23" s="143">
        <v>42610</v>
      </c>
      <c r="J23" s="152" t="s">
        <v>23</v>
      </c>
      <c r="K23" s="156">
        <v>377.09</v>
      </c>
    </row>
    <row r="24" spans="1:11" x14ac:dyDescent="0.2">
      <c r="A24" s="152" t="s">
        <v>87</v>
      </c>
      <c r="B24" s="152">
        <v>32.6</v>
      </c>
      <c r="C24" s="150">
        <v>0</v>
      </c>
      <c r="D24" s="150">
        <v>1</v>
      </c>
      <c r="E24" s="150">
        <v>0</v>
      </c>
      <c r="F24" s="155">
        <v>42644</v>
      </c>
      <c r="G24" s="152">
        <v>0</v>
      </c>
      <c r="H24" s="152"/>
      <c r="I24" s="143">
        <v>42610</v>
      </c>
      <c r="J24" s="152" t="s">
        <v>40</v>
      </c>
      <c r="K24" s="152"/>
    </row>
    <row r="25" spans="1:11" x14ac:dyDescent="0.2">
      <c r="A25" s="152" t="s">
        <v>300</v>
      </c>
      <c r="B25" s="152">
        <v>85</v>
      </c>
      <c r="C25" s="150">
        <v>0</v>
      </c>
      <c r="D25" s="150">
        <v>1</v>
      </c>
      <c r="E25" s="150">
        <v>0</v>
      </c>
      <c r="F25" s="155">
        <v>42644</v>
      </c>
      <c r="G25" s="152">
        <v>0</v>
      </c>
      <c r="H25" s="152"/>
      <c r="I25" s="143">
        <v>42612</v>
      </c>
      <c r="J25" s="152" t="s">
        <v>40</v>
      </c>
      <c r="K25" s="152"/>
    </row>
    <row r="26" spans="1:11" x14ac:dyDescent="0.2">
      <c r="A26" s="152" t="s">
        <v>301</v>
      </c>
      <c r="B26" s="152">
        <v>75</v>
      </c>
      <c r="C26" s="150">
        <v>0</v>
      </c>
      <c r="D26" s="150">
        <v>1</v>
      </c>
      <c r="E26" s="150">
        <v>0</v>
      </c>
      <c r="F26" s="155">
        <v>42644</v>
      </c>
      <c r="G26" s="152">
        <v>0</v>
      </c>
      <c r="H26" s="152"/>
      <c r="I26" s="157">
        <v>42614</v>
      </c>
      <c r="J26" s="152" t="s">
        <v>43</v>
      </c>
      <c r="K26" s="152"/>
    </row>
    <row r="27" spans="1:11" x14ac:dyDescent="0.2">
      <c r="A27" s="152" t="s">
        <v>302</v>
      </c>
      <c r="B27" s="152">
        <v>17</v>
      </c>
      <c r="C27" s="150">
        <v>0</v>
      </c>
      <c r="D27" s="150">
        <v>1</v>
      </c>
      <c r="E27" s="150">
        <v>0</v>
      </c>
      <c r="F27" s="155">
        <v>42644</v>
      </c>
      <c r="G27" s="152">
        <v>0</v>
      </c>
      <c r="H27" s="152"/>
      <c r="I27" s="157">
        <v>42614</v>
      </c>
      <c r="J27" s="152" t="s">
        <v>42</v>
      </c>
      <c r="K27" s="152"/>
    </row>
    <row r="28" spans="1:11" x14ac:dyDescent="0.2">
      <c r="A28" s="152" t="s">
        <v>303</v>
      </c>
      <c r="B28" s="152">
        <v>15.86</v>
      </c>
      <c r="C28" s="150">
        <v>0</v>
      </c>
      <c r="D28" s="150">
        <v>1</v>
      </c>
      <c r="E28" s="150">
        <v>0</v>
      </c>
      <c r="F28" s="155">
        <v>42644</v>
      </c>
      <c r="G28" s="152">
        <v>0</v>
      </c>
      <c r="H28" s="152"/>
      <c r="I28" s="157">
        <v>42614</v>
      </c>
      <c r="J28" s="152" t="s">
        <v>42</v>
      </c>
      <c r="K28" s="152"/>
    </row>
    <row r="29" spans="1:11" x14ac:dyDescent="0.2">
      <c r="A29" s="152" t="s">
        <v>87</v>
      </c>
      <c r="B29" s="152">
        <v>28.31</v>
      </c>
      <c r="C29" s="150">
        <v>0</v>
      </c>
      <c r="D29" s="150">
        <v>1</v>
      </c>
      <c r="E29" s="150">
        <v>0</v>
      </c>
      <c r="F29" s="155">
        <v>42644</v>
      </c>
      <c r="G29" s="152">
        <v>0</v>
      </c>
      <c r="H29" s="152"/>
      <c r="I29" s="157">
        <v>42614</v>
      </c>
      <c r="J29" s="152" t="s">
        <v>40</v>
      </c>
      <c r="K29" s="152"/>
    </row>
    <row r="30" spans="1:11" x14ac:dyDescent="0.2">
      <c r="A30" s="152" t="s">
        <v>82</v>
      </c>
      <c r="B30" s="152">
        <v>408.61</v>
      </c>
      <c r="C30" s="150">
        <v>0</v>
      </c>
      <c r="D30" s="150">
        <v>1</v>
      </c>
      <c r="E30" s="150">
        <v>0</v>
      </c>
      <c r="F30" s="155">
        <v>42644</v>
      </c>
      <c r="G30" s="152">
        <v>0</v>
      </c>
      <c r="H30" s="152"/>
      <c r="I30" s="143">
        <v>42615</v>
      </c>
      <c r="J30" s="152" t="s">
        <v>41</v>
      </c>
      <c r="K30" s="152"/>
    </row>
    <row r="31" spans="1:11" x14ac:dyDescent="0.2">
      <c r="A31" s="110" t="s">
        <v>307</v>
      </c>
      <c r="B31" s="111">
        <v>26.5</v>
      </c>
      <c r="C31" s="150">
        <v>0</v>
      </c>
      <c r="D31" s="150">
        <v>1</v>
      </c>
      <c r="E31" s="150">
        <v>0</v>
      </c>
      <c r="F31" s="155">
        <v>42644</v>
      </c>
      <c r="G31" s="152">
        <v>0</v>
      </c>
      <c r="H31" s="150"/>
      <c r="I31" s="143">
        <v>42615</v>
      </c>
      <c r="J31" s="152" t="s">
        <v>42</v>
      </c>
      <c r="K31" s="152"/>
    </row>
    <row r="32" spans="1:11" x14ac:dyDescent="0.2">
      <c r="A32" s="110" t="s">
        <v>308</v>
      </c>
      <c r="B32" s="111">
        <v>50</v>
      </c>
      <c r="C32" s="150">
        <v>0</v>
      </c>
      <c r="D32" s="150">
        <v>1</v>
      </c>
      <c r="E32" s="150">
        <v>0</v>
      </c>
      <c r="F32" s="155">
        <v>42644</v>
      </c>
      <c r="G32" s="152">
        <v>0</v>
      </c>
      <c r="H32" s="150"/>
      <c r="I32" s="143">
        <v>42615</v>
      </c>
      <c r="J32" s="152" t="s">
        <v>60</v>
      </c>
      <c r="K32" s="152"/>
    </row>
    <row r="33" spans="1:11" x14ac:dyDescent="0.2">
      <c r="A33" s="110" t="s">
        <v>322</v>
      </c>
      <c r="B33" s="111">
        <v>150.88</v>
      </c>
      <c r="C33" s="150">
        <v>0</v>
      </c>
      <c r="D33" s="150">
        <v>1</v>
      </c>
      <c r="E33" s="150">
        <v>0</v>
      </c>
      <c r="F33" s="155">
        <v>42644</v>
      </c>
      <c r="G33" s="152">
        <v>0</v>
      </c>
      <c r="H33" s="152"/>
      <c r="I33" s="143">
        <v>42616</v>
      </c>
      <c r="J33" s="152" t="s">
        <v>60</v>
      </c>
      <c r="K33" s="152"/>
    </row>
    <row r="34" spans="1:11" x14ac:dyDescent="0.2">
      <c r="A34" s="110" t="s">
        <v>342</v>
      </c>
      <c r="B34" s="111">
        <v>31.58</v>
      </c>
      <c r="C34" s="150">
        <v>0</v>
      </c>
      <c r="D34" s="150">
        <v>1</v>
      </c>
      <c r="E34" s="150">
        <v>0</v>
      </c>
      <c r="F34" s="155">
        <v>42644</v>
      </c>
      <c r="G34" s="152">
        <v>0</v>
      </c>
      <c r="H34" s="150"/>
      <c r="I34" s="143">
        <v>42617</v>
      </c>
      <c r="J34" s="152" t="s">
        <v>45</v>
      </c>
      <c r="K34" s="152"/>
    </row>
    <row r="35" spans="1:11" x14ac:dyDescent="0.2">
      <c r="A35" s="110" t="s">
        <v>343</v>
      </c>
      <c r="B35" s="111">
        <v>41.77</v>
      </c>
      <c r="C35" s="150">
        <v>0</v>
      </c>
      <c r="D35" s="150">
        <v>1</v>
      </c>
      <c r="E35" s="150">
        <v>0</v>
      </c>
      <c r="F35" s="155">
        <v>42644</v>
      </c>
      <c r="G35" s="152">
        <v>0</v>
      </c>
      <c r="H35" s="150"/>
      <c r="I35" s="143">
        <v>42617</v>
      </c>
      <c r="J35" s="152" t="s">
        <v>45</v>
      </c>
      <c r="K35" s="152"/>
    </row>
    <row r="36" spans="1:11" x14ac:dyDescent="0.2">
      <c r="A36" s="110" t="s">
        <v>335</v>
      </c>
      <c r="B36" s="111">
        <v>31</v>
      </c>
      <c r="C36" s="150">
        <v>0</v>
      </c>
      <c r="D36" s="150">
        <v>1</v>
      </c>
      <c r="E36" s="150">
        <v>0</v>
      </c>
      <c r="F36" s="155">
        <v>42644</v>
      </c>
      <c r="G36" s="152">
        <v>0</v>
      </c>
      <c r="H36" s="152"/>
      <c r="I36" s="143">
        <v>42618</v>
      </c>
      <c r="J36" s="152" t="s">
        <v>477</v>
      </c>
      <c r="K36" s="152"/>
    </row>
    <row r="37" spans="1:11" x14ac:dyDescent="0.2">
      <c r="A37" s="110" t="s">
        <v>336</v>
      </c>
      <c r="B37" s="111">
        <v>95</v>
      </c>
      <c r="C37" s="150">
        <v>0</v>
      </c>
      <c r="D37" s="150">
        <v>1</v>
      </c>
      <c r="E37" s="150">
        <v>0</v>
      </c>
      <c r="F37" s="155">
        <v>42644</v>
      </c>
      <c r="G37" s="152">
        <v>0</v>
      </c>
      <c r="H37" s="152"/>
      <c r="I37" s="143">
        <v>42619</v>
      </c>
      <c r="J37" s="152" t="s">
        <v>43</v>
      </c>
      <c r="K37" s="152"/>
    </row>
    <row r="38" spans="1:11" x14ac:dyDescent="0.2">
      <c r="A38" s="110" t="s">
        <v>337</v>
      </c>
      <c r="B38" s="111">
        <v>99.9</v>
      </c>
      <c r="C38" s="150">
        <v>0</v>
      </c>
      <c r="D38" s="150">
        <v>1</v>
      </c>
      <c r="E38" s="150">
        <v>0</v>
      </c>
      <c r="F38" s="155">
        <v>42644</v>
      </c>
      <c r="G38" s="152">
        <v>0</v>
      </c>
      <c r="H38" s="152"/>
      <c r="I38" s="143">
        <v>42620</v>
      </c>
      <c r="J38" s="152" t="s">
        <v>43</v>
      </c>
      <c r="K38" s="152"/>
    </row>
    <row r="39" spans="1:11" x14ac:dyDescent="0.2">
      <c r="A39" s="110" t="s">
        <v>338</v>
      </c>
      <c r="B39" s="111">
        <v>129.97999999999999</v>
      </c>
      <c r="C39" s="150">
        <v>0</v>
      </c>
      <c r="D39" s="150">
        <v>1</v>
      </c>
      <c r="E39" s="150">
        <v>0</v>
      </c>
      <c r="F39" s="155">
        <v>42644</v>
      </c>
      <c r="G39" s="152">
        <v>0</v>
      </c>
      <c r="H39" s="152"/>
      <c r="I39" s="144">
        <v>42621</v>
      </c>
      <c r="J39" s="152" t="s">
        <v>43</v>
      </c>
      <c r="K39" s="152"/>
    </row>
    <row r="40" spans="1:11" x14ac:dyDescent="0.2">
      <c r="A40" s="110" t="s">
        <v>339</v>
      </c>
      <c r="B40" s="111">
        <v>45.8</v>
      </c>
      <c r="C40" s="150">
        <v>0</v>
      </c>
      <c r="D40" s="150">
        <v>1</v>
      </c>
      <c r="E40" s="150">
        <v>0</v>
      </c>
      <c r="F40" s="155">
        <v>42644</v>
      </c>
      <c r="G40" s="152">
        <v>0</v>
      </c>
      <c r="H40" s="152"/>
      <c r="I40" s="144">
        <v>42621</v>
      </c>
      <c r="J40" s="152" t="s">
        <v>42</v>
      </c>
      <c r="K40" s="152"/>
    </row>
    <row r="41" spans="1:11" x14ac:dyDescent="0.2">
      <c r="A41" s="110" t="s">
        <v>340</v>
      </c>
      <c r="B41" s="111">
        <v>166.23</v>
      </c>
      <c r="C41" s="150">
        <v>0</v>
      </c>
      <c r="D41" s="150">
        <v>1</v>
      </c>
      <c r="E41" s="150">
        <v>0</v>
      </c>
      <c r="F41" s="155">
        <v>42644</v>
      </c>
      <c r="G41" s="152">
        <v>0</v>
      </c>
      <c r="H41" s="152"/>
      <c r="I41" s="144">
        <v>42624</v>
      </c>
      <c r="J41" s="152" t="s">
        <v>60</v>
      </c>
      <c r="K41" s="152"/>
    </row>
    <row r="42" spans="1:11" x14ac:dyDescent="0.2">
      <c r="A42" s="110" t="s">
        <v>341</v>
      </c>
      <c r="B42" s="111">
        <v>74.900000000000006</v>
      </c>
      <c r="C42" s="150">
        <v>0</v>
      </c>
      <c r="D42" s="150">
        <v>1</v>
      </c>
      <c r="E42" s="150">
        <v>0</v>
      </c>
      <c r="F42" s="155">
        <v>42644</v>
      </c>
      <c r="G42" s="152">
        <v>0</v>
      </c>
      <c r="H42" s="152"/>
      <c r="I42" s="157">
        <v>42625</v>
      </c>
      <c r="J42" s="150" t="s">
        <v>50</v>
      </c>
      <c r="K42" s="152"/>
    </row>
    <row r="43" spans="1:11" x14ac:dyDescent="0.2">
      <c r="A43" s="110" t="s">
        <v>345</v>
      </c>
      <c r="B43" s="111">
        <v>13.67</v>
      </c>
      <c r="C43" s="150">
        <v>0</v>
      </c>
      <c r="D43" s="150">
        <v>1</v>
      </c>
      <c r="E43" s="150">
        <v>0</v>
      </c>
      <c r="F43" s="155">
        <v>42644</v>
      </c>
      <c r="G43" s="152">
        <v>0</v>
      </c>
      <c r="H43" s="152"/>
      <c r="I43" s="144">
        <v>42627</v>
      </c>
      <c r="J43" s="152" t="s">
        <v>17</v>
      </c>
      <c r="K43" s="152"/>
    </row>
    <row r="44" spans="1:11" x14ac:dyDescent="0.2">
      <c r="A44" s="110" t="s">
        <v>345</v>
      </c>
      <c r="B44" s="111">
        <v>37.74</v>
      </c>
      <c r="C44" s="150">
        <v>0</v>
      </c>
      <c r="D44" s="150">
        <v>1</v>
      </c>
      <c r="E44" s="150">
        <v>0</v>
      </c>
      <c r="F44" s="155">
        <v>42644</v>
      </c>
      <c r="G44" s="152">
        <v>0</v>
      </c>
      <c r="H44" s="152"/>
      <c r="I44" s="144">
        <v>42629</v>
      </c>
      <c r="J44" s="152" t="s">
        <v>17</v>
      </c>
      <c r="K44" s="152"/>
    </row>
    <row r="45" spans="1:11" x14ac:dyDescent="0.2">
      <c r="A45" s="110" t="s">
        <v>346</v>
      </c>
      <c r="B45" s="111">
        <v>8.41</v>
      </c>
      <c r="C45" s="150">
        <v>0</v>
      </c>
      <c r="D45" s="150">
        <v>1</v>
      </c>
      <c r="E45" s="150">
        <v>0</v>
      </c>
      <c r="F45" s="155">
        <v>42644</v>
      </c>
      <c r="G45" s="152">
        <v>0</v>
      </c>
      <c r="H45" s="152"/>
      <c r="I45" s="157">
        <v>42632</v>
      </c>
      <c r="J45" s="152" t="s">
        <v>17</v>
      </c>
      <c r="K45" s="152"/>
    </row>
    <row r="46" spans="1:11" x14ac:dyDescent="0.2">
      <c r="A46" s="110" t="s">
        <v>347</v>
      </c>
      <c r="B46" s="111">
        <v>-1.1499999999999999</v>
      </c>
      <c r="C46" s="150">
        <v>0</v>
      </c>
      <c r="D46" s="150">
        <v>1</v>
      </c>
      <c r="E46" s="150">
        <v>0</v>
      </c>
      <c r="F46" s="155">
        <v>42644</v>
      </c>
      <c r="G46" s="152">
        <v>0</v>
      </c>
      <c r="H46" s="152"/>
      <c r="I46" s="157">
        <v>42635</v>
      </c>
      <c r="J46" s="152" t="s">
        <v>17</v>
      </c>
      <c r="K46" s="152"/>
    </row>
    <row r="47" spans="1:11" x14ac:dyDescent="0.2">
      <c r="A47" s="110" t="s">
        <v>347</v>
      </c>
      <c r="B47" s="111">
        <v>-11.23</v>
      </c>
      <c r="C47" s="150">
        <v>0</v>
      </c>
      <c r="D47" s="150">
        <v>1</v>
      </c>
      <c r="E47" s="150">
        <v>0</v>
      </c>
      <c r="F47" s="155">
        <v>42644</v>
      </c>
      <c r="G47" s="152">
        <v>0</v>
      </c>
      <c r="H47" s="152"/>
      <c r="I47" s="157">
        <v>42635</v>
      </c>
      <c r="J47" s="152" t="s">
        <v>17</v>
      </c>
      <c r="K47" s="152"/>
    </row>
    <row r="48" spans="1:11" x14ac:dyDescent="0.2">
      <c r="A48" s="14" t="s">
        <v>83</v>
      </c>
      <c r="B48" s="15">
        <v>74.900000000000006</v>
      </c>
      <c r="C48" s="150">
        <v>0</v>
      </c>
      <c r="D48" s="150">
        <v>1</v>
      </c>
      <c r="E48" s="150">
        <v>0</v>
      </c>
      <c r="F48" s="151">
        <v>42675</v>
      </c>
      <c r="G48" s="150">
        <v>0</v>
      </c>
      <c r="H48" s="152"/>
      <c r="I48" s="157">
        <v>42635</v>
      </c>
      <c r="J48" s="150" t="s">
        <v>50</v>
      </c>
      <c r="K48" s="152"/>
    </row>
    <row r="49" spans="1:11" x14ac:dyDescent="0.2">
      <c r="A49" s="14" t="s">
        <v>85</v>
      </c>
      <c r="B49" s="15">
        <v>22.9</v>
      </c>
      <c r="C49" s="150">
        <v>0</v>
      </c>
      <c r="D49" s="150">
        <v>1</v>
      </c>
      <c r="E49" s="150">
        <v>0</v>
      </c>
      <c r="F49" s="151">
        <v>42675</v>
      </c>
      <c r="G49" s="150">
        <v>0</v>
      </c>
      <c r="H49" s="152"/>
      <c r="I49" s="157">
        <v>42635</v>
      </c>
      <c r="J49" s="152" t="s">
        <v>86</v>
      </c>
      <c r="K49" s="152"/>
    </row>
    <row r="50" spans="1:11" x14ac:dyDescent="0.2">
      <c r="A50" s="152" t="s">
        <v>299</v>
      </c>
      <c r="B50" s="152">
        <v>109</v>
      </c>
      <c r="C50" s="150">
        <v>0</v>
      </c>
      <c r="D50" s="150">
        <v>1</v>
      </c>
      <c r="E50" s="150">
        <v>0</v>
      </c>
      <c r="F50" s="155">
        <v>42675</v>
      </c>
      <c r="G50" s="152">
        <v>0</v>
      </c>
      <c r="H50" s="152"/>
      <c r="I50" s="157">
        <v>42635</v>
      </c>
      <c r="J50" s="152" t="s">
        <v>43</v>
      </c>
      <c r="K50" s="152"/>
    </row>
    <row r="51" spans="1:11" x14ac:dyDescent="0.2">
      <c r="A51" s="110" t="s">
        <v>344</v>
      </c>
      <c r="B51" s="111">
        <v>95</v>
      </c>
      <c r="C51" s="150">
        <v>0</v>
      </c>
      <c r="D51" s="150">
        <v>1</v>
      </c>
      <c r="E51" s="150">
        <v>0</v>
      </c>
      <c r="F51" s="155">
        <v>42675</v>
      </c>
      <c r="G51" s="152">
        <v>0</v>
      </c>
      <c r="H51" s="152"/>
      <c r="I51" s="157">
        <v>42638</v>
      </c>
      <c r="J51" s="152" t="s">
        <v>43</v>
      </c>
      <c r="K51" s="152"/>
    </row>
    <row r="52" spans="1:11" x14ac:dyDescent="0.2">
      <c r="A52" s="110" t="s">
        <v>355</v>
      </c>
      <c r="B52" s="111">
        <v>27.5</v>
      </c>
      <c r="C52" s="150">
        <v>0</v>
      </c>
      <c r="D52" s="150">
        <v>1</v>
      </c>
      <c r="E52" s="150">
        <v>0</v>
      </c>
      <c r="F52" s="155">
        <v>42675</v>
      </c>
      <c r="G52" s="154">
        <v>0</v>
      </c>
      <c r="H52" s="152"/>
      <c r="I52" s="157">
        <v>42638</v>
      </c>
      <c r="J52" s="152" t="s">
        <v>42</v>
      </c>
      <c r="K52" s="152"/>
    </row>
    <row r="53" spans="1:11" x14ac:dyDescent="0.2">
      <c r="A53" s="110" t="s">
        <v>100</v>
      </c>
      <c r="B53" s="111">
        <v>25.87</v>
      </c>
      <c r="C53" s="150">
        <v>0</v>
      </c>
      <c r="D53" s="150">
        <v>1</v>
      </c>
      <c r="E53" s="150">
        <v>0</v>
      </c>
      <c r="F53" s="155">
        <v>42675</v>
      </c>
      <c r="G53" s="154">
        <v>0</v>
      </c>
      <c r="H53" s="152"/>
      <c r="I53" s="158">
        <v>42643</v>
      </c>
      <c r="J53" s="152" t="s">
        <v>41</v>
      </c>
      <c r="K53" s="152"/>
    </row>
    <row r="54" spans="1:11" x14ac:dyDescent="0.2">
      <c r="A54" s="110" t="s">
        <v>100</v>
      </c>
      <c r="B54" s="111">
        <v>69.22</v>
      </c>
      <c r="C54" s="150">
        <v>0</v>
      </c>
      <c r="D54" s="150">
        <v>1</v>
      </c>
      <c r="E54" s="150">
        <v>0</v>
      </c>
      <c r="F54" s="155">
        <v>42675</v>
      </c>
      <c r="G54" s="154">
        <v>0</v>
      </c>
      <c r="H54" s="152"/>
      <c r="I54" s="158">
        <v>42643</v>
      </c>
      <c r="J54" s="152" t="s">
        <v>41</v>
      </c>
      <c r="K54" s="152"/>
    </row>
    <row r="55" spans="1:11" x14ac:dyDescent="0.2">
      <c r="A55" s="110" t="s">
        <v>356</v>
      </c>
      <c r="B55" s="111">
        <v>59.8</v>
      </c>
      <c r="C55" s="150">
        <v>0</v>
      </c>
      <c r="D55" s="150">
        <v>1</v>
      </c>
      <c r="E55" s="150">
        <v>0</v>
      </c>
      <c r="F55" s="155">
        <v>42675</v>
      </c>
      <c r="G55" s="154">
        <v>0</v>
      </c>
      <c r="H55" s="152"/>
      <c r="I55" s="144">
        <v>42644</v>
      </c>
      <c r="J55" s="152" t="s">
        <v>47</v>
      </c>
      <c r="K55" s="152"/>
    </row>
    <row r="56" spans="1:11" x14ac:dyDescent="0.2">
      <c r="A56" s="110" t="s">
        <v>357</v>
      </c>
      <c r="B56" s="111">
        <v>10.81</v>
      </c>
      <c r="C56" s="150">
        <v>0</v>
      </c>
      <c r="D56" s="150">
        <v>1</v>
      </c>
      <c r="E56" s="150">
        <v>0</v>
      </c>
      <c r="F56" s="155">
        <v>42675</v>
      </c>
      <c r="G56" s="154">
        <v>0</v>
      </c>
      <c r="H56" s="152"/>
      <c r="I56" s="158">
        <v>42644</v>
      </c>
      <c r="J56" s="152" t="s">
        <v>32</v>
      </c>
      <c r="K56" s="152"/>
    </row>
    <row r="57" spans="1:11" x14ac:dyDescent="0.2">
      <c r="A57" s="110" t="s">
        <v>358</v>
      </c>
      <c r="B57" s="111">
        <v>123</v>
      </c>
      <c r="C57" s="150">
        <v>0</v>
      </c>
      <c r="D57" s="150">
        <v>1</v>
      </c>
      <c r="E57" s="150">
        <v>0</v>
      </c>
      <c r="F57" s="155">
        <v>42675</v>
      </c>
      <c r="G57" s="154">
        <v>0</v>
      </c>
      <c r="H57" s="152"/>
      <c r="I57" s="159">
        <v>42644</v>
      </c>
      <c r="J57" s="154" t="s">
        <v>376</v>
      </c>
      <c r="K57" s="152"/>
    </row>
    <row r="58" spans="1:11" x14ac:dyDescent="0.2">
      <c r="A58" s="110" t="s">
        <v>357</v>
      </c>
      <c r="B58" s="111">
        <v>19.989999999999998</v>
      </c>
      <c r="C58" s="150">
        <v>0</v>
      </c>
      <c r="D58" s="150">
        <v>1</v>
      </c>
      <c r="E58" s="150">
        <v>0</v>
      </c>
      <c r="F58" s="155">
        <v>42675</v>
      </c>
      <c r="G58" s="154">
        <v>0</v>
      </c>
      <c r="H58" s="152"/>
      <c r="I58" s="158">
        <v>42645</v>
      </c>
      <c r="J58" s="152" t="s">
        <v>32</v>
      </c>
      <c r="K58" s="152"/>
    </row>
    <row r="59" spans="1:11" x14ac:dyDescent="0.2">
      <c r="A59" s="110" t="s">
        <v>359</v>
      </c>
      <c r="B59" s="111">
        <v>78.81</v>
      </c>
      <c r="C59" s="150">
        <v>0</v>
      </c>
      <c r="D59" s="150">
        <v>1</v>
      </c>
      <c r="E59" s="150">
        <v>0</v>
      </c>
      <c r="F59" s="155">
        <v>42675</v>
      </c>
      <c r="G59" s="154">
        <v>0</v>
      </c>
      <c r="H59" s="152"/>
      <c r="I59" s="158">
        <v>42647</v>
      </c>
      <c r="J59" s="152" t="s">
        <v>41</v>
      </c>
      <c r="K59" s="152"/>
    </row>
    <row r="60" spans="1:11" x14ac:dyDescent="0.2">
      <c r="A60" s="110" t="s">
        <v>360</v>
      </c>
      <c r="B60" s="111">
        <v>15.4</v>
      </c>
      <c r="C60" s="150">
        <v>0</v>
      </c>
      <c r="D60" s="150">
        <v>1</v>
      </c>
      <c r="E60" s="150">
        <v>0</v>
      </c>
      <c r="F60" s="155">
        <v>42675</v>
      </c>
      <c r="G60" s="154">
        <v>0</v>
      </c>
      <c r="H60" s="152"/>
      <c r="I60" s="158">
        <v>42650</v>
      </c>
      <c r="J60" s="152" t="s">
        <v>43</v>
      </c>
      <c r="K60" s="152"/>
    </row>
    <row r="61" spans="1:11" x14ac:dyDescent="0.2">
      <c r="A61" s="110" t="s">
        <v>100</v>
      </c>
      <c r="B61" s="111">
        <v>63.5</v>
      </c>
      <c r="C61" s="150">
        <v>0</v>
      </c>
      <c r="D61" s="150">
        <v>1</v>
      </c>
      <c r="E61" s="150">
        <v>0</v>
      </c>
      <c r="F61" s="155">
        <v>42675</v>
      </c>
      <c r="G61" s="154">
        <v>0</v>
      </c>
      <c r="H61" s="152"/>
      <c r="I61" s="158">
        <v>42650</v>
      </c>
      <c r="J61" s="152" t="s">
        <v>41</v>
      </c>
      <c r="K61" s="152"/>
    </row>
    <row r="62" spans="1:11" x14ac:dyDescent="0.2">
      <c r="A62" s="160" t="s">
        <v>377</v>
      </c>
      <c r="B62" s="111">
        <v>18.579999999999998</v>
      </c>
      <c r="C62" s="150">
        <v>0</v>
      </c>
      <c r="D62" s="150">
        <v>1</v>
      </c>
      <c r="E62" s="150">
        <v>0</v>
      </c>
      <c r="F62" s="155">
        <v>42675</v>
      </c>
      <c r="G62" s="154">
        <v>0</v>
      </c>
      <c r="H62" s="152"/>
      <c r="I62" s="158">
        <v>42651</v>
      </c>
      <c r="J62" s="152" t="s">
        <v>45</v>
      </c>
      <c r="K62" s="152"/>
    </row>
    <row r="63" spans="1:11" x14ac:dyDescent="0.2">
      <c r="A63" s="110" t="s">
        <v>372</v>
      </c>
      <c r="B63" s="111">
        <v>150</v>
      </c>
      <c r="C63" s="150">
        <v>0</v>
      </c>
      <c r="D63" s="150">
        <v>1</v>
      </c>
      <c r="E63" s="150">
        <v>0</v>
      </c>
      <c r="F63" s="155">
        <v>42675</v>
      </c>
      <c r="G63" s="154">
        <v>0</v>
      </c>
      <c r="H63" s="152"/>
      <c r="I63" s="158">
        <v>42651</v>
      </c>
      <c r="J63" s="152" t="s">
        <v>60</v>
      </c>
      <c r="K63" s="152"/>
    </row>
    <row r="64" spans="1:11" x14ac:dyDescent="0.2">
      <c r="A64" s="110" t="s">
        <v>373</v>
      </c>
      <c r="B64" s="111">
        <v>60</v>
      </c>
      <c r="C64" s="150">
        <v>0</v>
      </c>
      <c r="D64" s="150">
        <v>1</v>
      </c>
      <c r="E64" s="150">
        <v>0</v>
      </c>
      <c r="F64" s="155">
        <v>42675</v>
      </c>
      <c r="G64" s="154">
        <v>0</v>
      </c>
      <c r="H64" s="152"/>
      <c r="I64" s="158">
        <v>42651</v>
      </c>
      <c r="J64" s="152" t="s">
        <v>376</v>
      </c>
      <c r="K64" s="152"/>
    </row>
    <row r="65" spans="1:11" x14ac:dyDescent="0.2">
      <c r="A65" s="110" t="s">
        <v>87</v>
      </c>
      <c r="B65" s="111">
        <v>25.16</v>
      </c>
      <c r="C65" s="150">
        <v>0</v>
      </c>
      <c r="D65" s="150">
        <v>1</v>
      </c>
      <c r="E65" s="150">
        <v>0</v>
      </c>
      <c r="F65" s="155">
        <v>42675</v>
      </c>
      <c r="G65" s="154">
        <v>0</v>
      </c>
      <c r="H65" s="152"/>
      <c r="I65" s="158">
        <v>42652</v>
      </c>
      <c r="J65" s="152" t="s">
        <v>40</v>
      </c>
      <c r="K65" s="152"/>
    </row>
    <row r="66" spans="1:11" x14ac:dyDescent="0.2">
      <c r="A66" s="110" t="s">
        <v>355</v>
      </c>
      <c r="B66" s="111">
        <v>29.5</v>
      </c>
      <c r="C66" s="150">
        <v>0</v>
      </c>
      <c r="D66" s="150">
        <v>1</v>
      </c>
      <c r="E66" s="150">
        <v>0</v>
      </c>
      <c r="F66" s="155">
        <v>42675</v>
      </c>
      <c r="G66" s="154">
        <v>0</v>
      </c>
      <c r="H66" s="152"/>
      <c r="I66" s="158">
        <v>42652</v>
      </c>
      <c r="J66" s="152" t="s">
        <v>42</v>
      </c>
      <c r="K66" s="152"/>
    </row>
    <row r="67" spans="1:11" x14ac:dyDescent="0.2">
      <c r="A67" s="110" t="s">
        <v>374</v>
      </c>
      <c r="B67" s="111">
        <v>15.66</v>
      </c>
      <c r="C67" s="150">
        <v>0</v>
      </c>
      <c r="D67" s="150">
        <v>1</v>
      </c>
      <c r="E67" s="150">
        <v>0</v>
      </c>
      <c r="F67" s="155">
        <v>42675</v>
      </c>
      <c r="G67" s="154">
        <v>0</v>
      </c>
      <c r="H67" s="152"/>
      <c r="I67" s="158">
        <v>42655</v>
      </c>
      <c r="J67" s="152" t="s">
        <v>40</v>
      </c>
      <c r="K67" s="152"/>
    </row>
    <row r="68" spans="1:11" x14ac:dyDescent="0.2">
      <c r="A68" s="110" t="s">
        <v>375</v>
      </c>
      <c r="B68" s="152">
        <v>744.8</v>
      </c>
      <c r="C68" s="150">
        <v>0</v>
      </c>
      <c r="D68" s="150">
        <v>1</v>
      </c>
      <c r="E68" s="150">
        <v>0</v>
      </c>
      <c r="F68" s="155">
        <v>42675</v>
      </c>
      <c r="G68" s="154">
        <v>0</v>
      </c>
      <c r="H68" s="152"/>
      <c r="I68" s="158">
        <v>42655</v>
      </c>
      <c r="J68" s="152" t="s">
        <v>60</v>
      </c>
      <c r="K68" s="152"/>
    </row>
    <row r="69" spans="1:11" x14ac:dyDescent="0.2">
      <c r="A69" s="110" t="s">
        <v>380</v>
      </c>
      <c r="B69" s="111">
        <v>25.7</v>
      </c>
      <c r="C69" s="150">
        <v>0</v>
      </c>
      <c r="D69" s="150">
        <v>1</v>
      </c>
      <c r="E69" s="150">
        <v>0</v>
      </c>
      <c r="F69" s="155">
        <v>42675</v>
      </c>
      <c r="G69" s="154">
        <v>0</v>
      </c>
      <c r="H69" s="152"/>
      <c r="I69" s="158">
        <v>42656</v>
      </c>
      <c r="J69" s="152" t="s">
        <v>42</v>
      </c>
      <c r="K69" s="152"/>
    </row>
    <row r="70" spans="1:11" x14ac:dyDescent="0.2">
      <c r="A70" s="110" t="s">
        <v>87</v>
      </c>
      <c r="B70" s="111">
        <v>62.45</v>
      </c>
      <c r="C70" s="150">
        <v>0</v>
      </c>
      <c r="D70" s="150">
        <v>1</v>
      </c>
      <c r="E70" s="150">
        <v>0</v>
      </c>
      <c r="F70" s="155">
        <v>42675</v>
      </c>
      <c r="G70" s="154">
        <v>0</v>
      </c>
      <c r="H70" s="152"/>
      <c r="I70" s="158">
        <v>42656</v>
      </c>
      <c r="J70" s="152" t="s">
        <v>40</v>
      </c>
      <c r="K70" s="152"/>
    </row>
    <row r="71" spans="1:11" x14ac:dyDescent="0.2">
      <c r="A71" s="110" t="s">
        <v>101</v>
      </c>
      <c r="B71" s="111">
        <v>53.15</v>
      </c>
      <c r="C71" s="150">
        <v>0</v>
      </c>
      <c r="D71" s="150">
        <v>1</v>
      </c>
      <c r="E71" s="150">
        <v>0</v>
      </c>
      <c r="F71" s="155">
        <v>42675</v>
      </c>
      <c r="G71" s="154">
        <v>0</v>
      </c>
      <c r="H71" s="152"/>
      <c r="I71" s="158">
        <v>42658</v>
      </c>
      <c r="J71" s="152" t="s">
        <v>41</v>
      </c>
      <c r="K71" s="152"/>
    </row>
    <row r="72" spans="1:11" x14ac:dyDescent="0.2">
      <c r="A72" s="110" t="s">
        <v>89</v>
      </c>
      <c r="B72" s="111">
        <v>31</v>
      </c>
      <c r="C72" s="150">
        <v>0</v>
      </c>
      <c r="D72" s="150">
        <v>1</v>
      </c>
      <c r="E72" s="150">
        <v>0</v>
      </c>
      <c r="F72" s="155">
        <v>42675</v>
      </c>
      <c r="G72" s="154">
        <v>0</v>
      </c>
      <c r="H72" s="152"/>
      <c r="I72" s="158">
        <v>42658</v>
      </c>
      <c r="J72" s="152" t="s">
        <v>477</v>
      </c>
      <c r="K72" s="152"/>
    </row>
    <row r="73" spans="1:11" x14ac:dyDescent="0.2">
      <c r="A73" s="110" t="s">
        <v>82</v>
      </c>
      <c r="B73" s="111">
        <v>141.97</v>
      </c>
      <c r="C73" s="150">
        <v>0</v>
      </c>
      <c r="D73" s="150">
        <v>1</v>
      </c>
      <c r="E73" s="150">
        <v>0</v>
      </c>
      <c r="F73" s="155">
        <v>42675</v>
      </c>
      <c r="G73" s="154">
        <v>0</v>
      </c>
      <c r="H73" s="152"/>
      <c r="I73" s="161">
        <v>42658</v>
      </c>
      <c r="J73" s="152" t="s">
        <v>41</v>
      </c>
      <c r="K73" s="152"/>
    </row>
    <row r="74" spans="1:11" x14ac:dyDescent="0.2">
      <c r="A74" s="110" t="s">
        <v>381</v>
      </c>
      <c r="B74" s="111">
        <v>26.34</v>
      </c>
      <c r="C74" s="150">
        <v>0</v>
      </c>
      <c r="D74" s="150">
        <v>1</v>
      </c>
      <c r="E74" s="150">
        <v>0</v>
      </c>
      <c r="F74" s="155">
        <v>42675</v>
      </c>
      <c r="G74" s="154">
        <v>0</v>
      </c>
      <c r="H74" s="152"/>
      <c r="I74" s="158">
        <v>42659</v>
      </c>
      <c r="J74" s="152" t="s">
        <v>40</v>
      </c>
      <c r="K74" s="152"/>
    </row>
    <row r="75" spans="1:11" x14ac:dyDescent="0.2">
      <c r="A75" s="110" t="s">
        <v>382</v>
      </c>
      <c r="B75" s="111">
        <v>23.4</v>
      </c>
      <c r="C75" s="150">
        <v>0</v>
      </c>
      <c r="D75" s="150">
        <v>1</v>
      </c>
      <c r="E75" s="150">
        <v>0</v>
      </c>
      <c r="F75" s="155">
        <v>42675</v>
      </c>
      <c r="G75" s="154">
        <v>0</v>
      </c>
      <c r="H75" s="152"/>
      <c r="I75" s="158">
        <v>42659</v>
      </c>
      <c r="J75" s="152" t="s">
        <v>42</v>
      </c>
      <c r="K75" s="152"/>
    </row>
    <row r="76" spans="1:11" x14ac:dyDescent="0.2">
      <c r="A76" s="110" t="s">
        <v>87</v>
      </c>
      <c r="B76" s="111">
        <v>44.05</v>
      </c>
      <c r="C76" s="150">
        <v>0</v>
      </c>
      <c r="D76" s="150">
        <v>1</v>
      </c>
      <c r="E76" s="150">
        <v>0</v>
      </c>
      <c r="F76" s="155">
        <v>42675</v>
      </c>
      <c r="G76" s="154">
        <v>0</v>
      </c>
      <c r="H76" s="152"/>
      <c r="I76" s="158">
        <v>42661</v>
      </c>
      <c r="J76" s="152" t="s">
        <v>40</v>
      </c>
      <c r="K76" s="152"/>
    </row>
    <row r="77" spans="1:11" x14ac:dyDescent="0.2">
      <c r="A77" s="110" t="s">
        <v>383</v>
      </c>
      <c r="B77" s="111">
        <v>40.54</v>
      </c>
      <c r="C77" s="12">
        <v>0</v>
      </c>
      <c r="D77" s="12">
        <v>1</v>
      </c>
      <c r="E77" s="12">
        <v>0</v>
      </c>
      <c r="F77" s="1">
        <v>42675</v>
      </c>
      <c r="G77" s="104">
        <v>0</v>
      </c>
      <c r="I77" s="145">
        <v>42661</v>
      </c>
      <c r="J77" t="s">
        <v>47</v>
      </c>
    </row>
    <row r="78" spans="1:11" x14ac:dyDescent="0.2">
      <c r="A78" s="110" t="s">
        <v>386</v>
      </c>
      <c r="B78" s="111">
        <v>11.77</v>
      </c>
      <c r="C78" s="12">
        <v>0</v>
      </c>
      <c r="D78" s="12">
        <v>1</v>
      </c>
      <c r="E78" s="12">
        <v>0</v>
      </c>
      <c r="F78" s="1">
        <v>42675</v>
      </c>
      <c r="G78" s="104">
        <v>0</v>
      </c>
      <c r="I78" s="145">
        <v>42663</v>
      </c>
      <c r="J78" t="s">
        <v>40</v>
      </c>
    </row>
    <row r="79" spans="1:11" x14ac:dyDescent="0.2">
      <c r="A79" s="110" t="s">
        <v>384</v>
      </c>
      <c r="B79" s="111">
        <v>60</v>
      </c>
      <c r="C79" s="12">
        <v>0</v>
      </c>
      <c r="D79" s="12">
        <v>1</v>
      </c>
      <c r="E79" s="12">
        <v>0</v>
      </c>
      <c r="F79" s="1">
        <v>42675</v>
      </c>
      <c r="G79" s="104">
        <v>0</v>
      </c>
      <c r="I79" s="145">
        <v>42664</v>
      </c>
      <c r="J79" t="s">
        <v>60</v>
      </c>
    </row>
    <row r="80" spans="1:11" x14ac:dyDescent="0.2">
      <c r="A80" s="110" t="s">
        <v>87</v>
      </c>
      <c r="B80" s="111">
        <v>7.2</v>
      </c>
      <c r="C80" s="12">
        <v>0</v>
      </c>
      <c r="D80" s="12">
        <v>1</v>
      </c>
      <c r="E80" s="12">
        <v>0</v>
      </c>
      <c r="F80" s="1">
        <v>42675</v>
      </c>
      <c r="G80" s="104">
        <v>0</v>
      </c>
      <c r="I80" s="145">
        <v>42665</v>
      </c>
      <c r="J80" t="s">
        <v>40</v>
      </c>
    </row>
    <row r="81" spans="1:10" x14ac:dyDescent="0.2">
      <c r="A81" s="110" t="s">
        <v>385</v>
      </c>
      <c r="B81" s="111">
        <v>9</v>
      </c>
      <c r="C81" s="12">
        <v>0</v>
      </c>
      <c r="D81" s="12">
        <v>1</v>
      </c>
      <c r="E81" s="12">
        <v>0</v>
      </c>
      <c r="F81" s="1">
        <v>42675</v>
      </c>
      <c r="G81" s="104">
        <v>0</v>
      </c>
      <c r="I81" s="145">
        <v>42666</v>
      </c>
      <c r="J81" t="s">
        <v>42</v>
      </c>
    </row>
    <row r="82" spans="1:10" x14ac:dyDescent="0.2">
      <c r="A82" s="110" t="s">
        <v>84</v>
      </c>
      <c r="B82" s="111">
        <v>44.98</v>
      </c>
      <c r="C82" s="12">
        <v>0</v>
      </c>
      <c r="D82" s="12">
        <v>1</v>
      </c>
      <c r="E82" s="12">
        <v>0</v>
      </c>
      <c r="F82" s="1">
        <v>42675</v>
      </c>
      <c r="G82" s="104">
        <v>0</v>
      </c>
      <c r="I82" s="145">
        <v>42666</v>
      </c>
      <c r="J82" t="s">
        <v>41</v>
      </c>
    </row>
    <row r="83" spans="1:10" x14ac:dyDescent="0.2">
      <c r="A83" s="131" t="s">
        <v>387</v>
      </c>
      <c r="B83" s="134">
        <v>-15.81</v>
      </c>
      <c r="C83" s="12">
        <v>0</v>
      </c>
      <c r="D83" s="12">
        <v>1</v>
      </c>
      <c r="E83" s="12">
        <v>0</v>
      </c>
      <c r="F83" s="1">
        <v>42675</v>
      </c>
      <c r="G83" s="104">
        <v>0</v>
      </c>
      <c r="I83" s="145">
        <v>42666</v>
      </c>
      <c r="J83" t="s">
        <v>182</v>
      </c>
    </row>
    <row r="84" spans="1:10" x14ac:dyDescent="0.2">
      <c r="A84" s="131" t="s">
        <v>388</v>
      </c>
      <c r="B84" s="134">
        <v>9.76</v>
      </c>
      <c r="C84" s="12">
        <v>0</v>
      </c>
      <c r="D84" s="12">
        <v>1</v>
      </c>
      <c r="E84" s="12">
        <v>0</v>
      </c>
      <c r="F84" s="1">
        <v>42675</v>
      </c>
      <c r="G84" s="104">
        <v>0</v>
      </c>
      <c r="I84" s="145">
        <v>42667</v>
      </c>
      <c r="J84" t="s">
        <v>182</v>
      </c>
    </row>
    <row r="85" spans="1:10" x14ac:dyDescent="0.2">
      <c r="A85" s="14" t="s">
        <v>83</v>
      </c>
      <c r="B85" s="15">
        <v>74.900000000000006</v>
      </c>
      <c r="C85" s="12">
        <v>0</v>
      </c>
      <c r="D85" s="12">
        <v>1</v>
      </c>
      <c r="E85" s="12">
        <v>0</v>
      </c>
      <c r="F85" s="13">
        <v>42705</v>
      </c>
      <c r="G85" s="12">
        <v>0</v>
      </c>
      <c r="I85" s="145">
        <v>42668</v>
      </c>
      <c r="J85" t="s">
        <v>50</v>
      </c>
    </row>
    <row r="86" spans="1:10" ht="13.5" thickBot="1" x14ac:dyDescent="0.25">
      <c r="A86" s="132" t="s">
        <v>85</v>
      </c>
      <c r="B86" s="135">
        <v>22.9</v>
      </c>
      <c r="C86" s="12">
        <v>0</v>
      </c>
      <c r="D86" s="12">
        <v>1</v>
      </c>
      <c r="E86" s="12">
        <v>0</v>
      </c>
      <c r="F86" s="13">
        <v>42705</v>
      </c>
      <c r="G86" s="12">
        <v>0</v>
      </c>
      <c r="H86" s="123"/>
      <c r="I86" s="145">
        <v>42669</v>
      </c>
      <c r="J86" t="s">
        <v>86</v>
      </c>
    </row>
    <row r="87" spans="1:10" ht="13.5" thickBot="1" x14ac:dyDescent="0.25">
      <c r="A87" s="133" t="s">
        <v>348</v>
      </c>
      <c r="B87" s="136">
        <v>0</v>
      </c>
      <c r="C87" s="12">
        <v>0</v>
      </c>
      <c r="D87" s="12">
        <v>1</v>
      </c>
      <c r="E87" s="12">
        <v>0</v>
      </c>
      <c r="F87" s="1">
        <v>42705</v>
      </c>
      <c r="G87">
        <v>1</v>
      </c>
      <c r="H87" s="123"/>
      <c r="I87" s="146">
        <v>42670</v>
      </c>
      <c r="J87" s="123" t="s">
        <v>17</v>
      </c>
    </row>
    <row r="88" spans="1:10" x14ac:dyDescent="0.2">
      <c r="A88" s="110" t="s">
        <v>381</v>
      </c>
      <c r="B88" s="111">
        <v>18.829999999999998</v>
      </c>
      <c r="C88" s="12">
        <v>0</v>
      </c>
      <c r="D88" s="12">
        <v>1</v>
      </c>
      <c r="E88" s="12">
        <v>0</v>
      </c>
      <c r="F88" s="1">
        <v>42705</v>
      </c>
      <c r="G88" s="104">
        <v>0</v>
      </c>
      <c r="H88" s="123"/>
      <c r="I88" s="146">
        <v>42670</v>
      </c>
      <c r="J88" s="123" t="s">
        <v>40</v>
      </c>
    </row>
    <row r="89" spans="1:10" x14ac:dyDescent="0.2">
      <c r="A89" s="110" t="s">
        <v>389</v>
      </c>
      <c r="B89" s="111">
        <v>33.6</v>
      </c>
      <c r="C89" s="12">
        <v>0</v>
      </c>
      <c r="D89" s="12">
        <v>1</v>
      </c>
      <c r="E89" s="12">
        <v>0</v>
      </c>
      <c r="F89" s="1">
        <v>42705</v>
      </c>
      <c r="G89" s="104">
        <v>0</v>
      </c>
      <c r="H89" s="123"/>
      <c r="I89" s="146">
        <v>42670</v>
      </c>
      <c r="J89" s="123" t="s">
        <v>42</v>
      </c>
    </row>
    <row r="90" spans="1:10" x14ac:dyDescent="0.2">
      <c r="A90" s="110" t="s">
        <v>390</v>
      </c>
      <c r="B90" s="111">
        <v>7.9</v>
      </c>
      <c r="C90" s="12">
        <v>0</v>
      </c>
      <c r="D90" s="12">
        <v>1</v>
      </c>
      <c r="E90" s="12">
        <v>0</v>
      </c>
      <c r="F90" s="1">
        <v>42705</v>
      </c>
      <c r="G90" s="104">
        <v>0</v>
      </c>
      <c r="H90" s="123"/>
      <c r="I90" s="146">
        <v>42671</v>
      </c>
      <c r="J90" s="123" t="s">
        <v>42</v>
      </c>
    </row>
    <row r="91" spans="1:10" x14ac:dyDescent="0.2">
      <c r="A91" s="110" t="s">
        <v>391</v>
      </c>
      <c r="B91" s="111">
        <v>50</v>
      </c>
      <c r="C91" s="12">
        <v>0</v>
      </c>
      <c r="D91" s="12">
        <v>1</v>
      </c>
      <c r="E91" s="12">
        <v>0</v>
      </c>
      <c r="F91" s="1">
        <v>42705</v>
      </c>
      <c r="G91" s="104">
        <v>0</v>
      </c>
      <c r="H91" s="123"/>
      <c r="I91" s="146">
        <v>42672</v>
      </c>
      <c r="J91" s="123" t="s">
        <v>60</v>
      </c>
    </row>
    <row r="92" spans="1:10" x14ac:dyDescent="0.2">
      <c r="A92" s="110" t="s">
        <v>392</v>
      </c>
      <c r="B92" s="111">
        <v>12.5</v>
      </c>
      <c r="C92" s="12">
        <v>0</v>
      </c>
      <c r="D92" s="12">
        <v>1</v>
      </c>
      <c r="E92" s="12">
        <v>0</v>
      </c>
      <c r="F92" s="1">
        <v>42705</v>
      </c>
      <c r="G92" s="104">
        <v>0</v>
      </c>
      <c r="H92" s="123"/>
      <c r="I92" s="146">
        <v>42672</v>
      </c>
      <c r="J92" s="123" t="s">
        <v>42</v>
      </c>
    </row>
    <row r="93" spans="1:10" x14ac:dyDescent="0.2">
      <c r="A93" s="110" t="s">
        <v>87</v>
      </c>
      <c r="B93" s="111">
        <v>30.34</v>
      </c>
      <c r="C93" s="12">
        <v>0</v>
      </c>
      <c r="D93" s="12">
        <v>1</v>
      </c>
      <c r="E93" s="12">
        <v>0</v>
      </c>
      <c r="F93" s="1">
        <v>42705</v>
      </c>
      <c r="G93" s="104">
        <v>0</v>
      </c>
      <c r="H93" s="123"/>
      <c r="I93" s="146">
        <v>42673</v>
      </c>
      <c r="J93" s="123" t="s">
        <v>40</v>
      </c>
    </row>
    <row r="94" spans="1:10" x14ac:dyDescent="0.2">
      <c r="A94" s="110" t="s">
        <v>393</v>
      </c>
      <c r="B94">
        <v>744.8</v>
      </c>
      <c r="C94" s="12">
        <v>0</v>
      </c>
      <c r="D94" s="12">
        <v>1</v>
      </c>
      <c r="E94" s="12">
        <v>0</v>
      </c>
      <c r="F94" s="1">
        <v>42705</v>
      </c>
      <c r="G94" s="104">
        <v>0</v>
      </c>
      <c r="I94" s="147">
        <v>42673</v>
      </c>
      <c r="J94" t="s">
        <v>60</v>
      </c>
    </row>
    <row r="95" spans="1:10" x14ac:dyDescent="0.2">
      <c r="A95" s="110" t="s">
        <v>394</v>
      </c>
      <c r="B95" s="111">
        <v>50</v>
      </c>
      <c r="C95" s="12">
        <v>0</v>
      </c>
      <c r="D95" s="12">
        <v>1</v>
      </c>
      <c r="E95" s="12">
        <v>0</v>
      </c>
      <c r="F95" s="1">
        <v>42705</v>
      </c>
      <c r="G95" s="104">
        <v>0</v>
      </c>
      <c r="I95" s="147">
        <v>42674</v>
      </c>
      <c r="J95" t="s">
        <v>49</v>
      </c>
    </row>
    <row r="96" spans="1:10" x14ac:dyDescent="0.2">
      <c r="A96" s="110" t="s">
        <v>307</v>
      </c>
      <c r="B96" s="124" t="s">
        <v>396</v>
      </c>
      <c r="C96" s="12">
        <v>0</v>
      </c>
      <c r="D96" s="12">
        <v>1</v>
      </c>
      <c r="E96" s="12">
        <v>0</v>
      </c>
      <c r="F96" s="1">
        <v>42705</v>
      </c>
      <c r="G96" s="104">
        <v>0</v>
      </c>
      <c r="I96" s="147">
        <v>42675</v>
      </c>
      <c r="J96" t="s">
        <v>42</v>
      </c>
    </row>
    <row r="97" spans="1:10" x14ac:dyDescent="0.2">
      <c r="A97" s="110" t="s">
        <v>395</v>
      </c>
      <c r="B97">
        <v>10</v>
      </c>
      <c r="C97" s="12">
        <v>0</v>
      </c>
      <c r="D97" s="12">
        <v>1</v>
      </c>
      <c r="E97" s="12">
        <v>0</v>
      </c>
      <c r="F97" s="1">
        <v>42705</v>
      </c>
      <c r="G97" s="104">
        <v>0</v>
      </c>
      <c r="I97" s="148">
        <v>42675</v>
      </c>
      <c r="J97" t="s">
        <v>182</v>
      </c>
    </row>
    <row r="98" spans="1:10" x14ac:dyDescent="0.2">
      <c r="A98" s="110" t="s">
        <v>82</v>
      </c>
      <c r="B98">
        <v>144.69999999999999</v>
      </c>
      <c r="C98" s="12">
        <v>0</v>
      </c>
      <c r="D98" s="12">
        <v>1</v>
      </c>
      <c r="E98" s="12">
        <v>0</v>
      </c>
      <c r="F98" s="1">
        <v>42705</v>
      </c>
      <c r="G98" s="104">
        <v>0</v>
      </c>
      <c r="I98" s="147">
        <v>42675</v>
      </c>
      <c r="J98" t="s">
        <v>41</v>
      </c>
    </row>
    <row r="99" spans="1:10" x14ac:dyDescent="0.2">
      <c r="A99" s="110" t="s">
        <v>410</v>
      </c>
      <c r="B99">
        <v>109.78</v>
      </c>
      <c r="C99" s="12">
        <v>0</v>
      </c>
      <c r="D99" s="12">
        <v>1</v>
      </c>
      <c r="E99" s="12">
        <v>0</v>
      </c>
      <c r="F99" s="1">
        <v>42705</v>
      </c>
      <c r="G99" s="104">
        <v>0</v>
      </c>
      <c r="I99" s="148">
        <v>42676</v>
      </c>
      <c r="J99" s="1" t="s">
        <v>43</v>
      </c>
    </row>
    <row r="100" spans="1:10" x14ac:dyDescent="0.2">
      <c r="A100" s="110" t="s">
        <v>87</v>
      </c>
      <c r="B100">
        <v>47.77</v>
      </c>
      <c r="C100" s="12">
        <v>0</v>
      </c>
      <c r="D100" s="12">
        <v>1</v>
      </c>
      <c r="E100" s="12">
        <v>0</v>
      </c>
      <c r="F100" s="1">
        <v>42705</v>
      </c>
      <c r="G100" s="104">
        <v>0</v>
      </c>
      <c r="I100" s="148">
        <v>42677</v>
      </c>
      <c r="J100" t="s">
        <v>40</v>
      </c>
    </row>
    <row r="101" spans="1:10" x14ac:dyDescent="0.2">
      <c r="A101" s="110" t="s">
        <v>404</v>
      </c>
      <c r="B101">
        <v>178</v>
      </c>
      <c r="C101" s="12">
        <v>0</v>
      </c>
      <c r="D101" s="12">
        <v>1</v>
      </c>
      <c r="E101" s="12">
        <v>0</v>
      </c>
      <c r="F101" s="1">
        <v>42705</v>
      </c>
      <c r="G101" s="104">
        <v>0</v>
      </c>
      <c r="I101" s="148">
        <v>42678</v>
      </c>
      <c r="J101" t="s">
        <v>60</v>
      </c>
    </row>
    <row r="102" spans="1:10" x14ac:dyDescent="0.2">
      <c r="A102" s="110" t="s">
        <v>84</v>
      </c>
      <c r="B102">
        <v>71.150000000000006</v>
      </c>
      <c r="C102" s="12">
        <v>0</v>
      </c>
      <c r="D102" s="12">
        <v>1</v>
      </c>
      <c r="E102" s="12">
        <v>0</v>
      </c>
      <c r="F102" s="1">
        <v>42705</v>
      </c>
      <c r="G102" s="104">
        <v>0</v>
      </c>
      <c r="I102" s="148">
        <v>42678</v>
      </c>
      <c r="J102" t="s">
        <v>41</v>
      </c>
    </row>
    <row r="103" spans="1:10" x14ac:dyDescent="0.2">
      <c r="A103" s="110" t="s">
        <v>84</v>
      </c>
      <c r="B103">
        <v>20</v>
      </c>
      <c r="C103" s="12">
        <v>0</v>
      </c>
      <c r="D103" s="12">
        <v>1</v>
      </c>
      <c r="E103" s="12">
        <v>0</v>
      </c>
      <c r="F103" s="1">
        <v>42705</v>
      </c>
      <c r="G103" s="104">
        <v>0</v>
      </c>
      <c r="I103" s="148">
        <v>42678</v>
      </c>
      <c r="J103" t="s">
        <v>41</v>
      </c>
    </row>
    <row r="104" spans="1:10" x14ac:dyDescent="0.2">
      <c r="A104" s="110" t="s">
        <v>405</v>
      </c>
      <c r="B104">
        <v>6.5</v>
      </c>
      <c r="C104" s="12">
        <v>0</v>
      </c>
      <c r="D104" s="12">
        <v>1</v>
      </c>
      <c r="E104" s="12">
        <v>0</v>
      </c>
      <c r="F104" s="1">
        <v>42705</v>
      </c>
      <c r="G104" s="104">
        <v>0</v>
      </c>
      <c r="I104" s="148">
        <v>42679</v>
      </c>
      <c r="J104" s="152" t="s">
        <v>32</v>
      </c>
    </row>
    <row r="105" spans="1:10" x14ac:dyDescent="0.2">
      <c r="A105" s="110" t="s">
        <v>84</v>
      </c>
      <c r="B105">
        <v>101.64</v>
      </c>
      <c r="C105" s="12">
        <v>0</v>
      </c>
      <c r="D105" s="12">
        <v>1</v>
      </c>
      <c r="E105" s="12">
        <v>0</v>
      </c>
      <c r="F105" s="1">
        <v>42705</v>
      </c>
      <c r="G105" s="104">
        <v>0</v>
      </c>
      <c r="I105" s="148">
        <v>42680</v>
      </c>
      <c r="J105" t="s">
        <v>41</v>
      </c>
    </row>
    <row r="106" spans="1:10" x14ac:dyDescent="0.2">
      <c r="A106" s="110" t="s">
        <v>406</v>
      </c>
      <c r="B106">
        <v>7.5</v>
      </c>
      <c r="C106" s="12">
        <v>0</v>
      </c>
      <c r="D106" s="12">
        <v>1</v>
      </c>
      <c r="E106" s="12">
        <v>0</v>
      </c>
      <c r="F106" s="1">
        <v>42705</v>
      </c>
      <c r="G106" s="104">
        <v>0</v>
      </c>
      <c r="I106" s="148">
        <v>42680</v>
      </c>
      <c r="J106" t="s">
        <v>42</v>
      </c>
    </row>
    <row r="107" spans="1:10" x14ac:dyDescent="0.2">
      <c r="A107" s="110" t="s">
        <v>407</v>
      </c>
      <c r="B107">
        <v>40</v>
      </c>
      <c r="C107" s="12">
        <v>0</v>
      </c>
      <c r="D107" s="12">
        <v>1</v>
      </c>
      <c r="E107" s="12">
        <v>0</v>
      </c>
      <c r="F107" s="1">
        <v>42705</v>
      </c>
      <c r="G107" s="104">
        <v>0</v>
      </c>
      <c r="I107" s="148">
        <v>42680</v>
      </c>
      <c r="J107" t="s">
        <v>60</v>
      </c>
    </row>
    <row r="108" spans="1:10" x14ac:dyDescent="0.2">
      <c r="A108" s="110" t="s">
        <v>408</v>
      </c>
      <c r="B108">
        <v>17</v>
      </c>
      <c r="C108" s="12">
        <v>0</v>
      </c>
      <c r="D108" s="12">
        <v>1</v>
      </c>
      <c r="E108" s="12">
        <v>0</v>
      </c>
      <c r="F108" s="1">
        <v>42705</v>
      </c>
      <c r="G108" s="104">
        <v>0</v>
      </c>
      <c r="I108" s="148">
        <v>42680</v>
      </c>
      <c r="J108" t="s">
        <v>42</v>
      </c>
    </row>
    <row r="109" spans="1:10" x14ac:dyDescent="0.2">
      <c r="A109" s="110" t="s">
        <v>409</v>
      </c>
      <c r="B109">
        <v>21.9</v>
      </c>
      <c r="C109" s="12">
        <v>0</v>
      </c>
      <c r="D109" s="12">
        <v>1</v>
      </c>
      <c r="E109" s="12">
        <v>0</v>
      </c>
      <c r="F109" s="1">
        <v>42705</v>
      </c>
      <c r="G109" s="104">
        <v>0</v>
      </c>
      <c r="I109" s="149">
        <v>42682</v>
      </c>
      <c r="J109" t="s">
        <v>42</v>
      </c>
    </row>
    <row r="110" spans="1:10" x14ac:dyDescent="0.2">
      <c r="A110" s="110" t="s">
        <v>415</v>
      </c>
      <c r="B110">
        <v>17</v>
      </c>
      <c r="C110" s="12">
        <v>0</v>
      </c>
      <c r="D110" s="12">
        <v>1</v>
      </c>
      <c r="E110" s="12">
        <v>0</v>
      </c>
      <c r="F110" s="1">
        <v>42705</v>
      </c>
      <c r="G110" s="104">
        <v>0</v>
      </c>
      <c r="I110" s="149">
        <v>42683</v>
      </c>
      <c r="J110" t="s">
        <v>42</v>
      </c>
    </row>
    <row r="111" spans="1:10" x14ac:dyDescent="0.2">
      <c r="A111" s="110" t="s">
        <v>82</v>
      </c>
      <c r="B111">
        <v>213.57</v>
      </c>
      <c r="C111" s="12">
        <v>0</v>
      </c>
      <c r="D111" s="12">
        <v>1</v>
      </c>
      <c r="E111" s="12">
        <v>0</v>
      </c>
      <c r="F111" s="1">
        <v>42705</v>
      </c>
      <c r="G111" s="104">
        <v>0</v>
      </c>
      <c r="I111" s="149">
        <v>42684</v>
      </c>
      <c r="J111" t="s">
        <v>41</v>
      </c>
    </row>
    <row r="112" spans="1:10" x14ac:dyDescent="0.2">
      <c r="A112" s="110" t="s">
        <v>418</v>
      </c>
      <c r="B112">
        <v>60.5</v>
      </c>
      <c r="C112" s="12">
        <v>0</v>
      </c>
      <c r="D112" s="12">
        <v>1</v>
      </c>
      <c r="E112" s="12">
        <v>0</v>
      </c>
      <c r="F112" s="1">
        <v>42705</v>
      </c>
      <c r="G112" s="104">
        <v>0</v>
      </c>
      <c r="I112" s="149">
        <v>42686</v>
      </c>
      <c r="J112" t="s">
        <v>42</v>
      </c>
    </row>
    <row r="113" spans="1:10" x14ac:dyDescent="0.2">
      <c r="A113" s="110" t="s">
        <v>419</v>
      </c>
      <c r="B113">
        <v>30</v>
      </c>
      <c r="C113" s="12">
        <v>0</v>
      </c>
      <c r="D113" s="12">
        <v>1</v>
      </c>
      <c r="E113" s="12">
        <v>0</v>
      </c>
      <c r="F113" s="1">
        <v>42705</v>
      </c>
      <c r="G113" s="104">
        <v>0</v>
      </c>
      <c r="I113" s="149">
        <v>42688</v>
      </c>
      <c r="J113" t="s">
        <v>60</v>
      </c>
    </row>
    <row r="114" spans="1:10" x14ac:dyDescent="0.2">
      <c r="A114" s="110" t="s">
        <v>420</v>
      </c>
      <c r="B114">
        <v>28.16</v>
      </c>
      <c r="C114" s="12">
        <v>0</v>
      </c>
      <c r="D114" s="12">
        <v>1</v>
      </c>
      <c r="E114" s="12">
        <v>0</v>
      </c>
      <c r="F114" s="1">
        <v>42705</v>
      </c>
      <c r="G114" s="104">
        <v>0</v>
      </c>
      <c r="I114" s="149">
        <v>42689</v>
      </c>
      <c r="J114" t="s">
        <v>40</v>
      </c>
    </row>
    <row r="115" spans="1:10" x14ac:dyDescent="0.2">
      <c r="A115" s="110" t="s">
        <v>82</v>
      </c>
      <c r="B115">
        <v>135.13999999999999</v>
      </c>
      <c r="C115" s="12">
        <v>0</v>
      </c>
      <c r="D115" s="12">
        <v>1</v>
      </c>
      <c r="E115" s="12">
        <v>0</v>
      </c>
      <c r="F115" s="1">
        <v>42705</v>
      </c>
      <c r="G115" s="104">
        <v>0</v>
      </c>
      <c r="I115" s="149">
        <v>42690</v>
      </c>
      <c r="J115" t="s">
        <v>41</v>
      </c>
    </row>
    <row r="116" spans="1:10" x14ac:dyDescent="0.2">
      <c r="A116" s="110" t="s">
        <v>421</v>
      </c>
      <c r="B116">
        <v>50</v>
      </c>
      <c r="C116" s="12">
        <v>0</v>
      </c>
      <c r="D116" s="12">
        <v>1</v>
      </c>
      <c r="E116" s="12">
        <v>0</v>
      </c>
      <c r="F116" s="1">
        <v>42705</v>
      </c>
      <c r="G116" s="104">
        <v>0</v>
      </c>
      <c r="I116" s="149">
        <v>42691</v>
      </c>
      <c r="J116" t="s">
        <v>60</v>
      </c>
    </row>
    <row r="117" spans="1:10" x14ac:dyDescent="0.2">
      <c r="A117" s="110" t="s">
        <v>89</v>
      </c>
      <c r="B117">
        <v>31</v>
      </c>
      <c r="C117" s="12">
        <v>0</v>
      </c>
      <c r="D117" s="12">
        <v>1</v>
      </c>
      <c r="E117" s="12">
        <v>0</v>
      </c>
      <c r="F117" s="1">
        <v>42705</v>
      </c>
      <c r="G117" s="104">
        <v>0</v>
      </c>
      <c r="I117" s="149">
        <v>42693</v>
      </c>
      <c r="J117" s="152" t="s">
        <v>477</v>
      </c>
    </row>
    <row r="118" spans="1:10" x14ac:dyDescent="0.2">
      <c r="A118" s="110" t="s">
        <v>423</v>
      </c>
      <c r="B118">
        <v>60</v>
      </c>
      <c r="C118" s="12">
        <v>0</v>
      </c>
      <c r="D118" s="12">
        <v>1</v>
      </c>
      <c r="E118" s="12">
        <v>0</v>
      </c>
      <c r="F118" s="1">
        <v>42705</v>
      </c>
      <c r="G118" s="104">
        <v>0</v>
      </c>
      <c r="I118" s="139">
        <v>42694</v>
      </c>
      <c r="J118" s="12" t="s">
        <v>43</v>
      </c>
    </row>
    <row r="119" spans="1:10" x14ac:dyDescent="0.2">
      <c r="A119" s="110" t="s">
        <v>424</v>
      </c>
      <c r="B119">
        <v>50.9</v>
      </c>
      <c r="C119" s="12">
        <v>0</v>
      </c>
      <c r="D119" s="12">
        <v>1</v>
      </c>
      <c r="E119" s="12">
        <v>0</v>
      </c>
      <c r="F119" s="1">
        <v>42705</v>
      </c>
      <c r="G119" s="104">
        <v>0</v>
      </c>
      <c r="I119" s="149">
        <v>42694</v>
      </c>
      <c r="J119" t="s">
        <v>47</v>
      </c>
    </row>
    <row r="120" spans="1:10" x14ac:dyDescent="0.2">
      <c r="A120" s="110" t="s">
        <v>84</v>
      </c>
      <c r="B120">
        <v>79.650000000000006</v>
      </c>
      <c r="C120" s="12">
        <v>0</v>
      </c>
      <c r="D120" s="12">
        <v>1</v>
      </c>
      <c r="E120" s="12">
        <v>0</v>
      </c>
      <c r="F120" s="1">
        <v>42705</v>
      </c>
      <c r="G120" s="104">
        <v>0</v>
      </c>
      <c r="I120" s="149">
        <v>42694</v>
      </c>
      <c r="J120" t="s">
        <v>41</v>
      </c>
    </row>
    <row r="121" spans="1:10" x14ac:dyDescent="0.2">
      <c r="A121" s="110" t="s">
        <v>88</v>
      </c>
      <c r="B121">
        <v>158.71</v>
      </c>
      <c r="C121" s="12">
        <v>0</v>
      </c>
      <c r="D121" s="12">
        <v>1</v>
      </c>
      <c r="E121" s="12">
        <v>0</v>
      </c>
      <c r="F121" s="1">
        <v>42705</v>
      </c>
      <c r="G121" s="104">
        <v>0</v>
      </c>
      <c r="I121" s="149">
        <v>42694</v>
      </c>
      <c r="J121" t="s">
        <v>60</v>
      </c>
    </row>
    <row r="122" spans="1:10" x14ac:dyDescent="0.2">
      <c r="A122" s="110" t="s">
        <v>82</v>
      </c>
      <c r="B122">
        <v>257.60000000000002</v>
      </c>
      <c r="C122" s="12">
        <v>0</v>
      </c>
      <c r="D122" s="12">
        <v>1</v>
      </c>
      <c r="E122" s="12">
        <v>0</v>
      </c>
      <c r="F122" s="1">
        <v>42705</v>
      </c>
      <c r="G122" s="104">
        <v>0</v>
      </c>
      <c r="I122" s="149">
        <v>42696</v>
      </c>
      <c r="J122" t="s">
        <v>41</v>
      </c>
    </row>
    <row r="123" spans="1:10" x14ac:dyDescent="0.2">
      <c r="A123" s="110" t="s">
        <v>425</v>
      </c>
      <c r="B123">
        <v>40</v>
      </c>
      <c r="C123" s="12">
        <v>0</v>
      </c>
      <c r="D123" s="12">
        <v>1</v>
      </c>
      <c r="E123" s="12">
        <v>0</v>
      </c>
      <c r="F123" s="1">
        <v>42705</v>
      </c>
      <c r="G123" s="104">
        <v>0</v>
      </c>
      <c r="I123" s="149">
        <v>42697</v>
      </c>
      <c r="J123" t="s">
        <v>43</v>
      </c>
    </row>
    <row r="124" spans="1:10" x14ac:dyDescent="0.2">
      <c r="A124" s="110" t="s">
        <v>428</v>
      </c>
      <c r="B124">
        <v>26</v>
      </c>
      <c r="C124" s="12">
        <v>0</v>
      </c>
      <c r="D124" s="12">
        <v>1</v>
      </c>
      <c r="E124" s="12">
        <v>0</v>
      </c>
      <c r="F124" s="1">
        <v>42705</v>
      </c>
      <c r="G124" s="104">
        <v>0</v>
      </c>
      <c r="I124" s="149">
        <v>42699</v>
      </c>
      <c r="J124" s="150" t="s">
        <v>478</v>
      </c>
    </row>
    <row r="125" spans="1:10" x14ac:dyDescent="0.2">
      <c r="A125" s="110" t="s">
        <v>433</v>
      </c>
      <c r="B125">
        <v>35</v>
      </c>
      <c r="C125" s="12">
        <v>0</v>
      </c>
      <c r="D125" s="12">
        <v>1</v>
      </c>
      <c r="E125" s="12">
        <v>0</v>
      </c>
      <c r="F125" s="1">
        <v>42705</v>
      </c>
      <c r="G125" s="104">
        <v>0</v>
      </c>
      <c r="I125" s="149">
        <v>42699</v>
      </c>
      <c r="J125" t="s">
        <v>43</v>
      </c>
    </row>
    <row r="126" spans="1:10" x14ac:dyDescent="0.2">
      <c r="A126" s="110" t="s">
        <v>434</v>
      </c>
      <c r="B126">
        <v>119.38</v>
      </c>
      <c r="C126" s="12">
        <v>0</v>
      </c>
      <c r="D126" s="12">
        <v>1</v>
      </c>
      <c r="E126" s="12">
        <v>0</v>
      </c>
      <c r="F126" s="1">
        <v>42705</v>
      </c>
      <c r="G126" s="104">
        <v>0</v>
      </c>
      <c r="I126" s="149">
        <v>42699</v>
      </c>
      <c r="J126" t="s">
        <v>43</v>
      </c>
    </row>
    <row r="127" spans="1:10" x14ac:dyDescent="0.2">
      <c r="A127" s="110" t="s">
        <v>435</v>
      </c>
      <c r="B127">
        <v>12</v>
      </c>
      <c r="C127" s="12">
        <v>0</v>
      </c>
      <c r="D127" s="12">
        <v>1</v>
      </c>
      <c r="E127" s="12">
        <v>0</v>
      </c>
      <c r="F127" s="1">
        <v>42705</v>
      </c>
      <c r="G127" s="104">
        <v>0</v>
      </c>
      <c r="I127" s="149">
        <v>42699</v>
      </c>
      <c r="J127" t="s">
        <v>42</v>
      </c>
    </row>
    <row r="128" spans="1:10" x14ac:dyDescent="0.2">
      <c r="A128" s="110" t="s">
        <v>436</v>
      </c>
      <c r="B128">
        <v>7.9</v>
      </c>
      <c r="C128" s="12">
        <v>0</v>
      </c>
      <c r="D128" s="12">
        <v>1</v>
      </c>
      <c r="E128" s="12">
        <v>0</v>
      </c>
      <c r="F128" s="1">
        <v>42705</v>
      </c>
      <c r="G128" s="104">
        <v>0</v>
      </c>
      <c r="I128" s="149">
        <v>42699</v>
      </c>
      <c r="J128" t="s">
        <v>47</v>
      </c>
    </row>
    <row r="129" spans="1:10" x14ac:dyDescent="0.2">
      <c r="A129" s="110" t="s">
        <v>417</v>
      </c>
      <c r="B129">
        <v>20.16</v>
      </c>
      <c r="C129" s="12">
        <v>0</v>
      </c>
      <c r="D129" s="12">
        <v>1</v>
      </c>
      <c r="E129" s="12">
        <v>0</v>
      </c>
      <c r="F129" s="1">
        <v>42705</v>
      </c>
      <c r="G129" s="104">
        <v>0</v>
      </c>
      <c r="I129" s="149">
        <v>42699</v>
      </c>
      <c r="J129" t="s">
        <v>41</v>
      </c>
    </row>
    <row r="130" spans="1:10" x14ac:dyDescent="0.2">
      <c r="A130" s="110" t="s">
        <v>437</v>
      </c>
      <c r="B130">
        <v>29.99</v>
      </c>
      <c r="C130" s="12">
        <v>0</v>
      </c>
      <c r="D130" s="12">
        <v>1</v>
      </c>
      <c r="E130" s="12">
        <v>0</v>
      </c>
      <c r="F130" s="1">
        <v>42705</v>
      </c>
      <c r="G130" s="104">
        <v>0</v>
      </c>
      <c r="I130" s="149">
        <v>42700</v>
      </c>
      <c r="J130" t="s">
        <v>43</v>
      </c>
    </row>
    <row r="131" spans="1:10" x14ac:dyDescent="0.2">
      <c r="A131" s="110" t="s">
        <v>420</v>
      </c>
      <c r="B131">
        <v>45.85</v>
      </c>
      <c r="C131" s="12">
        <v>0</v>
      </c>
      <c r="D131" s="12">
        <v>1</v>
      </c>
      <c r="E131" s="12">
        <v>0</v>
      </c>
      <c r="F131" s="1">
        <v>42705</v>
      </c>
      <c r="G131" s="104">
        <v>0</v>
      </c>
      <c r="I131" s="149">
        <v>42700</v>
      </c>
      <c r="J131" t="s">
        <v>40</v>
      </c>
    </row>
    <row r="132" spans="1:10" x14ac:dyDescent="0.2">
      <c r="A132" s="110" t="s">
        <v>438</v>
      </c>
      <c r="B132">
        <v>47.2</v>
      </c>
      <c r="C132" s="12">
        <v>0</v>
      </c>
      <c r="D132" s="12">
        <v>1</v>
      </c>
      <c r="E132" s="12">
        <v>0</v>
      </c>
      <c r="F132" s="1">
        <v>42705</v>
      </c>
      <c r="G132" s="104">
        <v>0</v>
      </c>
      <c r="I132" s="149">
        <v>42701</v>
      </c>
      <c r="J132" t="s">
        <v>47</v>
      </c>
    </row>
    <row r="133" spans="1:10" x14ac:dyDescent="0.2">
      <c r="A133" s="110"/>
      <c r="C133" s="12"/>
      <c r="D133" s="12"/>
      <c r="E133" s="12"/>
      <c r="G133" s="104"/>
      <c r="I133" s="147"/>
    </row>
    <row r="134" spans="1:10" x14ac:dyDescent="0.2">
      <c r="A134" s="110"/>
      <c r="C134" s="12"/>
      <c r="D134" s="12"/>
      <c r="E134" s="12"/>
      <c r="G134" s="104"/>
      <c r="I134" s="147"/>
    </row>
    <row r="135" spans="1:10" x14ac:dyDescent="0.2">
      <c r="A135" s="110"/>
      <c r="C135" s="12"/>
      <c r="D135" s="12"/>
      <c r="E135" s="12"/>
      <c r="G135" s="104"/>
      <c r="I135" s="147"/>
    </row>
    <row r="136" spans="1:10" x14ac:dyDescent="0.2">
      <c r="A136" s="110"/>
      <c r="C136" s="12"/>
      <c r="D136" s="12"/>
      <c r="E136" s="12"/>
      <c r="G136" s="104"/>
      <c r="I136" s="147"/>
    </row>
    <row r="137" spans="1:10" x14ac:dyDescent="0.2">
      <c r="A137" s="110"/>
      <c r="C137" s="12"/>
      <c r="D137" s="12"/>
      <c r="E137" s="12"/>
      <c r="G137" s="104"/>
    </row>
    <row r="138" spans="1:10" x14ac:dyDescent="0.2">
      <c r="A138" s="110"/>
      <c r="C138" s="12"/>
      <c r="D138" s="12"/>
      <c r="E138" s="12"/>
      <c r="G138" s="104"/>
    </row>
    <row r="139" spans="1:10" x14ac:dyDescent="0.2">
      <c r="A139" s="110"/>
      <c r="C139" s="12"/>
      <c r="D139" s="12"/>
      <c r="E139" s="12"/>
      <c r="G139" s="104"/>
    </row>
    <row r="140" spans="1:10" x14ac:dyDescent="0.2">
      <c r="A140" s="110"/>
      <c r="C140" s="12"/>
      <c r="D140" s="12"/>
      <c r="E140" s="12"/>
      <c r="G140" s="104"/>
    </row>
    <row r="141" spans="1:10" x14ac:dyDescent="0.2">
      <c r="A141" s="110"/>
      <c r="C141" s="12"/>
      <c r="D141" s="12"/>
      <c r="E141" s="12"/>
      <c r="G141" s="104"/>
    </row>
    <row r="142" spans="1:10" x14ac:dyDescent="0.2">
      <c r="A142" s="110"/>
      <c r="C142" s="12"/>
      <c r="D142" s="12"/>
      <c r="E142" s="12"/>
      <c r="G142" s="104"/>
    </row>
    <row r="143" spans="1:10" x14ac:dyDescent="0.2">
      <c r="A143" s="110"/>
      <c r="C143" s="12"/>
      <c r="D143" s="12"/>
      <c r="E143" s="12"/>
      <c r="G143" s="104"/>
    </row>
    <row r="144" spans="1:10" x14ac:dyDescent="0.2">
      <c r="A144" s="110"/>
      <c r="C144" s="12"/>
      <c r="D144" s="12"/>
      <c r="E144" s="12"/>
      <c r="G144" s="104"/>
    </row>
    <row r="145" spans="1:7" x14ac:dyDescent="0.2">
      <c r="A145" s="110"/>
      <c r="C145" s="12"/>
      <c r="D145" s="12"/>
      <c r="E145" s="12"/>
      <c r="G145" s="104"/>
    </row>
    <row r="146" spans="1:7" x14ac:dyDescent="0.2">
      <c r="A146" s="110"/>
      <c r="C146" s="12"/>
      <c r="D146" s="12"/>
      <c r="E146" s="12"/>
      <c r="G146" s="104"/>
    </row>
    <row r="147" spans="1:7" x14ac:dyDescent="0.2">
      <c r="A147" s="110"/>
      <c r="C147" s="12"/>
      <c r="D147" s="12"/>
      <c r="E147" s="12"/>
      <c r="G147" s="104"/>
    </row>
    <row r="148" spans="1:7" x14ac:dyDescent="0.2">
      <c r="A148" s="110"/>
      <c r="C148" s="12"/>
      <c r="D148" s="12"/>
      <c r="E148" s="12"/>
      <c r="G148" s="104"/>
    </row>
    <row r="149" spans="1:7" x14ac:dyDescent="0.2">
      <c r="A149" s="110"/>
      <c r="C149" s="12"/>
      <c r="D149" s="12"/>
      <c r="E149" s="12"/>
      <c r="G149" s="104"/>
    </row>
    <row r="150" spans="1:7" x14ac:dyDescent="0.2">
      <c r="A150" s="110"/>
      <c r="C150" s="12"/>
      <c r="D150" s="12"/>
      <c r="E150" s="12"/>
      <c r="G150" s="104"/>
    </row>
    <row r="151" spans="1:7" x14ac:dyDescent="0.2">
      <c r="A151" s="110"/>
      <c r="C151" s="12"/>
      <c r="D151" s="12"/>
      <c r="E151" s="12"/>
      <c r="G151" s="104"/>
    </row>
    <row r="152" spans="1:7" x14ac:dyDescent="0.2">
      <c r="A152" s="110"/>
      <c r="C152" s="12"/>
      <c r="D152" s="12"/>
      <c r="E152" s="12"/>
      <c r="G152" s="104"/>
    </row>
    <row r="153" spans="1:7" x14ac:dyDescent="0.2">
      <c r="A153" s="110"/>
      <c r="C153" s="12"/>
      <c r="D153" s="12"/>
      <c r="E153" s="12"/>
      <c r="G153" s="104"/>
    </row>
    <row r="154" spans="1:7" x14ac:dyDescent="0.2">
      <c r="A154" s="110"/>
      <c r="C154" s="12"/>
      <c r="D154" s="12"/>
      <c r="E154" s="12"/>
      <c r="G154" s="104"/>
    </row>
    <row r="155" spans="1:7" x14ac:dyDescent="0.2">
      <c r="A155" s="110"/>
      <c r="C155" s="12"/>
      <c r="D155" s="12"/>
      <c r="E155" s="12"/>
      <c r="G155" s="104"/>
    </row>
    <row r="156" spans="1:7" x14ac:dyDescent="0.2">
      <c r="A156" s="110"/>
      <c r="C156" s="12"/>
      <c r="D156" s="12"/>
      <c r="E156" s="12"/>
      <c r="G156" s="104"/>
    </row>
    <row r="157" spans="1:7" x14ac:dyDescent="0.2">
      <c r="A157" s="110"/>
      <c r="C157" s="12"/>
      <c r="D157" s="12"/>
      <c r="E157" s="12"/>
      <c r="G157" s="104"/>
    </row>
    <row r="158" spans="1:7" x14ac:dyDescent="0.2">
      <c r="A158" s="110"/>
      <c r="C158" s="12"/>
      <c r="D158" s="12"/>
      <c r="E158" s="12"/>
      <c r="G158" s="104"/>
    </row>
    <row r="159" spans="1:7" x14ac:dyDescent="0.2">
      <c r="A159" s="110"/>
      <c r="C159" s="12"/>
      <c r="D159" s="12"/>
      <c r="E159" s="12"/>
      <c r="G159" s="104"/>
    </row>
    <row r="160" spans="1:7" x14ac:dyDescent="0.2">
      <c r="A160" s="110"/>
      <c r="C160" s="12"/>
      <c r="D160" s="12"/>
      <c r="E160" s="12"/>
      <c r="G160" s="104"/>
    </row>
    <row r="161" spans="1:9" x14ac:dyDescent="0.2">
      <c r="A161" s="110"/>
      <c r="C161" s="12"/>
      <c r="D161" s="12"/>
      <c r="E161" s="12"/>
      <c r="G161" s="104"/>
    </row>
    <row r="162" spans="1:9" x14ac:dyDescent="0.2">
      <c r="A162" s="110"/>
      <c r="C162" s="12"/>
      <c r="D162" s="12"/>
      <c r="E162" s="12"/>
      <c r="G162" s="104"/>
    </row>
    <row r="163" spans="1:9" x14ac:dyDescent="0.2">
      <c r="A163" s="110"/>
      <c r="C163" s="12"/>
      <c r="D163" s="12"/>
      <c r="E163" s="12"/>
      <c r="G163" s="104"/>
    </row>
    <row r="164" spans="1:9" x14ac:dyDescent="0.2">
      <c r="A164" s="110"/>
      <c r="C164" s="12"/>
      <c r="D164" s="12"/>
      <c r="E164" s="12"/>
      <c r="G164" s="104"/>
    </row>
    <row r="165" spans="1:9" x14ac:dyDescent="0.2">
      <c r="C165" s="12"/>
      <c r="D165" s="12"/>
      <c r="E165" s="12"/>
      <c r="G165" s="104"/>
    </row>
    <row r="166" spans="1:9" x14ac:dyDescent="0.2">
      <c r="A166" s="110"/>
      <c r="C166" s="12"/>
      <c r="D166" s="12"/>
      <c r="E166" s="12"/>
      <c r="G166" s="104"/>
    </row>
    <row r="167" spans="1:9" x14ac:dyDescent="0.2">
      <c r="A167" s="110"/>
      <c r="C167" s="12"/>
      <c r="D167" s="12"/>
      <c r="E167" s="12"/>
      <c r="G167" s="104"/>
    </row>
    <row r="168" spans="1:9" x14ac:dyDescent="0.2">
      <c r="A168" s="110"/>
      <c r="C168" s="12"/>
      <c r="D168" s="12"/>
      <c r="E168" s="12"/>
      <c r="G168" s="104"/>
    </row>
    <row r="169" spans="1:9" x14ac:dyDescent="0.2">
      <c r="A169" s="110"/>
      <c r="C169" s="12"/>
      <c r="D169" s="12"/>
      <c r="E169" s="12"/>
      <c r="G169" s="104"/>
      <c r="I169" s="147"/>
    </row>
    <row r="170" spans="1:9" x14ac:dyDescent="0.2">
      <c r="A170" s="110"/>
      <c r="C170" s="12"/>
      <c r="D170" s="12"/>
      <c r="E170" s="12"/>
      <c r="G170" s="104"/>
      <c r="I170" s="147"/>
    </row>
    <row r="171" spans="1:9" x14ac:dyDescent="0.2">
      <c r="A171" s="110"/>
      <c r="C171" s="12"/>
      <c r="D171" s="12"/>
      <c r="E171" s="12"/>
      <c r="G171" s="104"/>
    </row>
    <row r="172" spans="1:9" x14ac:dyDescent="0.2">
      <c r="A172" s="110"/>
      <c r="C172" s="12"/>
      <c r="D172" s="12"/>
      <c r="E172" s="12"/>
      <c r="G172" s="104"/>
    </row>
    <row r="173" spans="1:9" x14ac:dyDescent="0.2">
      <c r="C173" s="12"/>
      <c r="D173" s="12"/>
      <c r="E173" s="12"/>
      <c r="G173" s="104"/>
    </row>
    <row r="174" spans="1:9" x14ac:dyDescent="0.2">
      <c r="A174" s="110"/>
      <c r="C174" s="12"/>
      <c r="D174" s="12"/>
      <c r="E174" s="12"/>
      <c r="G174" s="104"/>
    </row>
    <row r="175" spans="1:9" x14ac:dyDescent="0.2">
      <c r="A175" s="110"/>
      <c r="C175" s="12"/>
      <c r="D175" s="12"/>
      <c r="E175" s="12"/>
      <c r="G175" s="104"/>
    </row>
    <row r="176" spans="1:9" x14ac:dyDescent="0.2">
      <c r="A176" s="110"/>
      <c r="C176" s="12"/>
      <c r="D176" s="12"/>
      <c r="E176" s="12"/>
      <c r="G176" s="104"/>
    </row>
    <row r="177" spans="1:7" x14ac:dyDescent="0.2">
      <c r="A177" s="110"/>
      <c r="C177" s="12"/>
      <c r="D177" s="12"/>
      <c r="E177" s="12"/>
      <c r="G177" s="104"/>
    </row>
    <row r="178" spans="1:7" x14ac:dyDescent="0.2">
      <c r="A178" s="110"/>
      <c r="C178" s="12"/>
      <c r="D178" s="12"/>
      <c r="E178" s="12"/>
      <c r="G178" s="104"/>
    </row>
    <row r="179" spans="1:7" x14ac:dyDescent="0.2">
      <c r="A179" s="110"/>
      <c r="C179" s="12"/>
      <c r="D179" s="12"/>
      <c r="E179" s="12"/>
      <c r="G179" s="104"/>
    </row>
  </sheetData>
  <autoFilter ref="A1:K132"/>
  <sortState ref="I2:J185">
    <sortCondition ref="I101"/>
  </sortState>
  <pageMargins left="0.51180555555555496" right="0.51180555555555496" top="0.78749999999999998" bottom="0.78749999999999998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"/>
  <sheetViews>
    <sheetView zoomScaleNormal="100" workbookViewId="0"/>
  </sheetViews>
  <sheetFormatPr defaultRowHeight="12.75" x14ac:dyDescent="0.2"/>
  <cols>
    <col min="1" max="1" width="33.28515625"/>
    <col min="3" max="3" width="16.7109375" style="1"/>
    <col min="4" max="4" width="17.42578125"/>
    <col min="5" max="5" width="11"/>
    <col min="6" max="6" width="19.140625"/>
    <col min="7" max="7" width="12.42578125"/>
    <col min="8" max="8" width="21"/>
    <col min="9" max="1025" width="12.42578125"/>
  </cols>
  <sheetData>
    <row r="1" spans="1:10" x14ac:dyDescent="0.2">
      <c r="A1" t="s">
        <v>102</v>
      </c>
      <c r="B1" t="s">
        <v>103</v>
      </c>
      <c r="C1" s="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109</v>
      </c>
      <c r="I1" t="s">
        <v>2</v>
      </c>
      <c r="J1" t="s">
        <v>110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1"/>
  <sheetViews>
    <sheetView zoomScale="91" zoomScaleNormal="91" workbookViewId="0">
      <selection activeCell="H5" sqref="H5"/>
    </sheetView>
  </sheetViews>
  <sheetFormatPr defaultRowHeight="12.75" x14ac:dyDescent="0.2"/>
  <cols>
    <col min="1" max="1" width="10.85546875" bestFit="1" customWidth="1"/>
    <col min="2" max="2" width="22.140625"/>
    <col min="3" max="3" width="22.28515625"/>
    <col min="4" max="4" width="19.140625"/>
    <col min="5" max="5" width="20.7109375"/>
    <col min="6" max="6" width="25"/>
    <col min="7" max="7" width="19.5703125"/>
    <col min="8" max="8" width="19.42578125"/>
    <col min="9" max="9" width="23.42578125"/>
    <col min="10" max="10" width="19.140625"/>
    <col min="11" max="11" width="19.28515625"/>
    <col min="12" max="12" width="17.42578125"/>
    <col min="13" max="13" width="17.140625"/>
    <col min="14" max="14" width="17.85546875"/>
    <col min="15" max="17" width="17.28515625"/>
    <col min="18" max="1025" width="12.42578125"/>
  </cols>
  <sheetData>
    <row r="1" spans="1:16" x14ac:dyDescent="0.2">
      <c r="A1" s="41" t="s">
        <v>111</v>
      </c>
      <c r="B1" s="41" t="s">
        <v>112</v>
      </c>
      <c r="C1" s="119" t="s">
        <v>113</v>
      </c>
      <c r="D1" s="120" t="s">
        <v>9</v>
      </c>
      <c r="E1" s="120" t="s">
        <v>114</v>
      </c>
      <c r="F1" s="120" t="s">
        <v>115</v>
      </c>
      <c r="G1" s="120" t="s">
        <v>116</v>
      </c>
      <c r="H1" s="119" t="s">
        <v>117</v>
      </c>
      <c r="I1" s="3"/>
      <c r="J1" s="3"/>
      <c r="K1" s="7"/>
      <c r="L1" s="7"/>
      <c r="M1" s="7"/>
      <c r="N1" s="3"/>
      <c r="O1" s="3"/>
      <c r="P1" s="3"/>
    </row>
    <row r="2" spans="1:16" x14ac:dyDescent="0.2">
      <c r="A2" s="118">
        <v>42614</v>
      </c>
      <c r="B2" s="22">
        <v>7959</v>
      </c>
      <c r="C2" s="22">
        <v>4672.25</v>
      </c>
      <c r="D2" s="22">
        <v>2455.5500000000002</v>
      </c>
      <c r="E2" s="22">
        <v>0</v>
      </c>
      <c r="F2" s="22">
        <v>1885.3799999999999</v>
      </c>
      <c r="G2" s="22">
        <f>C2+D2+E2</f>
        <v>7127.8</v>
      </c>
      <c r="H2" s="23">
        <f>(B2-F2)-G2</f>
        <v>-1054.1800000000003</v>
      </c>
      <c r="I2" s="22"/>
      <c r="J2" s="3"/>
      <c r="K2" s="22"/>
      <c r="L2" s="3"/>
    </row>
    <row r="3" spans="1:16" x14ac:dyDescent="0.2">
      <c r="A3" s="118">
        <v>42644</v>
      </c>
      <c r="B3" s="22">
        <v>11517</v>
      </c>
      <c r="C3" s="22">
        <v>8369.66</v>
      </c>
      <c r="D3" s="22">
        <v>1399.5300000000002</v>
      </c>
      <c r="E3" s="22">
        <v>0</v>
      </c>
      <c r="F3" s="22">
        <v>2116.56</v>
      </c>
      <c r="G3" s="22">
        <f t="shared" ref="G3:G4" si="0">C3+D3+E3</f>
        <v>9769.19</v>
      </c>
      <c r="H3" s="23">
        <f>(B3-F3)-G3+H2</f>
        <v>-1422.9300000000003</v>
      </c>
      <c r="I3" s="22"/>
      <c r="J3" s="112"/>
      <c r="K3" s="22"/>
      <c r="L3" s="3"/>
    </row>
    <row r="4" spans="1:16" x14ac:dyDescent="0.2">
      <c r="A4" s="118">
        <v>42675</v>
      </c>
      <c r="B4" s="22">
        <v>10471.699999999999</v>
      </c>
      <c r="C4" s="22">
        <v>5513.1100000000006</v>
      </c>
      <c r="D4" s="22">
        <v>1988.0800000000004</v>
      </c>
      <c r="E4" s="22">
        <v>0</v>
      </c>
      <c r="F4" s="22">
        <v>2184.2400000000002</v>
      </c>
      <c r="G4" s="22">
        <f t="shared" si="0"/>
        <v>7501.1900000000005</v>
      </c>
      <c r="H4" s="23">
        <f>(B4-F4)-G4+H3</f>
        <v>-636.66000000000167</v>
      </c>
      <c r="I4" s="22"/>
      <c r="J4" s="25"/>
      <c r="K4" s="22"/>
      <c r="L4" s="25"/>
    </row>
    <row r="5" spans="1:16" x14ac:dyDescent="0.2">
      <c r="A5" s="118">
        <v>42705</v>
      </c>
      <c r="B5" s="22">
        <v>26615.63</v>
      </c>
      <c r="C5" s="109">
        <v>8776.6199999999972</v>
      </c>
      <c r="D5" s="109">
        <v>789.67000000000007</v>
      </c>
      <c r="E5" s="109">
        <v>0</v>
      </c>
      <c r="F5" s="109">
        <v>8323.42</v>
      </c>
      <c r="G5" s="22">
        <f>C5+D5+E5</f>
        <v>9566.2899999999972</v>
      </c>
      <c r="H5" s="23">
        <f>(B5-F5)-G5+H4-I5</f>
        <v>8089.26</v>
      </c>
      <c r="I5" s="113">
        <v>0</v>
      </c>
      <c r="J5" s="114"/>
    </row>
    <row r="6" spans="1:16" x14ac:dyDescent="0.2">
      <c r="A6" s="118"/>
      <c r="B6" s="117"/>
      <c r="C6" s="109"/>
      <c r="D6" s="109"/>
      <c r="E6" s="109"/>
      <c r="F6" s="109"/>
      <c r="G6" s="22"/>
      <c r="H6" s="23"/>
      <c r="I6" s="113"/>
      <c r="J6" s="114"/>
    </row>
    <row r="7" spans="1:16" x14ac:dyDescent="0.2">
      <c r="A7" s="115"/>
      <c r="B7" s="109"/>
      <c r="C7" s="109"/>
      <c r="D7" s="109"/>
      <c r="E7" s="109"/>
      <c r="F7" s="109"/>
      <c r="G7" s="22"/>
      <c r="H7" s="23"/>
      <c r="I7" s="113"/>
    </row>
    <row r="8" spans="1:16" x14ac:dyDescent="0.2">
      <c r="A8" s="115"/>
      <c r="B8" s="109"/>
      <c r="C8" s="109"/>
      <c r="D8" s="109"/>
      <c r="E8" s="109"/>
      <c r="F8" s="109"/>
      <c r="G8" s="22"/>
      <c r="H8" s="23"/>
      <c r="I8" s="113"/>
    </row>
    <row r="9" spans="1:16" x14ac:dyDescent="0.2">
      <c r="I9" s="116"/>
    </row>
    <row r="11" spans="1:16" x14ac:dyDescent="0.2">
      <c r="I11" s="114"/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zoomScaleNormal="100" workbookViewId="0">
      <selection activeCell="A7" sqref="A7"/>
    </sheetView>
  </sheetViews>
  <sheetFormatPr defaultRowHeight="12.75" x14ac:dyDescent="0.2"/>
  <cols>
    <col min="1" max="1" width="21.7109375"/>
    <col min="2" max="2" width="15.28515625"/>
    <col min="3" max="3" width="14.5703125"/>
    <col min="4" max="4" width="10.28515625"/>
    <col min="5" max="5" width="16.7109375"/>
    <col min="6" max="1025" width="12.42578125"/>
  </cols>
  <sheetData>
    <row r="1" spans="1:5" x14ac:dyDescent="0.2">
      <c r="A1" s="26" t="s">
        <v>118</v>
      </c>
      <c r="B1" s="26" t="s">
        <v>119</v>
      </c>
      <c r="C1" s="26" t="s">
        <v>120</v>
      </c>
      <c r="D1" s="26" t="s">
        <v>4</v>
      </c>
      <c r="E1" s="26" t="s">
        <v>121</v>
      </c>
    </row>
    <row r="2" spans="1:5" x14ac:dyDescent="0.2">
      <c r="A2" s="27" t="s">
        <v>122</v>
      </c>
      <c r="B2" s="27">
        <v>0</v>
      </c>
      <c r="C2" s="27" t="s">
        <v>122</v>
      </c>
      <c r="D2" s="27">
        <v>1140</v>
      </c>
      <c r="E2" s="28">
        <v>42317</v>
      </c>
    </row>
    <row r="3" spans="1:5" x14ac:dyDescent="0.2">
      <c r="A3" s="27" t="s">
        <v>123</v>
      </c>
      <c r="B3" s="27">
        <v>130</v>
      </c>
      <c r="C3" s="28">
        <v>42317</v>
      </c>
      <c r="D3" s="27"/>
      <c r="E3" s="27"/>
    </row>
    <row r="4" spans="1:5" x14ac:dyDescent="0.2">
      <c r="A4" s="27" t="s">
        <v>124</v>
      </c>
      <c r="B4" s="27">
        <v>120</v>
      </c>
      <c r="C4" s="28">
        <v>42317</v>
      </c>
      <c r="D4" s="27"/>
      <c r="E4" s="28"/>
    </row>
    <row r="5" spans="1:5" x14ac:dyDescent="0.2">
      <c r="A5" s="27" t="s">
        <v>125</v>
      </c>
      <c r="B5" s="27">
        <v>10</v>
      </c>
      <c r="C5" s="28">
        <v>42317</v>
      </c>
      <c r="D5" s="27"/>
      <c r="E5" s="27"/>
    </row>
    <row r="6" spans="1:5" x14ac:dyDescent="0.2">
      <c r="A6" s="27" t="s">
        <v>122</v>
      </c>
      <c r="B6" s="27">
        <v>0</v>
      </c>
      <c r="C6" s="27" t="s">
        <v>122</v>
      </c>
      <c r="D6" s="27">
        <f>D2-SUM(B2:B5)</f>
        <v>880</v>
      </c>
      <c r="E6" s="28">
        <v>42319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6"/>
  <sheetViews>
    <sheetView topLeftCell="A26" zoomScaleNormal="100" workbookViewId="0">
      <selection activeCell="A36" sqref="A36"/>
    </sheetView>
  </sheetViews>
  <sheetFormatPr defaultRowHeight="12.75" x14ac:dyDescent="0.2"/>
  <cols>
    <col min="1" max="1" width="33.85546875"/>
    <col min="2" max="2" width="14.5703125"/>
    <col min="3" max="3" width="12.42578125"/>
    <col min="4" max="4" width="17.140625"/>
    <col min="5" max="5" width="12.42578125"/>
    <col min="6" max="6" width="17.28515625"/>
    <col min="7" max="7" width="14.7109375"/>
    <col min="8" max="8" width="15.140625"/>
    <col min="9" max="1025" width="12.42578125"/>
  </cols>
  <sheetData>
    <row r="1" spans="1:9" x14ac:dyDescent="0.2">
      <c r="A1" t="s">
        <v>6</v>
      </c>
      <c r="B1" t="s">
        <v>7</v>
      </c>
      <c r="C1" t="s">
        <v>8</v>
      </c>
      <c r="D1" t="s">
        <v>9</v>
      </c>
      <c r="E1" t="s">
        <v>14</v>
      </c>
    </row>
    <row r="2" spans="1:9" x14ac:dyDescent="0.2">
      <c r="A2" t="s">
        <v>126</v>
      </c>
      <c r="B2">
        <v>183.9</v>
      </c>
      <c r="C2">
        <v>1</v>
      </c>
      <c r="D2">
        <v>0</v>
      </c>
      <c r="E2" s="3" t="s">
        <v>28</v>
      </c>
      <c r="F2" s="29" t="s">
        <v>4</v>
      </c>
      <c r="G2" s="30" t="s">
        <v>28</v>
      </c>
      <c r="H2" s="31" t="s">
        <v>127</v>
      </c>
    </row>
    <row r="3" spans="1:9" x14ac:dyDescent="0.2">
      <c r="A3" t="s">
        <v>128</v>
      </c>
      <c r="B3">
        <v>183.9</v>
      </c>
      <c r="C3">
        <v>1</v>
      </c>
      <c r="D3">
        <v>0</v>
      </c>
      <c r="E3" s="3" t="s">
        <v>28</v>
      </c>
      <c r="F3" s="162">
        <v>7400.48</v>
      </c>
      <c r="G3" s="32">
        <v>148</v>
      </c>
      <c r="H3" s="33">
        <f t="shared" ref="H3:H10" si="0">(G3/$F$3)*100</f>
        <v>1.9998702786846259</v>
      </c>
      <c r="I3" s="3" t="s">
        <v>129</v>
      </c>
    </row>
    <row r="4" spans="1:9" x14ac:dyDescent="0.2">
      <c r="A4" t="s">
        <v>130</v>
      </c>
      <c r="B4">
        <v>191.7</v>
      </c>
      <c r="C4">
        <v>1</v>
      </c>
      <c r="D4">
        <v>0</v>
      </c>
      <c r="E4" s="3" t="s">
        <v>28</v>
      </c>
      <c r="F4" s="162"/>
      <c r="G4" s="34">
        <v>66.599999999999994</v>
      </c>
      <c r="H4" s="35">
        <f t="shared" si="0"/>
        <v>0.89994162540808165</v>
      </c>
      <c r="I4" s="3" t="s">
        <v>131</v>
      </c>
    </row>
    <row r="5" spans="1:9" x14ac:dyDescent="0.2">
      <c r="A5" t="s">
        <v>132</v>
      </c>
      <c r="B5">
        <v>383.67</v>
      </c>
      <c r="C5">
        <v>1</v>
      </c>
      <c r="D5">
        <v>0</v>
      </c>
      <c r="E5" s="3" t="s">
        <v>28</v>
      </c>
      <c r="F5" s="162"/>
      <c r="G5" s="34">
        <v>138.30000000000001</v>
      </c>
      <c r="H5" s="35">
        <f t="shared" si="0"/>
        <v>1.8687976996086744</v>
      </c>
      <c r="I5" s="3" t="s">
        <v>133</v>
      </c>
    </row>
    <row r="6" spans="1:9" x14ac:dyDescent="0.2">
      <c r="A6" t="s">
        <v>134</v>
      </c>
      <c r="B6">
        <v>383.67</v>
      </c>
      <c r="C6">
        <v>1</v>
      </c>
      <c r="D6">
        <v>0</v>
      </c>
      <c r="E6" s="3" t="s">
        <v>28</v>
      </c>
      <c r="F6" s="162"/>
      <c r="G6" s="34">
        <v>148.01</v>
      </c>
      <c r="H6" s="35">
        <f t="shared" si="0"/>
        <v>2.0000054050548073</v>
      </c>
      <c r="I6" s="12" t="s">
        <v>135</v>
      </c>
    </row>
    <row r="7" spans="1:9" x14ac:dyDescent="0.2">
      <c r="A7" t="s">
        <v>136</v>
      </c>
      <c r="B7">
        <v>400.44</v>
      </c>
      <c r="C7">
        <v>1</v>
      </c>
      <c r="D7">
        <v>0</v>
      </c>
      <c r="E7" s="3" t="s">
        <v>28</v>
      </c>
      <c r="F7" s="162"/>
      <c r="G7" s="34">
        <v>48.1</v>
      </c>
      <c r="H7" s="35">
        <f t="shared" si="0"/>
        <v>0.6499578405725035</v>
      </c>
      <c r="I7" s="12" t="s">
        <v>137</v>
      </c>
    </row>
    <row r="8" spans="1:9" x14ac:dyDescent="0.2">
      <c r="A8" t="s">
        <v>138</v>
      </c>
      <c r="B8">
        <v>136.44999999999999</v>
      </c>
      <c r="C8">
        <v>1</v>
      </c>
      <c r="D8">
        <v>0</v>
      </c>
      <c r="E8" s="3" t="s">
        <v>28</v>
      </c>
      <c r="F8" s="162"/>
      <c r="G8" s="34">
        <v>222.01</v>
      </c>
      <c r="H8" s="35">
        <f t="shared" si="0"/>
        <v>2.9999405443971203</v>
      </c>
      <c r="I8" s="12" t="s">
        <v>139</v>
      </c>
    </row>
    <row r="9" spans="1:9" x14ac:dyDescent="0.2">
      <c r="A9" t="s">
        <v>140</v>
      </c>
      <c r="B9">
        <v>136.44999999999999</v>
      </c>
      <c r="C9">
        <v>1</v>
      </c>
      <c r="D9">
        <v>0</v>
      </c>
      <c r="E9" s="3" t="s">
        <v>28</v>
      </c>
      <c r="F9" s="162"/>
      <c r="G9" s="34">
        <v>111.01</v>
      </c>
      <c r="H9" s="35">
        <f t="shared" si="0"/>
        <v>1.5000378353836508</v>
      </c>
      <c r="I9" s="12" t="s">
        <v>141</v>
      </c>
    </row>
    <row r="10" spans="1:9" x14ac:dyDescent="0.2">
      <c r="A10" t="s">
        <v>142</v>
      </c>
      <c r="B10">
        <v>142</v>
      </c>
      <c r="C10">
        <v>1</v>
      </c>
      <c r="D10">
        <v>0</v>
      </c>
      <c r="E10" s="3" t="s">
        <v>28</v>
      </c>
      <c r="F10" s="162"/>
      <c r="G10" s="36">
        <v>74</v>
      </c>
      <c r="H10" s="37">
        <f t="shared" si="0"/>
        <v>0.99993513934231293</v>
      </c>
      <c r="I10" s="12" t="s">
        <v>129</v>
      </c>
    </row>
    <row r="11" spans="1:9" x14ac:dyDescent="0.2">
      <c r="A11" t="s">
        <v>143</v>
      </c>
      <c r="B11">
        <v>142</v>
      </c>
      <c r="C11">
        <v>1</v>
      </c>
      <c r="D11">
        <v>0</v>
      </c>
      <c r="E11" s="3" t="s">
        <v>28</v>
      </c>
    </row>
    <row r="12" spans="1:9" x14ac:dyDescent="0.2">
      <c r="A12" t="s">
        <v>144</v>
      </c>
      <c r="B12">
        <v>142</v>
      </c>
      <c r="C12">
        <v>1</v>
      </c>
      <c r="D12">
        <v>0</v>
      </c>
      <c r="E12" s="3" t="s">
        <v>28</v>
      </c>
    </row>
    <row r="13" spans="1:9" x14ac:dyDescent="0.2">
      <c r="A13" t="s">
        <v>145</v>
      </c>
      <c r="B13">
        <v>133.47999999999999</v>
      </c>
      <c r="C13">
        <v>1</v>
      </c>
      <c r="D13">
        <v>0</v>
      </c>
      <c r="E13" s="3" t="s">
        <v>28</v>
      </c>
    </row>
    <row r="14" spans="1:9" x14ac:dyDescent="0.2">
      <c r="A14" t="s">
        <v>146</v>
      </c>
      <c r="B14">
        <v>63.9</v>
      </c>
      <c r="C14">
        <v>1</v>
      </c>
      <c r="D14">
        <v>0</v>
      </c>
      <c r="E14" s="3" t="s">
        <v>28</v>
      </c>
    </row>
    <row r="15" spans="1:9" x14ac:dyDescent="0.2">
      <c r="A15" t="s">
        <v>147</v>
      </c>
      <c r="B15">
        <v>142</v>
      </c>
      <c r="C15">
        <v>1</v>
      </c>
      <c r="D15">
        <v>0</v>
      </c>
      <c r="E15" s="3" t="s">
        <v>28</v>
      </c>
    </row>
    <row r="16" spans="1:9" x14ac:dyDescent="0.2">
      <c r="A16" t="s">
        <v>148</v>
      </c>
      <c r="B16">
        <v>133.47999999999999</v>
      </c>
      <c r="C16">
        <v>1</v>
      </c>
      <c r="D16">
        <v>0</v>
      </c>
      <c r="E16" s="3" t="s">
        <v>28</v>
      </c>
    </row>
    <row r="17" spans="1:5" x14ac:dyDescent="0.2">
      <c r="A17" t="s">
        <v>149</v>
      </c>
      <c r="B17">
        <v>63.9</v>
      </c>
      <c r="C17">
        <v>1</v>
      </c>
      <c r="D17">
        <v>0</v>
      </c>
      <c r="E17" s="3" t="s">
        <v>28</v>
      </c>
    </row>
    <row r="18" spans="1:5" x14ac:dyDescent="0.2">
      <c r="A18" t="s">
        <v>150</v>
      </c>
      <c r="B18">
        <v>142</v>
      </c>
      <c r="C18">
        <v>1</v>
      </c>
      <c r="D18">
        <v>0</v>
      </c>
      <c r="E18" s="3" t="s">
        <v>28</v>
      </c>
    </row>
    <row r="19" spans="1:5" x14ac:dyDescent="0.2">
      <c r="A19" t="s">
        <v>151</v>
      </c>
      <c r="B19">
        <v>133.47999999999999</v>
      </c>
      <c r="C19">
        <v>1</v>
      </c>
      <c r="D19">
        <v>0</v>
      </c>
      <c r="E19" s="3" t="s">
        <v>28</v>
      </c>
    </row>
    <row r="20" spans="1:5" x14ac:dyDescent="0.2">
      <c r="A20" t="s">
        <v>152</v>
      </c>
      <c r="B20">
        <v>63.9</v>
      </c>
      <c r="C20">
        <v>1</v>
      </c>
      <c r="D20">
        <v>0</v>
      </c>
      <c r="E20" s="3" t="s">
        <v>28</v>
      </c>
    </row>
    <row r="21" spans="1:5" x14ac:dyDescent="0.2">
      <c r="A21" t="s">
        <v>153</v>
      </c>
      <c r="B21">
        <v>142</v>
      </c>
      <c r="C21">
        <v>1</v>
      </c>
      <c r="D21">
        <v>0</v>
      </c>
      <c r="E21" s="3" t="s">
        <v>28</v>
      </c>
    </row>
    <row r="22" spans="1:5" x14ac:dyDescent="0.2">
      <c r="A22" t="s">
        <v>154</v>
      </c>
      <c r="B22">
        <v>133.47999999999999</v>
      </c>
      <c r="C22">
        <v>1</v>
      </c>
      <c r="D22">
        <v>0</v>
      </c>
      <c r="E22" s="3" t="s">
        <v>28</v>
      </c>
    </row>
    <row r="23" spans="1:5" x14ac:dyDescent="0.2">
      <c r="A23" t="s">
        <v>155</v>
      </c>
      <c r="B23">
        <v>63.9</v>
      </c>
      <c r="C23">
        <v>1</v>
      </c>
      <c r="D23">
        <v>0</v>
      </c>
      <c r="E23" s="3" t="s">
        <v>28</v>
      </c>
    </row>
    <row r="24" spans="1:5" x14ac:dyDescent="0.2">
      <c r="A24" t="s">
        <v>156</v>
      </c>
      <c r="B24">
        <v>142</v>
      </c>
      <c r="C24">
        <v>1</v>
      </c>
      <c r="D24">
        <v>0</v>
      </c>
      <c r="E24" s="3" t="s">
        <v>28</v>
      </c>
    </row>
    <row r="25" spans="1:5" x14ac:dyDescent="0.2">
      <c r="A25" t="s">
        <v>157</v>
      </c>
      <c r="B25">
        <v>133.47999999999999</v>
      </c>
      <c r="C25">
        <v>1</v>
      </c>
      <c r="D25">
        <v>0</v>
      </c>
      <c r="E25" s="3" t="s">
        <v>28</v>
      </c>
    </row>
    <row r="26" spans="1:5" x14ac:dyDescent="0.2">
      <c r="A26" t="s">
        <v>158</v>
      </c>
      <c r="B26">
        <v>63.9</v>
      </c>
      <c r="C26">
        <v>1</v>
      </c>
      <c r="D26">
        <v>0</v>
      </c>
      <c r="E26" s="3" t="s">
        <v>28</v>
      </c>
    </row>
    <row r="27" spans="1:5" x14ac:dyDescent="0.2">
      <c r="A27" t="s">
        <v>159</v>
      </c>
      <c r="B27">
        <v>142</v>
      </c>
      <c r="C27">
        <v>1</v>
      </c>
      <c r="D27">
        <v>0</v>
      </c>
      <c r="E27" s="3" t="s">
        <v>28</v>
      </c>
    </row>
    <row r="28" spans="1:5" x14ac:dyDescent="0.2">
      <c r="A28" t="s">
        <v>160</v>
      </c>
      <c r="B28">
        <v>133.47999999999999</v>
      </c>
      <c r="C28">
        <v>1</v>
      </c>
      <c r="D28">
        <v>0</v>
      </c>
      <c r="E28" s="3" t="s">
        <v>28</v>
      </c>
    </row>
    <row r="29" spans="1:5" x14ac:dyDescent="0.2">
      <c r="A29" t="s">
        <v>161</v>
      </c>
      <c r="B29">
        <v>63.9</v>
      </c>
      <c r="C29">
        <v>1</v>
      </c>
      <c r="D29">
        <v>0</v>
      </c>
      <c r="E29" s="3" t="s">
        <v>28</v>
      </c>
    </row>
    <row r="30" spans="1:5" x14ac:dyDescent="0.2">
      <c r="A30" t="s">
        <v>162</v>
      </c>
      <c r="B30">
        <v>142</v>
      </c>
      <c r="C30">
        <v>1</v>
      </c>
      <c r="D30">
        <v>0</v>
      </c>
      <c r="E30" s="3" t="s">
        <v>28</v>
      </c>
    </row>
    <row r="31" spans="1:5" x14ac:dyDescent="0.2">
      <c r="A31" t="s">
        <v>163</v>
      </c>
      <c r="B31">
        <v>133.47999999999999</v>
      </c>
      <c r="C31">
        <v>1</v>
      </c>
      <c r="D31">
        <v>0</v>
      </c>
      <c r="E31" s="3" t="s">
        <v>28</v>
      </c>
    </row>
    <row r="32" spans="1:5" x14ac:dyDescent="0.2">
      <c r="A32" t="s">
        <v>164</v>
      </c>
      <c r="B32">
        <v>63.9</v>
      </c>
      <c r="C32">
        <v>1</v>
      </c>
      <c r="D32">
        <v>0</v>
      </c>
      <c r="E32" s="3" t="s">
        <v>28</v>
      </c>
    </row>
    <row r="33" spans="1:5" x14ac:dyDescent="0.2">
      <c r="A33" t="s">
        <v>165</v>
      </c>
      <c r="B33">
        <v>142</v>
      </c>
      <c r="C33">
        <v>1</v>
      </c>
      <c r="D33">
        <v>0</v>
      </c>
      <c r="E33" s="3" t="s">
        <v>28</v>
      </c>
    </row>
    <row r="34" spans="1:5" x14ac:dyDescent="0.2">
      <c r="A34" t="s">
        <v>166</v>
      </c>
      <c r="B34">
        <v>133.47999999999999</v>
      </c>
      <c r="C34">
        <v>1</v>
      </c>
      <c r="D34">
        <v>0</v>
      </c>
      <c r="E34" s="3" t="s">
        <v>28</v>
      </c>
    </row>
    <row r="35" spans="1:5" x14ac:dyDescent="0.2">
      <c r="A35" t="s">
        <v>167</v>
      </c>
      <c r="B35">
        <v>63.9</v>
      </c>
      <c r="C35">
        <v>1</v>
      </c>
      <c r="D35">
        <v>0</v>
      </c>
      <c r="E35" s="3" t="s">
        <v>28</v>
      </c>
    </row>
    <row r="36" spans="1:5" x14ac:dyDescent="0.2">
      <c r="A36" t="s">
        <v>168</v>
      </c>
      <c r="B36">
        <v>1174.68</v>
      </c>
      <c r="C36">
        <v>1</v>
      </c>
      <c r="D36">
        <v>0</v>
      </c>
      <c r="E36" s="3" t="s">
        <v>60</v>
      </c>
    </row>
    <row r="37" spans="1:5" x14ac:dyDescent="0.2">
      <c r="A37" t="s">
        <v>169</v>
      </c>
      <c r="B37">
        <v>127.69</v>
      </c>
      <c r="C37">
        <v>1</v>
      </c>
      <c r="D37">
        <v>0</v>
      </c>
      <c r="E37" s="3" t="s">
        <v>60</v>
      </c>
    </row>
    <row r="38" spans="1:5" x14ac:dyDescent="0.2">
      <c r="A38" t="s">
        <v>170</v>
      </c>
      <c r="B38">
        <v>297.93</v>
      </c>
      <c r="C38">
        <v>1</v>
      </c>
      <c r="D38">
        <v>0</v>
      </c>
      <c r="E38" s="3" t="s">
        <v>60</v>
      </c>
    </row>
    <row r="39" spans="1:5" x14ac:dyDescent="0.2">
      <c r="A39" t="s">
        <v>171</v>
      </c>
      <c r="B39">
        <v>68.48</v>
      </c>
      <c r="C39">
        <v>1</v>
      </c>
      <c r="D39">
        <v>0</v>
      </c>
      <c r="E39" s="3" t="s">
        <v>60</v>
      </c>
    </row>
    <row r="40" spans="1:5" x14ac:dyDescent="0.2">
      <c r="A40" t="s">
        <v>172</v>
      </c>
      <c r="B40">
        <v>434.94</v>
      </c>
      <c r="C40">
        <v>1</v>
      </c>
      <c r="D40">
        <v>0</v>
      </c>
      <c r="E40" s="3" t="s">
        <v>173</v>
      </c>
    </row>
    <row r="41" spans="1:5" x14ac:dyDescent="0.2">
      <c r="A41" t="s">
        <v>174</v>
      </c>
      <c r="B41">
        <v>379.42</v>
      </c>
      <c r="C41">
        <v>1</v>
      </c>
      <c r="D41">
        <v>0</v>
      </c>
      <c r="E41" s="3" t="s">
        <v>173</v>
      </c>
    </row>
    <row r="42" spans="1:5" x14ac:dyDescent="0.2">
      <c r="A42" t="s">
        <v>175</v>
      </c>
      <c r="B42">
        <v>195.73</v>
      </c>
      <c r="C42">
        <v>1</v>
      </c>
      <c r="D42">
        <v>0</v>
      </c>
      <c r="E42" s="3" t="s">
        <v>173</v>
      </c>
    </row>
    <row r="43" spans="1:5" x14ac:dyDescent="0.2">
      <c r="A43" t="s">
        <v>176</v>
      </c>
      <c r="B43">
        <v>186.62</v>
      </c>
      <c r="C43">
        <v>1</v>
      </c>
      <c r="D43">
        <v>0</v>
      </c>
      <c r="E43" s="3" t="s">
        <v>173</v>
      </c>
    </row>
    <row r="44" spans="1:5" x14ac:dyDescent="0.2">
      <c r="A44" t="s">
        <v>177</v>
      </c>
      <c r="B44">
        <v>153.63</v>
      </c>
      <c r="C44">
        <v>1</v>
      </c>
      <c r="D44">
        <v>0</v>
      </c>
      <c r="E44" s="3" t="s">
        <v>173</v>
      </c>
    </row>
    <row r="45" spans="1:5" x14ac:dyDescent="0.2">
      <c r="A45" t="s">
        <v>178</v>
      </c>
      <c r="B45">
        <v>292.01</v>
      </c>
      <c r="C45">
        <v>1</v>
      </c>
      <c r="D45">
        <v>0</v>
      </c>
      <c r="E45" s="3" t="s">
        <v>173</v>
      </c>
    </row>
    <row r="46" spans="1:5" x14ac:dyDescent="0.2">
      <c r="A46" t="s">
        <v>179</v>
      </c>
      <c r="B46">
        <v>292.01</v>
      </c>
      <c r="C46">
        <v>1</v>
      </c>
      <c r="D46">
        <v>0</v>
      </c>
      <c r="E46" s="3" t="s">
        <v>173</v>
      </c>
    </row>
  </sheetData>
  <mergeCells count="1">
    <mergeCell ref="F3:F10"/>
  </mergeCells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K122"/>
  <sheetViews>
    <sheetView zoomScaleNormal="100" workbookViewId="0">
      <pane ySplit="1" topLeftCell="A94" activePane="bottomLeft" state="frozen"/>
      <selection pane="bottomLeft" activeCell="A78" sqref="A78"/>
    </sheetView>
  </sheetViews>
  <sheetFormatPr defaultRowHeight="12.75" x14ac:dyDescent="0.2"/>
  <cols>
    <col min="1" max="1" width="33.85546875"/>
    <col min="2" max="2" width="17.28515625" style="38"/>
    <col min="3" max="3" width="17.28515625" style="11"/>
    <col min="4" max="4" width="17.28515625" style="39"/>
    <col min="5" max="5" width="18.140625" style="40"/>
    <col min="6" max="6" width="13" style="39"/>
    <col min="7" max="7" width="17.140625" style="40"/>
    <col min="8" max="8" width="17.140625" style="41"/>
    <col min="9" max="9" width="19.140625" style="41"/>
    <col min="10" max="10" width="20.7109375" style="41"/>
    <col min="11" max="11" width="15.7109375" style="41"/>
    <col min="12" max="1025" width="12.42578125"/>
  </cols>
  <sheetData>
    <row r="1" spans="1:11" x14ac:dyDescent="0.2">
      <c r="A1" s="42" t="s">
        <v>6</v>
      </c>
      <c r="B1" s="43" t="s">
        <v>7</v>
      </c>
      <c r="C1" s="44" t="s">
        <v>8</v>
      </c>
      <c r="D1" s="44" t="s">
        <v>9</v>
      </c>
      <c r="E1" s="43" t="s">
        <v>10</v>
      </c>
      <c r="F1" s="44" t="s">
        <v>5</v>
      </c>
      <c r="G1" s="45" t="s">
        <v>180</v>
      </c>
      <c r="H1" s="45" t="s">
        <v>11</v>
      </c>
      <c r="I1" s="43" t="s">
        <v>12</v>
      </c>
      <c r="J1" s="43" t="s">
        <v>13</v>
      </c>
      <c r="K1" s="43" t="s">
        <v>14</v>
      </c>
    </row>
    <row r="2" spans="1:11" x14ac:dyDescent="0.2">
      <c r="A2" s="46" t="s">
        <v>64</v>
      </c>
      <c r="B2" s="47">
        <v>6.5</v>
      </c>
      <c r="C2" s="48">
        <v>0</v>
      </c>
      <c r="D2" s="49">
        <v>1</v>
      </c>
      <c r="E2" s="50">
        <v>0</v>
      </c>
      <c r="F2" s="51">
        <v>0</v>
      </c>
      <c r="G2" s="50">
        <v>1</v>
      </c>
      <c r="H2" s="28">
        <v>41861</v>
      </c>
      <c r="I2" s="27" t="s">
        <v>16</v>
      </c>
      <c r="J2" s="28">
        <v>41883</v>
      </c>
      <c r="K2" s="27" t="s">
        <v>42</v>
      </c>
    </row>
    <row r="3" spans="1:11" x14ac:dyDescent="0.2">
      <c r="A3" s="46" t="s">
        <v>50</v>
      </c>
      <c r="B3" s="47">
        <v>18</v>
      </c>
      <c r="C3" s="48">
        <v>0</v>
      </c>
      <c r="D3" s="49">
        <v>1</v>
      </c>
      <c r="E3" s="50">
        <v>0</v>
      </c>
      <c r="F3" s="51">
        <v>0</v>
      </c>
      <c r="G3" s="50">
        <v>1</v>
      </c>
      <c r="H3" s="28">
        <v>41861</v>
      </c>
      <c r="I3" s="27" t="s">
        <v>16</v>
      </c>
      <c r="J3" s="28">
        <v>41883</v>
      </c>
      <c r="K3" s="27" t="s">
        <v>181</v>
      </c>
    </row>
    <row r="4" spans="1:11" x14ac:dyDescent="0.2">
      <c r="A4" s="46" t="s">
        <v>182</v>
      </c>
      <c r="B4" s="47">
        <v>1.94</v>
      </c>
      <c r="C4" s="48">
        <v>0</v>
      </c>
      <c r="D4" s="49">
        <v>1</v>
      </c>
      <c r="E4" s="50">
        <v>0</v>
      </c>
      <c r="F4" s="51">
        <v>0</v>
      </c>
      <c r="G4" s="50">
        <v>1</v>
      </c>
      <c r="H4" s="28">
        <v>41861</v>
      </c>
      <c r="I4" s="27" t="s">
        <v>16</v>
      </c>
      <c r="J4" s="28">
        <v>41883</v>
      </c>
      <c r="K4" s="27" t="s">
        <v>181</v>
      </c>
    </row>
    <row r="5" spans="1:11" x14ac:dyDescent="0.2">
      <c r="A5" s="46" t="s">
        <v>183</v>
      </c>
      <c r="B5" s="47">
        <v>30</v>
      </c>
      <c r="C5" s="48">
        <v>1</v>
      </c>
      <c r="D5" s="49">
        <v>0</v>
      </c>
      <c r="E5" s="50">
        <v>0</v>
      </c>
      <c r="F5" s="51">
        <v>0</v>
      </c>
      <c r="G5" s="50">
        <v>1</v>
      </c>
      <c r="H5" s="28">
        <v>41861</v>
      </c>
      <c r="I5" s="27" t="s">
        <v>16</v>
      </c>
      <c r="J5" s="28">
        <v>41884</v>
      </c>
      <c r="K5" s="27" t="s">
        <v>32</v>
      </c>
    </row>
    <row r="6" spans="1:11" x14ac:dyDescent="0.2">
      <c r="A6" s="46" t="s">
        <v>184</v>
      </c>
      <c r="B6" s="47">
        <v>41</v>
      </c>
      <c r="C6" s="48">
        <v>1</v>
      </c>
      <c r="D6" s="49">
        <v>0</v>
      </c>
      <c r="E6" s="50">
        <v>0</v>
      </c>
      <c r="F6" s="51">
        <v>0</v>
      </c>
      <c r="G6" s="50">
        <v>1</v>
      </c>
      <c r="H6" s="28">
        <v>41861</v>
      </c>
      <c r="I6" s="27" t="s">
        <v>16</v>
      </c>
      <c r="J6" s="28">
        <v>41883</v>
      </c>
      <c r="K6" s="27" t="s">
        <v>181</v>
      </c>
    </row>
    <row r="7" spans="1:11" x14ac:dyDescent="0.2">
      <c r="A7" s="46" t="s">
        <v>182</v>
      </c>
      <c r="B7" s="47">
        <v>9.06</v>
      </c>
      <c r="C7" s="48">
        <v>0</v>
      </c>
      <c r="D7" s="49">
        <v>1</v>
      </c>
      <c r="E7" s="50">
        <v>0</v>
      </c>
      <c r="F7" s="51">
        <v>0</v>
      </c>
      <c r="G7" s="50">
        <v>1</v>
      </c>
      <c r="H7" s="28">
        <v>41861</v>
      </c>
      <c r="I7" s="27" t="s">
        <v>16</v>
      </c>
      <c r="J7" s="28">
        <v>41883</v>
      </c>
      <c r="K7" s="27" t="s">
        <v>181</v>
      </c>
    </row>
    <row r="8" spans="1:11" x14ac:dyDescent="0.2">
      <c r="A8" s="46" t="s">
        <v>185</v>
      </c>
      <c r="B8" s="47">
        <v>2</v>
      </c>
      <c r="C8" s="48">
        <v>0</v>
      </c>
      <c r="D8" s="49">
        <v>1</v>
      </c>
      <c r="E8" s="50">
        <v>0</v>
      </c>
      <c r="F8" s="51">
        <v>0</v>
      </c>
      <c r="G8" s="50">
        <v>1</v>
      </c>
      <c r="H8" s="28">
        <v>41861</v>
      </c>
      <c r="I8" s="27" t="s">
        <v>16</v>
      </c>
      <c r="J8" s="28">
        <v>41887</v>
      </c>
      <c r="K8" s="27" t="s">
        <v>42</v>
      </c>
    </row>
    <row r="9" spans="1:11" x14ac:dyDescent="0.2">
      <c r="A9" s="46" t="s">
        <v>30</v>
      </c>
      <c r="B9" s="47">
        <v>30</v>
      </c>
      <c r="C9" s="48">
        <v>0</v>
      </c>
      <c r="D9" s="49">
        <v>1</v>
      </c>
      <c r="E9" s="50">
        <v>0</v>
      </c>
      <c r="F9" s="51">
        <v>0</v>
      </c>
      <c r="G9" s="50">
        <v>1</v>
      </c>
      <c r="H9" s="28">
        <v>41861</v>
      </c>
      <c r="I9" s="27" t="s">
        <v>16</v>
      </c>
      <c r="J9" s="28">
        <v>41887</v>
      </c>
      <c r="K9" s="27" t="s">
        <v>32</v>
      </c>
    </row>
    <row r="10" spans="1:11" hidden="1" x14ac:dyDescent="0.2">
      <c r="A10" s="46" t="s">
        <v>186</v>
      </c>
      <c r="B10" s="47">
        <v>9.1999999999999993</v>
      </c>
      <c r="C10" s="48">
        <v>0</v>
      </c>
      <c r="D10" s="49">
        <v>1</v>
      </c>
      <c r="E10" s="50">
        <v>0</v>
      </c>
      <c r="F10" s="51">
        <v>1</v>
      </c>
      <c r="G10" s="49">
        <v>0</v>
      </c>
      <c r="H10" s="28">
        <v>41861</v>
      </c>
      <c r="I10" s="27" t="s">
        <v>16</v>
      </c>
      <c r="J10" s="28">
        <v>41883</v>
      </c>
      <c r="K10" s="27" t="s">
        <v>42</v>
      </c>
    </row>
    <row r="11" spans="1:11" hidden="1" x14ac:dyDescent="0.2">
      <c r="A11" s="46" t="s">
        <v>187</v>
      </c>
      <c r="B11" s="47">
        <v>19.95</v>
      </c>
      <c r="C11" s="48">
        <v>0</v>
      </c>
      <c r="D11" s="49">
        <v>1</v>
      </c>
      <c r="E11" s="50">
        <v>0</v>
      </c>
      <c r="F11" s="51">
        <v>1</v>
      </c>
      <c r="G11" s="49">
        <v>0</v>
      </c>
      <c r="H11" s="28">
        <v>41861</v>
      </c>
      <c r="I11" s="27" t="s">
        <v>16</v>
      </c>
      <c r="J11" s="28">
        <v>41887</v>
      </c>
      <c r="K11" s="27" t="s">
        <v>42</v>
      </c>
    </row>
    <row r="12" spans="1:11" hidden="1" x14ac:dyDescent="0.2">
      <c r="A12" s="46" t="s">
        <v>188</v>
      </c>
      <c r="B12" s="47">
        <v>8</v>
      </c>
      <c r="C12" s="48">
        <v>0</v>
      </c>
      <c r="D12" s="49">
        <v>1</v>
      </c>
      <c r="E12" s="50">
        <v>0</v>
      </c>
      <c r="F12" s="51">
        <v>1</v>
      </c>
      <c r="G12" s="49">
        <v>0</v>
      </c>
      <c r="H12" s="28">
        <v>41861</v>
      </c>
      <c r="I12" s="27" t="s">
        <v>16</v>
      </c>
      <c r="J12" s="28">
        <v>41887</v>
      </c>
      <c r="K12" s="27" t="s">
        <v>42</v>
      </c>
    </row>
    <row r="13" spans="1:11" hidden="1" x14ac:dyDescent="0.2">
      <c r="A13" s="46" t="s">
        <v>64</v>
      </c>
      <c r="B13" s="47">
        <v>4.8</v>
      </c>
      <c r="C13" s="48">
        <v>0</v>
      </c>
      <c r="D13" s="49">
        <v>1</v>
      </c>
      <c r="E13" s="50">
        <v>0</v>
      </c>
      <c r="F13" s="51">
        <v>1</v>
      </c>
      <c r="G13" s="49">
        <v>0</v>
      </c>
      <c r="H13" s="28">
        <v>41861</v>
      </c>
      <c r="I13" s="27" t="s">
        <v>16</v>
      </c>
      <c r="J13" s="28">
        <v>41886</v>
      </c>
      <c r="K13" s="27" t="s">
        <v>42</v>
      </c>
    </row>
    <row r="14" spans="1:11" hidden="1" x14ac:dyDescent="0.2">
      <c r="A14" s="46" t="s">
        <v>189</v>
      </c>
      <c r="B14" s="47">
        <v>20</v>
      </c>
      <c r="C14" s="48">
        <v>0</v>
      </c>
      <c r="D14" s="49">
        <v>1</v>
      </c>
      <c r="E14" s="50">
        <v>0</v>
      </c>
      <c r="F14" s="51">
        <v>1</v>
      </c>
      <c r="G14" s="49">
        <v>0</v>
      </c>
      <c r="H14" s="28">
        <v>41861</v>
      </c>
      <c r="I14" s="27" t="s">
        <v>16</v>
      </c>
      <c r="J14" s="28">
        <v>41886</v>
      </c>
      <c r="K14" s="27" t="s">
        <v>42</v>
      </c>
    </row>
    <row r="15" spans="1:11" hidden="1" x14ac:dyDescent="0.2">
      <c r="A15" s="46" t="s">
        <v>190</v>
      </c>
      <c r="B15" s="47">
        <v>21.92</v>
      </c>
      <c r="C15" s="48">
        <v>0</v>
      </c>
      <c r="D15" s="49">
        <v>1</v>
      </c>
      <c r="E15" s="50">
        <v>0</v>
      </c>
      <c r="F15" s="51">
        <v>1</v>
      </c>
      <c r="G15" s="49">
        <v>0</v>
      </c>
      <c r="H15" s="28">
        <v>41861</v>
      </c>
      <c r="I15" s="27" t="s">
        <v>16</v>
      </c>
      <c r="J15" s="28">
        <v>41887</v>
      </c>
      <c r="K15" s="27" t="s">
        <v>42</v>
      </c>
    </row>
    <row r="16" spans="1:11" hidden="1" x14ac:dyDescent="0.2">
      <c r="A16" s="46" t="s">
        <v>41</v>
      </c>
      <c r="B16" s="47">
        <v>26.41</v>
      </c>
      <c r="C16" s="48">
        <v>0</v>
      </c>
      <c r="D16" s="49">
        <v>1</v>
      </c>
      <c r="E16" s="50">
        <v>0</v>
      </c>
      <c r="F16" s="51">
        <v>1</v>
      </c>
      <c r="G16" s="49">
        <v>0</v>
      </c>
      <c r="H16" s="28">
        <v>41861</v>
      </c>
      <c r="I16" s="52" t="s">
        <v>22</v>
      </c>
      <c r="J16" s="28">
        <v>41888</v>
      </c>
      <c r="K16" s="27" t="s">
        <v>42</v>
      </c>
    </row>
    <row r="17" spans="1:11" hidden="1" x14ac:dyDescent="0.2">
      <c r="A17" s="46" t="s">
        <v>65</v>
      </c>
      <c r="B17" s="47">
        <v>60</v>
      </c>
      <c r="C17" s="48">
        <v>1</v>
      </c>
      <c r="D17" s="49">
        <v>0</v>
      </c>
      <c r="E17" s="50">
        <v>0</v>
      </c>
      <c r="F17" s="51">
        <v>1</v>
      </c>
      <c r="G17" s="49">
        <v>0</v>
      </c>
      <c r="H17" s="28">
        <v>41861</v>
      </c>
      <c r="I17" s="52" t="s">
        <v>22</v>
      </c>
      <c r="J17" s="28">
        <v>41888</v>
      </c>
      <c r="K17" s="27" t="s">
        <v>32</v>
      </c>
    </row>
    <row r="18" spans="1:11" hidden="1" x14ac:dyDescent="0.2">
      <c r="A18" s="46" t="s">
        <v>191</v>
      </c>
      <c r="B18" s="47">
        <v>6.9</v>
      </c>
      <c r="C18" s="48">
        <v>0</v>
      </c>
      <c r="D18" s="49">
        <v>1</v>
      </c>
      <c r="E18" s="50">
        <v>0</v>
      </c>
      <c r="F18" s="51">
        <v>1</v>
      </c>
      <c r="G18" s="49">
        <v>0</v>
      </c>
      <c r="H18" s="28">
        <v>41861</v>
      </c>
      <c r="I18" s="52" t="s">
        <v>22</v>
      </c>
      <c r="J18" s="28">
        <v>41888</v>
      </c>
      <c r="K18" s="27" t="s">
        <v>42</v>
      </c>
    </row>
    <row r="19" spans="1:11" hidden="1" x14ac:dyDescent="0.2">
      <c r="A19" s="46" t="s">
        <v>191</v>
      </c>
      <c r="B19" s="53">
        <v>8.9</v>
      </c>
      <c r="C19" s="48">
        <v>0</v>
      </c>
      <c r="D19" s="49">
        <v>1</v>
      </c>
      <c r="E19" s="50">
        <v>0</v>
      </c>
      <c r="F19" s="51">
        <v>1</v>
      </c>
      <c r="G19" s="48">
        <v>0</v>
      </c>
      <c r="H19" s="28">
        <v>41861</v>
      </c>
      <c r="I19" s="52" t="s">
        <v>22</v>
      </c>
      <c r="J19" s="28">
        <v>41888</v>
      </c>
      <c r="K19" s="27" t="s">
        <v>42</v>
      </c>
    </row>
    <row r="20" spans="1:11" hidden="1" x14ac:dyDescent="0.2">
      <c r="A20" s="54" t="s">
        <v>192</v>
      </c>
      <c r="B20" s="47">
        <v>26.53</v>
      </c>
      <c r="C20" s="48">
        <v>0</v>
      </c>
      <c r="D20" s="49">
        <v>1</v>
      </c>
      <c r="E20" s="50">
        <v>0</v>
      </c>
      <c r="F20" s="51">
        <v>1</v>
      </c>
      <c r="G20" s="49">
        <v>0</v>
      </c>
      <c r="H20" s="28">
        <v>41861</v>
      </c>
      <c r="I20" s="52" t="s">
        <v>22</v>
      </c>
      <c r="J20" s="28">
        <v>41889</v>
      </c>
      <c r="K20" s="27" t="s">
        <v>42</v>
      </c>
    </row>
    <row r="21" spans="1:11" hidden="1" x14ac:dyDescent="0.2">
      <c r="A21" s="46" t="s">
        <v>47</v>
      </c>
      <c r="B21" s="47">
        <v>24.7</v>
      </c>
      <c r="C21" s="48">
        <v>0</v>
      </c>
      <c r="D21" s="49">
        <v>1</v>
      </c>
      <c r="E21" s="50">
        <v>0</v>
      </c>
      <c r="F21" s="51">
        <v>1</v>
      </c>
      <c r="G21" s="49">
        <v>0</v>
      </c>
      <c r="H21" s="28">
        <v>41861</v>
      </c>
      <c r="I21" s="52" t="s">
        <v>31</v>
      </c>
      <c r="J21" s="28">
        <v>41890</v>
      </c>
      <c r="K21" s="27" t="s">
        <v>42</v>
      </c>
    </row>
    <row r="22" spans="1:11" hidden="1" x14ac:dyDescent="0.2">
      <c r="A22" s="46" t="s">
        <v>193</v>
      </c>
      <c r="B22" s="47">
        <v>7.2</v>
      </c>
      <c r="C22" s="48">
        <v>0</v>
      </c>
      <c r="D22" s="49">
        <v>1</v>
      </c>
      <c r="E22" s="50">
        <v>0</v>
      </c>
      <c r="F22" s="51">
        <v>1</v>
      </c>
      <c r="G22" s="49">
        <v>0</v>
      </c>
      <c r="H22" s="28">
        <v>41861</v>
      </c>
      <c r="I22" s="52" t="s">
        <v>31</v>
      </c>
      <c r="J22" s="28">
        <v>41891</v>
      </c>
      <c r="K22" s="27" t="s">
        <v>42</v>
      </c>
    </row>
    <row r="23" spans="1:11" hidden="1" x14ac:dyDescent="0.2">
      <c r="A23" s="46" t="s">
        <v>194</v>
      </c>
      <c r="B23" s="47">
        <v>35.200000000000003</v>
      </c>
      <c r="C23" s="48">
        <v>0</v>
      </c>
      <c r="D23" s="49">
        <v>1</v>
      </c>
      <c r="E23" s="50">
        <v>0</v>
      </c>
      <c r="F23" s="51">
        <v>1</v>
      </c>
      <c r="G23" s="49">
        <v>0</v>
      </c>
      <c r="H23" s="28">
        <v>41861</v>
      </c>
      <c r="I23" s="52" t="s">
        <v>31</v>
      </c>
      <c r="J23" s="28">
        <v>41891</v>
      </c>
      <c r="K23" s="27" t="s">
        <v>42</v>
      </c>
    </row>
    <row r="24" spans="1:11" x14ac:dyDescent="0.2">
      <c r="A24" s="46" t="s">
        <v>30</v>
      </c>
      <c r="B24" s="47">
        <v>10</v>
      </c>
      <c r="C24" s="48">
        <v>1</v>
      </c>
      <c r="D24" s="49">
        <v>0</v>
      </c>
      <c r="E24" s="50">
        <v>0</v>
      </c>
      <c r="F24" s="51">
        <v>0</v>
      </c>
      <c r="G24" s="50">
        <v>1</v>
      </c>
      <c r="H24" s="28">
        <v>41892</v>
      </c>
      <c r="I24" s="52" t="s">
        <v>31</v>
      </c>
      <c r="J24" s="28">
        <v>41892</v>
      </c>
      <c r="K24" s="27" t="s">
        <v>32</v>
      </c>
    </row>
    <row r="25" spans="1:11" hidden="1" x14ac:dyDescent="0.2">
      <c r="A25" s="46" t="s">
        <v>47</v>
      </c>
      <c r="B25" s="47">
        <v>26.9</v>
      </c>
      <c r="C25" s="48">
        <v>0</v>
      </c>
      <c r="D25" s="49">
        <v>1</v>
      </c>
      <c r="E25" s="50">
        <v>0</v>
      </c>
      <c r="F25" s="51">
        <v>1</v>
      </c>
      <c r="G25" s="49">
        <v>0</v>
      </c>
      <c r="H25" s="28">
        <v>41892</v>
      </c>
      <c r="I25" s="52" t="s">
        <v>31</v>
      </c>
      <c r="J25" s="28">
        <v>41892</v>
      </c>
      <c r="K25" s="27" t="s">
        <v>42</v>
      </c>
    </row>
    <row r="26" spans="1:11" hidden="1" x14ac:dyDescent="0.2">
      <c r="A26" s="46" t="s">
        <v>195</v>
      </c>
      <c r="B26" s="47">
        <v>12.52</v>
      </c>
      <c r="C26" s="48">
        <v>0</v>
      </c>
      <c r="D26" s="49">
        <v>1</v>
      </c>
      <c r="E26" s="50">
        <v>0</v>
      </c>
      <c r="F26" s="51">
        <v>1</v>
      </c>
      <c r="G26" s="49">
        <v>0</v>
      </c>
      <c r="H26" s="28">
        <v>41892</v>
      </c>
      <c r="I26" s="52" t="s">
        <v>31</v>
      </c>
      <c r="J26" s="28">
        <v>41892</v>
      </c>
      <c r="K26" s="27" t="s">
        <v>45</v>
      </c>
    </row>
    <row r="27" spans="1:11" hidden="1" x14ac:dyDescent="0.2">
      <c r="A27" s="46" t="s">
        <v>196</v>
      </c>
      <c r="B27" s="47">
        <v>12.66</v>
      </c>
      <c r="C27" s="48">
        <v>0</v>
      </c>
      <c r="D27" s="49">
        <v>1</v>
      </c>
      <c r="E27" s="50">
        <v>0</v>
      </c>
      <c r="F27" s="51">
        <v>1</v>
      </c>
      <c r="G27" s="49">
        <v>0</v>
      </c>
      <c r="H27" s="28">
        <v>41892</v>
      </c>
      <c r="I27" s="52" t="s">
        <v>31</v>
      </c>
      <c r="J27" s="28">
        <v>41893</v>
      </c>
      <c r="K27" s="27" t="s">
        <v>42</v>
      </c>
    </row>
    <row r="28" spans="1:11" hidden="1" x14ac:dyDescent="0.2">
      <c r="A28" s="46" t="s">
        <v>197</v>
      </c>
      <c r="B28" s="47">
        <v>21.5</v>
      </c>
      <c r="C28" s="48">
        <v>0</v>
      </c>
      <c r="D28" s="49">
        <v>1</v>
      </c>
      <c r="E28" s="50">
        <v>0</v>
      </c>
      <c r="F28" s="51">
        <v>1</v>
      </c>
      <c r="G28" s="49">
        <v>0</v>
      </c>
      <c r="H28" s="28">
        <v>41892</v>
      </c>
      <c r="I28" s="52" t="s">
        <v>31</v>
      </c>
      <c r="J28" s="28">
        <v>41893</v>
      </c>
      <c r="K28" s="27" t="s">
        <v>42</v>
      </c>
    </row>
    <row r="29" spans="1:11" hidden="1" x14ac:dyDescent="0.2">
      <c r="A29" s="46" t="s">
        <v>198</v>
      </c>
      <c r="B29" s="47">
        <v>6.69</v>
      </c>
      <c r="C29" s="48">
        <v>0</v>
      </c>
      <c r="D29" s="49">
        <v>1</v>
      </c>
      <c r="E29" s="50">
        <v>0</v>
      </c>
      <c r="F29" s="51">
        <v>1</v>
      </c>
      <c r="G29" s="49">
        <v>0</v>
      </c>
      <c r="H29" s="28">
        <v>41892</v>
      </c>
      <c r="I29" s="52" t="s">
        <v>31</v>
      </c>
      <c r="J29" s="28">
        <v>41894</v>
      </c>
      <c r="K29" s="27" t="s">
        <v>42</v>
      </c>
    </row>
    <row r="30" spans="1:11" hidden="1" x14ac:dyDescent="0.2">
      <c r="A30" s="46" t="s">
        <v>199</v>
      </c>
      <c r="B30" s="47">
        <v>9.74</v>
      </c>
      <c r="C30" s="48">
        <v>0</v>
      </c>
      <c r="D30" s="49">
        <v>1</v>
      </c>
      <c r="E30" s="50">
        <v>0</v>
      </c>
      <c r="F30" s="51">
        <v>1</v>
      </c>
      <c r="G30" s="49">
        <v>0</v>
      </c>
      <c r="H30" s="28">
        <v>41892</v>
      </c>
      <c r="I30" s="52" t="s">
        <v>31</v>
      </c>
      <c r="J30" s="28">
        <v>41893</v>
      </c>
      <c r="K30" s="27" t="s">
        <v>45</v>
      </c>
    </row>
    <row r="31" spans="1:11" hidden="1" x14ac:dyDescent="0.2">
      <c r="A31" s="55" t="s">
        <v>200</v>
      </c>
      <c r="B31" s="56">
        <v>8.98</v>
      </c>
      <c r="C31" s="48">
        <v>0</v>
      </c>
      <c r="D31" s="48">
        <v>1</v>
      </c>
      <c r="E31" s="57">
        <v>0</v>
      </c>
      <c r="F31" s="57">
        <v>1</v>
      </c>
      <c r="G31" s="48">
        <v>0</v>
      </c>
      <c r="H31" s="58">
        <v>41892</v>
      </c>
      <c r="I31" s="58" t="s">
        <v>31</v>
      </c>
      <c r="J31" s="58">
        <v>41893</v>
      </c>
      <c r="K31" s="59" t="s">
        <v>45</v>
      </c>
    </row>
    <row r="32" spans="1:11" x14ac:dyDescent="0.2">
      <c r="A32" s="55" t="s">
        <v>30</v>
      </c>
      <c r="B32" s="56">
        <v>100</v>
      </c>
      <c r="C32" s="48">
        <v>1</v>
      </c>
      <c r="D32" s="48">
        <v>0</v>
      </c>
      <c r="E32" s="57">
        <v>0</v>
      </c>
      <c r="F32" s="57">
        <v>0</v>
      </c>
      <c r="G32" s="57">
        <v>1</v>
      </c>
      <c r="H32" s="58">
        <v>41892</v>
      </c>
      <c r="I32" s="58" t="s">
        <v>31</v>
      </c>
      <c r="J32" s="58">
        <v>41894</v>
      </c>
      <c r="K32" s="59" t="s">
        <v>32</v>
      </c>
    </row>
    <row r="33" spans="1:11" x14ac:dyDescent="0.2">
      <c r="A33" s="55" t="s">
        <v>201</v>
      </c>
      <c r="B33" s="56">
        <v>10</v>
      </c>
      <c r="C33" s="48">
        <v>0</v>
      </c>
      <c r="D33" s="48">
        <v>1</v>
      </c>
      <c r="E33" s="57">
        <v>0</v>
      </c>
      <c r="F33" s="57">
        <v>0</v>
      </c>
      <c r="G33" s="57">
        <v>1</v>
      </c>
      <c r="H33" s="58">
        <v>41892</v>
      </c>
      <c r="I33" s="58" t="s">
        <v>31</v>
      </c>
      <c r="J33" s="58">
        <v>41894</v>
      </c>
      <c r="K33" s="59" t="s">
        <v>45</v>
      </c>
    </row>
    <row r="34" spans="1:11" hidden="1" x14ac:dyDescent="0.2">
      <c r="A34" s="55" t="s">
        <v>65</v>
      </c>
      <c r="B34" s="56">
        <v>60</v>
      </c>
      <c r="C34" s="48">
        <v>1</v>
      </c>
      <c r="D34" s="48">
        <v>0</v>
      </c>
      <c r="E34" s="57">
        <v>0</v>
      </c>
      <c r="F34" s="57">
        <v>1</v>
      </c>
      <c r="G34" s="48">
        <v>0</v>
      </c>
      <c r="H34" s="58">
        <v>41892</v>
      </c>
      <c r="I34" s="58" t="s">
        <v>22</v>
      </c>
      <c r="J34" s="58">
        <v>41895</v>
      </c>
      <c r="K34" s="59" t="s">
        <v>32</v>
      </c>
    </row>
    <row r="35" spans="1:11" hidden="1" x14ac:dyDescent="0.2">
      <c r="A35" s="55" t="s">
        <v>47</v>
      </c>
      <c r="B35" s="56">
        <v>24.7</v>
      </c>
      <c r="C35" s="48">
        <v>0</v>
      </c>
      <c r="D35" s="48">
        <v>1</v>
      </c>
      <c r="E35" s="57">
        <v>0</v>
      </c>
      <c r="F35" s="57">
        <v>1</v>
      </c>
      <c r="G35" s="48">
        <v>0</v>
      </c>
      <c r="H35" s="58">
        <v>41892</v>
      </c>
      <c r="I35" s="58" t="s">
        <v>31</v>
      </c>
      <c r="J35" s="58">
        <v>41894</v>
      </c>
      <c r="K35" s="59" t="s">
        <v>42</v>
      </c>
    </row>
    <row r="36" spans="1:11" hidden="1" x14ac:dyDescent="0.2">
      <c r="A36" s="55" t="s">
        <v>202</v>
      </c>
      <c r="B36" s="60">
        <v>117.92</v>
      </c>
      <c r="C36" s="48">
        <v>0</v>
      </c>
      <c r="D36" s="48">
        <v>1</v>
      </c>
      <c r="E36" s="57">
        <v>0</v>
      </c>
      <c r="F36" s="57">
        <v>1</v>
      </c>
      <c r="G36" s="48">
        <v>0</v>
      </c>
      <c r="H36" s="58">
        <v>41892</v>
      </c>
      <c r="I36" s="58" t="s">
        <v>22</v>
      </c>
      <c r="J36" s="58">
        <v>41895</v>
      </c>
      <c r="K36" s="59" t="s">
        <v>42</v>
      </c>
    </row>
    <row r="37" spans="1:11" hidden="1" x14ac:dyDescent="0.2">
      <c r="A37" s="55" t="s">
        <v>203</v>
      </c>
      <c r="B37" s="56">
        <v>41.5</v>
      </c>
      <c r="C37" s="48">
        <v>0</v>
      </c>
      <c r="D37" s="48">
        <v>1</v>
      </c>
      <c r="E37" s="57">
        <v>0</v>
      </c>
      <c r="F37" s="57">
        <v>1</v>
      </c>
      <c r="G37" s="48">
        <v>0</v>
      </c>
      <c r="H37" s="58">
        <v>41892</v>
      </c>
      <c r="I37" s="58" t="s">
        <v>22</v>
      </c>
      <c r="J37" s="58">
        <v>41895</v>
      </c>
      <c r="K37" s="59" t="s">
        <v>42</v>
      </c>
    </row>
    <row r="38" spans="1:11" hidden="1" x14ac:dyDescent="0.2">
      <c r="A38" s="55" t="s">
        <v>41</v>
      </c>
      <c r="B38" s="56">
        <v>300</v>
      </c>
      <c r="C38" s="48">
        <v>0</v>
      </c>
      <c r="D38" s="48">
        <v>1</v>
      </c>
      <c r="E38" s="57">
        <v>0</v>
      </c>
      <c r="F38" s="57">
        <v>1</v>
      </c>
      <c r="G38" s="48">
        <v>0</v>
      </c>
      <c r="H38" s="58">
        <v>41892</v>
      </c>
      <c r="I38" s="58" t="s">
        <v>22</v>
      </c>
      <c r="J38" s="58">
        <v>41895</v>
      </c>
      <c r="K38" s="59" t="s">
        <v>42</v>
      </c>
    </row>
    <row r="39" spans="1:11" hidden="1" x14ac:dyDescent="0.2">
      <c r="A39" s="55" t="s">
        <v>45</v>
      </c>
      <c r="B39" s="56">
        <v>13.45</v>
      </c>
      <c r="C39" s="48">
        <v>0</v>
      </c>
      <c r="D39" s="48">
        <v>1</v>
      </c>
      <c r="E39" s="57">
        <v>0</v>
      </c>
      <c r="F39" s="57">
        <v>1</v>
      </c>
      <c r="G39" s="48">
        <v>0</v>
      </c>
      <c r="H39" s="58">
        <v>41892</v>
      </c>
      <c r="I39" s="58" t="s">
        <v>22</v>
      </c>
      <c r="J39" s="58">
        <v>41895</v>
      </c>
      <c r="K39" s="59" t="s">
        <v>45</v>
      </c>
    </row>
    <row r="40" spans="1:11" x14ac:dyDescent="0.2">
      <c r="A40" s="55" t="s">
        <v>70</v>
      </c>
      <c r="B40" s="56">
        <v>14</v>
      </c>
      <c r="C40" s="48">
        <v>0</v>
      </c>
      <c r="D40" s="48">
        <v>1</v>
      </c>
      <c r="E40" s="57">
        <v>0</v>
      </c>
      <c r="F40" s="57">
        <v>0</v>
      </c>
      <c r="G40" s="48">
        <v>1</v>
      </c>
      <c r="H40" s="58">
        <v>41892</v>
      </c>
      <c r="I40" s="58" t="s">
        <v>22</v>
      </c>
      <c r="J40" s="58">
        <v>41896</v>
      </c>
      <c r="K40" s="59" t="s">
        <v>181</v>
      </c>
    </row>
    <row r="41" spans="1:11" x14ac:dyDescent="0.2">
      <c r="A41" s="55" t="s">
        <v>204</v>
      </c>
      <c r="B41" s="56">
        <v>5</v>
      </c>
      <c r="C41" s="48">
        <v>0</v>
      </c>
      <c r="D41" s="48">
        <v>1</v>
      </c>
      <c r="E41" s="57">
        <v>0</v>
      </c>
      <c r="F41" s="57">
        <v>0</v>
      </c>
      <c r="G41" s="48">
        <v>1</v>
      </c>
      <c r="H41" s="58">
        <v>41892</v>
      </c>
      <c r="I41" s="58" t="s">
        <v>46</v>
      </c>
      <c r="J41" s="58">
        <v>41898</v>
      </c>
      <c r="K41" s="59" t="s">
        <v>42</v>
      </c>
    </row>
    <row r="42" spans="1:11" x14ac:dyDescent="0.2">
      <c r="A42" s="55" t="s">
        <v>49</v>
      </c>
      <c r="B42" s="56">
        <v>10</v>
      </c>
      <c r="C42" s="48">
        <v>0</v>
      </c>
      <c r="D42" s="48">
        <v>1</v>
      </c>
      <c r="E42" s="57">
        <v>0</v>
      </c>
      <c r="F42" s="57">
        <v>0</v>
      </c>
      <c r="G42" s="48">
        <v>1</v>
      </c>
      <c r="H42" s="58">
        <v>41892</v>
      </c>
      <c r="I42" s="58" t="s">
        <v>46</v>
      </c>
      <c r="J42" s="58">
        <v>41899</v>
      </c>
      <c r="K42" s="59" t="s">
        <v>181</v>
      </c>
    </row>
    <row r="43" spans="1:11" x14ac:dyDescent="0.2">
      <c r="A43" s="61" t="s">
        <v>205</v>
      </c>
      <c r="B43" s="56">
        <v>347.25</v>
      </c>
      <c r="C43" s="48">
        <v>1</v>
      </c>
      <c r="D43" s="48">
        <v>0</v>
      </c>
      <c r="E43" s="57">
        <v>0</v>
      </c>
      <c r="F43" s="57">
        <v>0</v>
      </c>
      <c r="G43" s="48">
        <v>1</v>
      </c>
      <c r="H43" s="58">
        <v>41892</v>
      </c>
      <c r="I43" s="27" t="s">
        <v>16</v>
      </c>
      <c r="J43" s="58">
        <v>41892</v>
      </c>
      <c r="K43" s="59" t="s">
        <v>206</v>
      </c>
    </row>
    <row r="44" spans="1:11" x14ac:dyDescent="0.2">
      <c r="A44" s="61" t="s">
        <v>34</v>
      </c>
      <c r="B44" s="56">
        <v>88.94</v>
      </c>
      <c r="C44" s="48">
        <v>1</v>
      </c>
      <c r="D44" s="48">
        <v>0</v>
      </c>
      <c r="E44" s="57">
        <v>0</v>
      </c>
      <c r="F44" s="57">
        <v>0</v>
      </c>
      <c r="G44" s="48">
        <v>1</v>
      </c>
      <c r="H44" s="58">
        <v>41892</v>
      </c>
      <c r="I44" s="27" t="s">
        <v>16</v>
      </c>
      <c r="J44" s="58">
        <v>41892</v>
      </c>
      <c r="K44" s="59" t="s">
        <v>206</v>
      </c>
    </row>
    <row r="45" spans="1:11" x14ac:dyDescent="0.2">
      <c r="A45" s="55" t="s">
        <v>21</v>
      </c>
      <c r="B45" s="56">
        <v>237.49</v>
      </c>
      <c r="C45" s="48">
        <v>1</v>
      </c>
      <c r="D45" s="48">
        <v>0</v>
      </c>
      <c r="E45" s="57">
        <v>0</v>
      </c>
      <c r="F45" s="57">
        <v>0</v>
      </c>
      <c r="G45" s="48">
        <v>1</v>
      </c>
      <c r="H45" s="58">
        <v>41892</v>
      </c>
      <c r="I45" s="27" t="s">
        <v>16</v>
      </c>
      <c r="J45" s="58">
        <v>41892</v>
      </c>
      <c r="K45" s="59" t="s">
        <v>206</v>
      </c>
    </row>
    <row r="46" spans="1:11" x14ac:dyDescent="0.2">
      <c r="A46" s="61" t="s">
        <v>207</v>
      </c>
      <c r="B46" s="62">
        <v>80</v>
      </c>
      <c r="C46" s="48">
        <v>1</v>
      </c>
      <c r="D46" s="48">
        <v>0</v>
      </c>
      <c r="E46" s="57">
        <v>0</v>
      </c>
      <c r="F46" s="57">
        <v>0</v>
      </c>
      <c r="G46" s="48">
        <v>1</v>
      </c>
      <c r="H46" s="58">
        <v>41892</v>
      </c>
      <c r="I46" s="27" t="s">
        <v>16</v>
      </c>
      <c r="J46" s="58">
        <v>41892</v>
      </c>
      <c r="K46" s="59" t="s">
        <v>206</v>
      </c>
    </row>
    <row r="47" spans="1:11" x14ac:dyDescent="0.2">
      <c r="A47" s="61" t="s">
        <v>21</v>
      </c>
      <c r="B47" s="56">
        <v>164.8</v>
      </c>
      <c r="C47" s="48">
        <v>1</v>
      </c>
      <c r="D47" s="48">
        <v>0</v>
      </c>
      <c r="E47" s="57">
        <v>0</v>
      </c>
      <c r="F47" s="57">
        <v>0</v>
      </c>
      <c r="G47" s="48">
        <v>1</v>
      </c>
      <c r="H47" s="58">
        <v>41892</v>
      </c>
      <c r="I47" s="27" t="s">
        <v>16</v>
      </c>
      <c r="J47" s="58">
        <v>41892</v>
      </c>
      <c r="K47" s="59" t="s">
        <v>206</v>
      </c>
    </row>
    <row r="48" spans="1:11" x14ac:dyDescent="0.2">
      <c r="A48" s="61" t="s">
        <v>208</v>
      </c>
      <c r="B48" s="63">
        <v>501.76</v>
      </c>
      <c r="C48" s="48">
        <v>1</v>
      </c>
      <c r="D48" s="48">
        <v>0</v>
      </c>
      <c r="E48" s="57">
        <v>0</v>
      </c>
      <c r="F48" s="57">
        <v>0</v>
      </c>
      <c r="G48" s="48">
        <v>1</v>
      </c>
      <c r="H48" s="58">
        <v>41892</v>
      </c>
      <c r="I48" s="27" t="s">
        <v>16</v>
      </c>
      <c r="J48" s="58">
        <v>41892</v>
      </c>
      <c r="K48" s="59" t="s">
        <v>206</v>
      </c>
    </row>
    <row r="49" spans="1:11" x14ac:dyDescent="0.2">
      <c r="A49" s="61" t="s">
        <v>209</v>
      </c>
      <c r="B49" s="63">
        <v>38.5</v>
      </c>
      <c r="C49" s="48">
        <v>1</v>
      </c>
      <c r="D49" s="48">
        <v>0</v>
      </c>
      <c r="E49" s="57">
        <v>0</v>
      </c>
      <c r="F49" s="57">
        <v>0</v>
      </c>
      <c r="G49" s="48">
        <v>1</v>
      </c>
      <c r="H49" s="58">
        <v>41892</v>
      </c>
      <c r="I49" s="27" t="s">
        <v>16</v>
      </c>
      <c r="J49" s="58">
        <v>41892</v>
      </c>
      <c r="K49" s="59" t="s">
        <v>206</v>
      </c>
    </row>
    <row r="50" spans="1:11" x14ac:dyDescent="0.2">
      <c r="A50" s="61" t="s">
        <v>210</v>
      </c>
      <c r="B50" s="63">
        <v>282.25</v>
      </c>
      <c r="C50" s="48">
        <v>1</v>
      </c>
      <c r="D50" s="48">
        <v>0</v>
      </c>
      <c r="E50" s="57">
        <v>0</v>
      </c>
      <c r="F50" s="57">
        <v>0</v>
      </c>
      <c r="G50" s="48">
        <v>1</v>
      </c>
      <c r="H50" s="58">
        <v>41892</v>
      </c>
      <c r="I50" s="27" t="s">
        <v>16</v>
      </c>
      <c r="J50" s="58">
        <v>41892</v>
      </c>
      <c r="K50" s="59" t="s">
        <v>206</v>
      </c>
    </row>
    <row r="51" spans="1:11" x14ac:dyDescent="0.2">
      <c r="A51" s="61" t="s">
        <v>54</v>
      </c>
      <c r="B51" s="64">
        <v>40.78</v>
      </c>
      <c r="C51" s="48">
        <v>1</v>
      </c>
      <c r="D51" s="48">
        <v>0</v>
      </c>
      <c r="E51" s="57">
        <v>0</v>
      </c>
      <c r="F51" s="57">
        <v>0</v>
      </c>
      <c r="G51" s="48">
        <v>1</v>
      </c>
      <c r="H51" s="58">
        <v>41892</v>
      </c>
      <c r="I51" s="27" t="s">
        <v>16</v>
      </c>
      <c r="J51" s="58">
        <v>41892</v>
      </c>
      <c r="K51" s="59" t="s">
        <v>206</v>
      </c>
    </row>
    <row r="52" spans="1:11" x14ac:dyDescent="0.2">
      <c r="A52" s="55" t="s">
        <v>18</v>
      </c>
      <c r="B52" s="62">
        <v>50</v>
      </c>
      <c r="C52" s="48">
        <v>1</v>
      </c>
      <c r="D52" s="48">
        <v>0</v>
      </c>
      <c r="E52" s="57">
        <v>0</v>
      </c>
      <c r="F52" s="57">
        <v>0</v>
      </c>
      <c r="G52" s="48">
        <v>1</v>
      </c>
      <c r="H52" s="58">
        <v>41892</v>
      </c>
      <c r="I52" s="27" t="s">
        <v>16</v>
      </c>
      <c r="J52" s="58">
        <v>41892</v>
      </c>
      <c r="K52" s="59" t="s">
        <v>206</v>
      </c>
    </row>
    <row r="53" spans="1:11" x14ac:dyDescent="0.2">
      <c r="A53" s="65" t="s">
        <v>19</v>
      </c>
      <c r="B53" s="64">
        <v>51.9</v>
      </c>
      <c r="C53" s="48">
        <v>1</v>
      </c>
      <c r="D53" s="48">
        <v>0</v>
      </c>
      <c r="E53" s="57">
        <v>0</v>
      </c>
      <c r="F53" s="57">
        <v>0</v>
      </c>
      <c r="G53" s="48">
        <v>1</v>
      </c>
      <c r="H53" s="58">
        <v>41892</v>
      </c>
      <c r="I53" s="27" t="s">
        <v>16</v>
      </c>
      <c r="J53" s="58">
        <v>41892</v>
      </c>
      <c r="K53" s="59" t="s">
        <v>206</v>
      </c>
    </row>
    <row r="54" spans="1:11" x14ac:dyDescent="0.2">
      <c r="A54" s="65" t="s">
        <v>37</v>
      </c>
      <c r="B54" s="64">
        <v>41</v>
      </c>
      <c r="C54" s="48">
        <v>1</v>
      </c>
      <c r="D54" s="48">
        <v>0</v>
      </c>
      <c r="E54" s="57">
        <v>0</v>
      </c>
      <c r="F54" s="57">
        <v>0</v>
      </c>
      <c r="G54" s="48">
        <v>1</v>
      </c>
      <c r="H54" s="58">
        <v>41892</v>
      </c>
      <c r="I54" s="27" t="s">
        <v>16</v>
      </c>
      <c r="J54" s="58">
        <v>41892</v>
      </c>
      <c r="K54" s="59" t="s">
        <v>206</v>
      </c>
    </row>
    <row r="55" spans="1:11" x14ac:dyDescent="0.2">
      <c r="A55" s="61" t="s">
        <v>15</v>
      </c>
      <c r="B55" s="64">
        <v>4.99</v>
      </c>
      <c r="C55" s="48">
        <v>1</v>
      </c>
      <c r="D55" s="48">
        <v>0</v>
      </c>
      <c r="E55" s="57">
        <v>0</v>
      </c>
      <c r="F55" s="57">
        <v>0</v>
      </c>
      <c r="G55" s="48">
        <v>1</v>
      </c>
      <c r="H55" s="58">
        <v>41892</v>
      </c>
      <c r="I55" s="27" t="s">
        <v>16</v>
      </c>
      <c r="J55" s="58">
        <v>41892</v>
      </c>
      <c r="K55" s="59" t="s">
        <v>206</v>
      </c>
    </row>
    <row r="56" spans="1:11" x14ac:dyDescent="0.2">
      <c r="A56" s="61" t="s">
        <v>211</v>
      </c>
      <c r="B56" s="62">
        <v>400</v>
      </c>
      <c r="C56" s="48">
        <v>1</v>
      </c>
      <c r="D56" s="48">
        <v>0</v>
      </c>
      <c r="E56" s="57">
        <v>1</v>
      </c>
      <c r="F56" s="57">
        <v>0</v>
      </c>
      <c r="G56" s="48">
        <v>1</v>
      </c>
      <c r="H56" s="58">
        <v>41922</v>
      </c>
      <c r="I56" s="27" t="s">
        <v>16</v>
      </c>
      <c r="J56" s="58">
        <v>41922</v>
      </c>
      <c r="K56" s="59" t="s">
        <v>206</v>
      </c>
    </row>
    <row r="57" spans="1:11" x14ac:dyDescent="0.2">
      <c r="A57" s="61" t="s">
        <v>26</v>
      </c>
      <c r="B57" s="56">
        <v>120</v>
      </c>
      <c r="C57" s="48">
        <v>1</v>
      </c>
      <c r="D57" s="48">
        <v>0</v>
      </c>
      <c r="E57" s="57">
        <v>0</v>
      </c>
      <c r="F57" s="57">
        <v>0</v>
      </c>
      <c r="G57" s="48">
        <v>1</v>
      </c>
      <c r="H57" s="58">
        <v>41892</v>
      </c>
      <c r="I57" s="27" t="s">
        <v>16</v>
      </c>
      <c r="J57" s="58">
        <v>41892</v>
      </c>
      <c r="K57" s="59" t="s">
        <v>206</v>
      </c>
    </row>
    <row r="58" spans="1:11" x14ac:dyDescent="0.2">
      <c r="A58" s="61" t="s">
        <v>24</v>
      </c>
      <c r="B58" s="66">
        <v>536.46</v>
      </c>
      <c r="C58" s="48">
        <v>1</v>
      </c>
      <c r="D58" s="48">
        <v>0</v>
      </c>
      <c r="E58" s="57">
        <v>0</v>
      </c>
      <c r="F58" s="57">
        <v>0</v>
      </c>
      <c r="G58" s="48">
        <v>1</v>
      </c>
      <c r="H58" s="58">
        <v>41892</v>
      </c>
      <c r="I58" s="27" t="s">
        <v>16</v>
      </c>
      <c r="J58" s="58">
        <v>41892</v>
      </c>
      <c r="K58" s="59" t="s">
        <v>206</v>
      </c>
    </row>
    <row r="59" spans="1:11" x14ac:dyDescent="0.2">
      <c r="A59" s="61" t="s">
        <v>35</v>
      </c>
      <c r="B59" s="62">
        <v>2445.1999999999998</v>
      </c>
      <c r="C59" s="48">
        <v>1</v>
      </c>
      <c r="D59" s="48">
        <v>0</v>
      </c>
      <c r="E59" s="57">
        <v>0</v>
      </c>
      <c r="F59" s="57">
        <v>0</v>
      </c>
      <c r="G59" s="48">
        <v>1</v>
      </c>
      <c r="H59" s="58">
        <v>41892</v>
      </c>
      <c r="I59" s="27" t="s">
        <v>16</v>
      </c>
      <c r="J59" s="58">
        <v>41892</v>
      </c>
      <c r="K59" s="59" t="s">
        <v>206</v>
      </c>
    </row>
    <row r="60" spans="1:11" x14ac:dyDescent="0.2">
      <c r="A60" s="61" t="s">
        <v>211</v>
      </c>
      <c r="B60" s="62">
        <v>400</v>
      </c>
      <c r="C60" s="57">
        <v>1</v>
      </c>
      <c r="D60" s="57">
        <v>0</v>
      </c>
      <c r="E60" s="57">
        <v>0</v>
      </c>
      <c r="F60" s="57">
        <v>0</v>
      </c>
      <c r="G60" s="57">
        <v>1</v>
      </c>
      <c r="H60" s="58">
        <v>41892</v>
      </c>
      <c r="I60" s="27" t="s">
        <v>16</v>
      </c>
      <c r="J60" s="58">
        <v>41892</v>
      </c>
      <c r="K60" s="59" t="s">
        <v>206</v>
      </c>
    </row>
    <row r="61" spans="1:11" x14ac:dyDescent="0.2">
      <c r="A61" s="61" t="s">
        <v>205</v>
      </c>
      <c r="B61" s="47">
        <v>365.57</v>
      </c>
      <c r="C61" s="57">
        <v>1</v>
      </c>
      <c r="D61" s="50">
        <v>0</v>
      </c>
      <c r="E61" s="50">
        <v>1</v>
      </c>
      <c r="F61" s="50">
        <v>0</v>
      </c>
      <c r="G61" s="50" t="e">
        <f>#N/A</f>
        <v>#N/A</v>
      </c>
      <c r="H61" s="58">
        <v>41922</v>
      </c>
      <c r="I61" s="27" t="s">
        <v>16</v>
      </c>
      <c r="J61" s="58">
        <v>41922</v>
      </c>
      <c r="K61" s="59" t="s">
        <v>206</v>
      </c>
    </row>
    <row r="62" spans="1:11" hidden="1" x14ac:dyDescent="0.2">
      <c r="A62" s="61" t="s">
        <v>65</v>
      </c>
      <c r="B62" s="53">
        <v>60</v>
      </c>
      <c r="C62" s="57">
        <v>1</v>
      </c>
      <c r="D62" s="50">
        <v>0</v>
      </c>
      <c r="E62" s="50">
        <v>0</v>
      </c>
      <c r="F62" s="50">
        <v>1</v>
      </c>
      <c r="G62" s="50" t="e">
        <f>#N/A</f>
        <v>#N/A</v>
      </c>
      <c r="H62" s="28">
        <v>41892</v>
      </c>
      <c r="I62" s="27" t="s">
        <v>22</v>
      </c>
      <c r="J62" s="28">
        <v>41902</v>
      </c>
      <c r="K62" s="27" t="s">
        <v>32</v>
      </c>
    </row>
    <row r="63" spans="1:11" hidden="1" x14ac:dyDescent="0.2">
      <c r="A63" s="61" t="s">
        <v>212</v>
      </c>
      <c r="B63" s="53">
        <v>6</v>
      </c>
      <c r="C63" s="57">
        <v>0</v>
      </c>
      <c r="D63" s="50">
        <v>1</v>
      </c>
      <c r="E63" s="50">
        <v>0</v>
      </c>
      <c r="F63" s="50">
        <v>1</v>
      </c>
      <c r="G63" s="50" t="e">
        <f>#N/A</f>
        <v>#N/A</v>
      </c>
      <c r="H63" s="28">
        <v>41892</v>
      </c>
      <c r="I63" s="58" t="s">
        <v>46</v>
      </c>
      <c r="J63" s="28">
        <v>41901</v>
      </c>
      <c r="K63" s="27" t="s">
        <v>42</v>
      </c>
    </row>
    <row r="64" spans="1:11" hidden="1" x14ac:dyDescent="0.2">
      <c r="A64" s="61" t="s">
        <v>213</v>
      </c>
      <c r="B64" s="53">
        <v>190</v>
      </c>
      <c r="C64" s="57">
        <v>0</v>
      </c>
      <c r="D64" s="50">
        <v>1</v>
      </c>
      <c r="E64" s="50">
        <v>0</v>
      </c>
      <c r="F64" s="50">
        <v>1</v>
      </c>
      <c r="G64" s="50" t="e">
        <f>#N/A</f>
        <v>#N/A</v>
      </c>
      <c r="H64" s="28">
        <v>41892</v>
      </c>
      <c r="I64" s="27" t="s">
        <v>22</v>
      </c>
      <c r="J64" s="28">
        <v>41902</v>
      </c>
      <c r="K64" s="27" t="s">
        <v>181</v>
      </c>
    </row>
    <row r="65" spans="1:11" hidden="1" x14ac:dyDescent="0.2">
      <c r="A65" s="61" t="s">
        <v>213</v>
      </c>
      <c r="B65" s="53">
        <v>190</v>
      </c>
      <c r="C65" s="57">
        <v>0</v>
      </c>
      <c r="D65" s="50">
        <v>1</v>
      </c>
      <c r="E65" s="50">
        <v>0</v>
      </c>
      <c r="F65" s="50">
        <v>1</v>
      </c>
      <c r="G65" s="50" t="e">
        <f>#N/A</f>
        <v>#N/A</v>
      </c>
      <c r="H65" s="28">
        <v>41922</v>
      </c>
      <c r="I65" s="27" t="s">
        <v>22</v>
      </c>
      <c r="J65" s="28">
        <v>41902</v>
      </c>
      <c r="K65" s="27" t="s">
        <v>181</v>
      </c>
    </row>
    <row r="66" spans="1:11" hidden="1" x14ac:dyDescent="0.2">
      <c r="A66" s="61" t="s">
        <v>214</v>
      </c>
      <c r="B66" s="53">
        <v>4.1100000000000003</v>
      </c>
      <c r="C66" s="57">
        <v>0</v>
      </c>
      <c r="D66" s="50">
        <v>1</v>
      </c>
      <c r="E66" s="50">
        <v>0</v>
      </c>
      <c r="F66" s="50">
        <v>1</v>
      </c>
      <c r="G66" s="50" t="e">
        <f>#N/A</f>
        <v>#N/A</v>
      </c>
      <c r="H66" s="28">
        <v>41892</v>
      </c>
      <c r="I66" s="27" t="s">
        <v>22</v>
      </c>
      <c r="J66" s="28">
        <v>41902</v>
      </c>
      <c r="K66" s="27" t="s">
        <v>42</v>
      </c>
    </row>
    <row r="67" spans="1:11" hidden="1" x14ac:dyDescent="0.2">
      <c r="A67" s="61" t="s">
        <v>68</v>
      </c>
      <c r="B67" s="53">
        <v>10.26</v>
      </c>
      <c r="C67" s="57">
        <v>0</v>
      </c>
      <c r="D67" s="50">
        <v>1</v>
      </c>
      <c r="E67" s="50">
        <v>0</v>
      </c>
      <c r="F67" s="50">
        <v>1</v>
      </c>
      <c r="G67" s="50" t="e">
        <f>#N/A</f>
        <v>#N/A</v>
      </c>
      <c r="H67" s="28">
        <v>41892</v>
      </c>
      <c r="I67" s="27" t="s">
        <v>22</v>
      </c>
      <c r="J67" s="28">
        <v>41902</v>
      </c>
      <c r="K67" s="27" t="s">
        <v>42</v>
      </c>
    </row>
    <row r="68" spans="1:11" hidden="1" x14ac:dyDescent="0.2">
      <c r="A68" s="61" t="s">
        <v>215</v>
      </c>
      <c r="B68" s="53">
        <v>2.2000000000000002</v>
      </c>
      <c r="C68" s="57">
        <v>0</v>
      </c>
      <c r="D68" s="50">
        <v>1</v>
      </c>
      <c r="E68" s="50">
        <v>0</v>
      </c>
      <c r="F68" s="50">
        <v>1</v>
      </c>
      <c r="G68" s="50" t="e">
        <f>#N/A</f>
        <v>#N/A</v>
      </c>
      <c r="H68" s="28">
        <v>41892</v>
      </c>
      <c r="I68" s="27" t="s">
        <v>22</v>
      </c>
      <c r="J68" s="28">
        <v>41902</v>
      </c>
      <c r="K68" s="27" t="s">
        <v>42</v>
      </c>
    </row>
    <row r="69" spans="1:11" x14ac:dyDescent="0.2">
      <c r="A69" s="61" t="s">
        <v>44</v>
      </c>
      <c r="B69" s="53">
        <v>30</v>
      </c>
      <c r="C69" s="57">
        <v>0</v>
      </c>
      <c r="D69" s="50">
        <v>1</v>
      </c>
      <c r="E69" s="50">
        <v>0</v>
      </c>
      <c r="F69" s="50">
        <v>0</v>
      </c>
      <c r="G69" s="50" t="e">
        <f>#N/A</f>
        <v>#N/A</v>
      </c>
      <c r="H69" s="28">
        <v>41892</v>
      </c>
      <c r="I69" s="27" t="s">
        <v>22</v>
      </c>
      <c r="J69" s="28">
        <v>41902</v>
      </c>
      <c r="K69" s="27" t="s">
        <v>181</v>
      </c>
    </row>
    <row r="70" spans="1:11" x14ac:dyDescent="0.2">
      <c r="A70" s="61" t="s">
        <v>35</v>
      </c>
      <c r="B70" s="53">
        <v>1473.69</v>
      </c>
      <c r="C70" s="67">
        <v>1</v>
      </c>
      <c r="D70" s="68">
        <f>IF(C70=0,1,0)</f>
        <v>0</v>
      </c>
      <c r="E70" s="50">
        <v>1</v>
      </c>
      <c r="F70" s="50">
        <v>0</v>
      </c>
      <c r="G70" s="50" t="e">
        <f>#N/A</f>
        <v>#N/A</v>
      </c>
      <c r="H70" s="69"/>
      <c r="I70" s="27"/>
      <c r="J70" s="27"/>
      <c r="K70" s="27"/>
    </row>
    <row r="71" spans="1:11" hidden="1" x14ac:dyDescent="0.2">
      <c r="A71" s="70" t="s">
        <v>216</v>
      </c>
      <c r="B71" s="71">
        <v>66.5</v>
      </c>
      <c r="C71" s="67">
        <v>0</v>
      </c>
      <c r="D71" s="68">
        <f>IF(C71=0,1,0)</f>
        <v>1</v>
      </c>
      <c r="E71" s="50">
        <v>0</v>
      </c>
      <c r="F71" s="68">
        <v>1</v>
      </c>
      <c r="G71" s="50" t="e">
        <f>#N/A</f>
        <v>#N/A</v>
      </c>
      <c r="H71" s="69"/>
      <c r="I71" s="27"/>
      <c r="J71" s="27"/>
      <c r="K71" s="27"/>
    </row>
    <row r="72" spans="1:11" hidden="1" x14ac:dyDescent="0.2">
      <c r="A72" s="72" t="s">
        <v>217</v>
      </c>
      <c r="B72" s="71">
        <v>134.99</v>
      </c>
      <c r="C72" s="67">
        <v>0</v>
      </c>
      <c r="D72" s="68">
        <f>IF(C72=0,1,0)</f>
        <v>1</v>
      </c>
      <c r="E72" s="50">
        <v>0</v>
      </c>
      <c r="F72" s="68">
        <v>1</v>
      </c>
      <c r="G72" s="50" t="e">
        <f>#N/A</f>
        <v>#N/A</v>
      </c>
      <c r="H72" s="69"/>
      <c r="I72" s="27"/>
      <c r="J72" s="27"/>
      <c r="K72" s="27"/>
    </row>
    <row r="73" spans="1:11" hidden="1" x14ac:dyDescent="0.2">
      <c r="A73" s="72" t="s">
        <v>218</v>
      </c>
      <c r="B73" s="71">
        <v>195</v>
      </c>
      <c r="C73" s="67">
        <v>0</v>
      </c>
      <c r="D73" s="68">
        <f>IF(C73=0,1,0)</f>
        <v>1</v>
      </c>
      <c r="E73" s="50">
        <v>0</v>
      </c>
      <c r="F73" s="68">
        <v>1</v>
      </c>
      <c r="G73" s="50" t="e">
        <f>#N/A</f>
        <v>#N/A</v>
      </c>
      <c r="H73" s="69"/>
      <c r="I73" s="27"/>
      <c r="J73" s="27"/>
      <c r="K73" s="27"/>
    </row>
    <row r="74" spans="1:11" hidden="1" x14ac:dyDescent="0.2">
      <c r="A74" s="72" t="s">
        <v>219</v>
      </c>
      <c r="B74" s="71">
        <v>143.4</v>
      </c>
      <c r="C74" s="67">
        <v>0</v>
      </c>
      <c r="D74" s="68">
        <f>IF(C74=0,1,0)</f>
        <v>1</v>
      </c>
      <c r="E74" s="50">
        <v>0</v>
      </c>
      <c r="F74" s="68">
        <v>1</v>
      </c>
      <c r="G74" s="50" t="e">
        <f>#N/A</f>
        <v>#N/A</v>
      </c>
      <c r="H74" s="69"/>
      <c r="I74" s="27"/>
      <c r="J74" s="27"/>
      <c r="K74" s="27"/>
    </row>
    <row r="75" spans="1:11" x14ac:dyDescent="0.2">
      <c r="A75" s="61"/>
      <c r="B75" s="53"/>
      <c r="C75" s="57"/>
      <c r="D75" s="50"/>
      <c r="E75" s="50"/>
      <c r="F75" s="50"/>
      <c r="G75" s="50"/>
      <c r="H75" s="28"/>
      <c r="I75" s="27"/>
      <c r="J75" s="28"/>
      <c r="K75" s="27"/>
    </row>
    <row r="76" spans="1:11" x14ac:dyDescent="0.2">
      <c r="A76" s="61"/>
      <c r="B76" s="53"/>
      <c r="C76" s="57"/>
      <c r="D76" s="50"/>
      <c r="E76" s="50"/>
      <c r="F76" s="50"/>
      <c r="G76" s="50"/>
      <c r="H76" s="28"/>
      <c r="I76" s="27"/>
      <c r="J76" s="28"/>
      <c r="K76" s="27"/>
    </row>
    <row r="77" spans="1:11" x14ac:dyDescent="0.2">
      <c r="A77" s="61"/>
      <c r="B77" s="53"/>
      <c r="C77" s="57"/>
      <c r="D77" s="50"/>
      <c r="E77" s="50"/>
      <c r="F77" s="50"/>
      <c r="G77" s="50"/>
      <c r="H77" s="28"/>
      <c r="I77" s="27"/>
      <c r="J77" s="28"/>
      <c r="K77" s="27"/>
    </row>
    <row r="78" spans="1:11" x14ac:dyDescent="0.2">
      <c r="A78" s="61" t="s">
        <v>126</v>
      </c>
      <c r="B78" s="53">
        <v>183.9</v>
      </c>
      <c r="C78" s="67">
        <v>0</v>
      </c>
      <c r="D78" s="50" t="e">
        <f>#N/A</f>
        <v>#N/A</v>
      </c>
      <c r="E78" s="50">
        <v>1</v>
      </c>
      <c r="F78" s="50">
        <v>0</v>
      </c>
      <c r="G78" s="50" t="e">
        <f>#N/A</f>
        <v>#N/A</v>
      </c>
      <c r="H78" s="69"/>
      <c r="I78" s="27"/>
      <c r="J78" s="27"/>
      <c r="K78" s="27"/>
    </row>
    <row r="79" spans="1:11" x14ac:dyDescent="0.2">
      <c r="A79" s="61" t="s">
        <v>128</v>
      </c>
      <c r="B79" s="53">
        <v>183.9</v>
      </c>
      <c r="C79" s="67">
        <v>0</v>
      </c>
      <c r="D79" s="50" t="e">
        <f>#N/A</f>
        <v>#N/A</v>
      </c>
      <c r="E79" s="50">
        <v>1</v>
      </c>
      <c r="F79" s="50">
        <v>0</v>
      </c>
      <c r="G79" s="50" t="e">
        <f>#N/A</f>
        <v>#N/A</v>
      </c>
      <c r="H79" s="69"/>
      <c r="I79" s="27"/>
      <c r="J79" s="27"/>
      <c r="K79" s="27"/>
    </row>
    <row r="80" spans="1:11" x14ac:dyDescent="0.2">
      <c r="A80" s="61" t="s">
        <v>130</v>
      </c>
      <c r="B80" s="53">
        <v>191.7</v>
      </c>
      <c r="C80" s="67">
        <v>0</v>
      </c>
      <c r="D80" s="50" t="e">
        <f>#N/A</f>
        <v>#N/A</v>
      </c>
      <c r="E80" s="50">
        <v>1</v>
      </c>
      <c r="F80" s="50">
        <v>0</v>
      </c>
      <c r="G80" s="50" t="e">
        <f>#N/A</f>
        <v>#N/A</v>
      </c>
      <c r="H80" s="69"/>
      <c r="I80" s="27"/>
      <c r="J80" s="27"/>
      <c r="K80" s="27"/>
    </row>
    <row r="81" spans="1:11" x14ac:dyDescent="0.2">
      <c r="A81" s="61" t="s">
        <v>132</v>
      </c>
      <c r="B81" s="53">
        <v>383.67</v>
      </c>
      <c r="C81" s="67">
        <v>0</v>
      </c>
      <c r="D81" s="50" t="e">
        <f>#N/A</f>
        <v>#N/A</v>
      </c>
      <c r="E81" s="50">
        <v>1</v>
      </c>
      <c r="F81" s="50">
        <v>0</v>
      </c>
      <c r="G81" s="50" t="e">
        <f>#N/A</f>
        <v>#N/A</v>
      </c>
      <c r="H81" s="69"/>
      <c r="I81" s="27"/>
      <c r="J81" s="27"/>
      <c r="K81" s="27"/>
    </row>
    <row r="82" spans="1:11" x14ac:dyDescent="0.2">
      <c r="A82" s="61" t="s">
        <v>134</v>
      </c>
      <c r="B82" s="53">
        <v>383.67</v>
      </c>
      <c r="C82" s="67">
        <v>0</v>
      </c>
      <c r="D82" s="50" t="e">
        <f>#N/A</f>
        <v>#N/A</v>
      </c>
      <c r="E82" s="50">
        <v>1</v>
      </c>
      <c r="F82" s="50">
        <v>0</v>
      </c>
      <c r="G82" s="50" t="e">
        <f>#N/A</f>
        <v>#N/A</v>
      </c>
      <c r="H82" s="69"/>
      <c r="I82" s="27"/>
      <c r="J82" s="27"/>
      <c r="K82" s="27"/>
    </row>
    <row r="83" spans="1:11" x14ac:dyDescent="0.2">
      <c r="A83" s="61" t="s">
        <v>136</v>
      </c>
      <c r="B83" s="53">
        <v>400.44</v>
      </c>
      <c r="C83" s="67">
        <v>0</v>
      </c>
      <c r="D83" s="50" t="e">
        <f>#N/A</f>
        <v>#N/A</v>
      </c>
      <c r="E83" s="50">
        <v>1</v>
      </c>
      <c r="F83" s="50">
        <v>0</v>
      </c>
      <c r="G83" s="50" t="e">
        <f>#N/A</f>
        <v>#N/A</v>
      </c>
      <c r="H83" s="69"/>
      <c r="I83" s="27"/>
      <c r="J83" s="27"/>
      <c r="K83" s="27"/>
    </row>
    <row r="84" spans="1:11" x14ac:dyDescent="0.2">
      <c r="A84" s="61" t="s">
        <v>138</v>
      </c>
      <c r="B84" s="53">
        <v>136.44999999999999</v>
      </c>
      <c r="C84" s="67">
        <v>0</v>
      </c>
      <c r="D84" s="50" t="e">
        <f>#N/A</f>
        <v>#N/A</v>
      </c>
      <c r="E84" s="50">
        <v>1</v>
      </c>
      <c r="F84" s="50">
        <v>0</v>
      </c>
      <c r="G84" s="50" t="e">
        <f>#N/A</f>
        <v>#N/A</v>
      </c>
      <c r="H84" s="69"/>
      <c r="I84" s="27"/>
      <c r="J84" s="27"/>
      <c r="K84" s="27"/>
    </row>
    <row r="85" spans="1:11" x14ac:dyDescent="0.2">
      <c r="A85" s="61" t="s">
        <v>140</v>
      </c>
      <c r="B85" s="53">
        <v>136.44999999999999</v>
      </c>
      <c r="C85" s="67">
        <v>0</v>
      </c>
      <c r="D85" s="50" t="e">
        <f>#N/A</f>
        <v>#N/A</v>
      </c>
      <c r="E85" s="50">
        <v>1</v>
      </c>
      <c r="F85" s="50">
        <v>0</v>
      </c>
      <c r="G85" s="50" t="e">
        <f>#N/A</f>
        <v>#N/A</v>
      </c>
      <c r="H85" s="69"/>
      <c r="I85" s="27"/>
      <c r="J85" s="27"/>
      <c r="K85" s="27"/>
    </row>
    <row r="86" spans="1:11" x14ac:dyDescent="0.2">
      <c r="A86" s="61" t="s">
        <v>142</v>
      </c>
      <c r="B86" s="53">
        <v>142</v>
      </c>
      <c r="C86" s="67">
        <v>0</v>
      </c>
      <c r="D86" s="50" t="e">
        <f>#N/A</f>
        <v>#N/A</v>
      </c>
      <c r="E86" s="50">
        <v>1</v>
      </c>
      <c r="F86" s="50">
        <v>0</v>
      </c>
      <c r="G86" s="50" t="e">
        <f>#N/A</f>
        <v>#N/A</v>
      </c>
      <c r="H86" s="69"/>
      <c r="I86" s="27"/>
      <c r="J86" s="27"/>
      <c r="K86" s="27"/>
    </row>
    <row r="87" spans="1:11" x14ac:dyDescent="0.2">
      <c r="A87" s="61" t="s">
        <v>143</v>
      </c>
      <c r="B87" s="53">
        <v>142</v>
      </c>
      <c r="C87" s="67">
        <v>0</v>
      </c>
      <c r="D87" s="50" t="e">
        <f>#N/A</f>
        <v>#N/A</v>
      </c>
      <c r="E87" s="50">
        <v>1</v>
      </c>
      <c r="F87" s="50">
        <v>0</v>
      </c>
      <c r="G87" s="50" t="e">
        <f>#N/A</f>
        <v>#N/A</v>
      </c>
      <c r="H87" s="69"/>
      <c r="I87" s="27"/>
      <c r="J87" s="27"/>
      <c r="K87" s="27"/>
    </row>
    <row r="88" spans="1:11" x14ac:dyDescent="0.2">
      <c r="A88" s="73" t="s">
        <v>144</v>
      </c>
      <c r="B88" s="74">
        <v>142</v>
      </c>
      <c r="C88" s="67">
        <v>1</v>
      </c>
      <c r="D88" s="68" t="e">
        <f>#N/A</f>
        <v>#N/A</v>
      </c>
      <c r="E88" s="50">
        <v>1</v>
      </c>
      <c r="F88" s="68">
        <v>0</v>
      </c>
      <c r="G88" s="50" t="e">
        <f>#N/A</f>
        <v>#N/A</v>
      </c>
      <c r="H88" s="69"/>
      <c r="I88" s="27"/>
      <c r="J88" s="27"/>
      <c r="K88" s="27"/>
    </row>
    <row r="89" spans="1:11" x14ac:dyDescent="0.2">
      <c r="A89" s="73" t="s">
        <v>145</v>
      </c>
      <c r="B89" s="74">
        <v>133.47999999999999</v>
      </c>
      <c r="C89" s="67">
        <v>1</v>
      </c>
      <c r="D89" s="68" t="e">
        <f>#N/A</f>
        <v>#N/A</v>
      </c>
      <c r="E89" s="50">
        <v>1</v>
      </c>
      <c r="F89" s="68">
        <v>0</v>
      </c>
      <c r="G89" s="50" t="e">
        <f>#N/A</f>
        <v>#N/A</v>
      </c>
      <c r="H89" s="69"/>
      <c r="I89" s="27"/>
      <c r="J89" s="27"/>
      <c r="K89" s="27"/>
    </row>
    <row r="90" spans="1:11" x14ac:dyDescent="0.2">
      <c r="A90" s="73" t="s">
        <v>146</v>
      </c>
      <c r="B90" s="74">
        <v>63.9</v>
      </c>
      <c r="C90" s="67">
        <v>1</v>
      </c>
      <c r="D90" s="68" t="e">
        <f>#N/A</f>
        <v>#N/A</v>
      </c>
      <c r="E90" s="50">
        <v>1</v>
      </c>
      <c r="F90" s="68">
        <v>0</v>
      </c>
      <c r="G90" s="50" t="e">
        <f>#N/A</f>
        <v>#N/A</v>
      </c>
      <c r="H90" s="69"/>
      <c r="I90" s="27"/>
      <c r="J90" s="27"/>
      <c r="K90" s="27"/>
    </row>
    <row r="91" spans="1:11" x14ac:dyDescent="0.2">
      <c r="A91" s="73" t="s">
        <v>147</v>
      </c>
      <c r="B91" s="74">
        <v>142</v>
      </c>
      <c r="C91" s="67">
        <v>1</v>
      </c>
      <c r="D91" s="68" t="e">
        <f>#N/A</f>
        <v>#N/A</v>
      </c>
      <c r="E91" s="50">
        <v>1</v>
      </c>
      <c r="F91" s="68">
        <v>0</v>
      </c>
      <c r="G91" s="50" t="e">
        <f>#N/A</f>
        <v>#N/A</v>
      </c>
      <c r="H91" s="69"/>
      <c r="I91" s="27"/>
      <c r="J91" s="27"/>
      <c r="K91" s="27"/>
    </row>
    <row r="92" spans="1:11" x14ac:dyDescent="0.2">
      <c r="A92" s="73" t="s">
        <v>148</v>
      </c>
      <c r="B92" s="74">
        <v>133.47999999999999</v>
      </c>
      <c r="C92" s="67">
        <v>1</v>
      </c>
      <c r="D92" s="68" t="e">
        <f>#N/A</f>
        <v>#N/A</v>
      </c>
      <c r="E92" s="50">
        <v>1</v>
      </c>
      <c r="F92" s="68">
        <v>0</v>
      </c>
      <c r="G92" s="50" t="e">
        <f>#N/A</f>
        <v>#N/A</v>
      </c>
      <c r="H92" s="69"/>
      <c r="I92" s="27"/>
      <c r="J92" s="27"/>
      <c r="K92" s="27"/>
    </row>
    <row r="93" spans="1:11" x14ac:dyDescent="0.2">
      <c r="A93" s="73" t="s">
        <v>149</v>
      </c>
      <c r="B93" s="74">
        <v>63.9</v>
      </c>
      <c r="C93" s="67">
        <v>1</v>
      </c>
      <c r="D93" s="68" t="e">
        <f>#N/A</f>
        <v>#N/A</v>
      </c>
      <c r="E93" s="50">
        <v>1</v>
      </c>
      <c r="F93" s="68">
        <v>0</v>
      </c>
      <c r="G93" s="50" t="e">
        <f>#N/A</f>
        <v>#N/A</v>
      </c>
      <c r="H93" s="69"/>
      <c r="I93" s="27"/>
      <c r="J93" s="27"/>
      <c r="K93" s="27"/>
    </row>
    <row r="94" spans="1:11" x14ac:dyDescent="0.2">
      <c r="A94" s="73" t="s">
        <v>150</v>
      </c>
      <c r="B94" s="74">
        <v>142</v>
      </c>
      <c r="C94" s="67">
        <v>1</v>
      </c>
      <c r="D94" s="68" t="e">
        <f>#N/A</f>
        <v>#N/A</v>
      </c>
      <c r="E94" s="50">
        <v>1</v>
      </c>
      <c r="F94" s="68">
        <v>0</v>
      </c>
      <c r="G94" s="50" t="e">
        <f>#N/A</f>
        <v>#N/A</v>
      </c>
      <c r="H94" s="69"/>
      <c r="I94" s="27"/>
      <c r="J94" s="27"/>
      <c r="K94" s="27"/>
    </row>
    <row r="95" spans="1:11" x14ac:dyDescent="0.2">
      <c r="A95" s="73" t="s">
        <v>151</v>
      </c>
      <c r="B95" s="74">
        <v>133.47999999999999</v>
      </c>
      <c r="C95" s="67">
        <v>1</v>
      </c>
      <c r="D95" s="68" t="e">
        <f>#N/A</f>
        <v>#N/A</v>
      </c>
      <c r="E95" s="50">
        <v>1</v>
      </c>
      <c r="F95" s="68">
        <v>0</v>
      </c>
      <c r="G95" s="50" t="e">
        <f>#N/A</f>
        <v>#N/A</v>
      </c>
      <c r="H95" s="69"/>
      <c r="I95" s="27"/>
      <c r="J95" s="27"/>
      <c r="K95" s="27"/>
    </row>
    <row r="96" spans="1:11" x14ac:dyDescent="0.2">
      <c r="A96" s="73" t="s">
        <v>152</v>
      </c>
      <c r="B96" s="74">
        <v>63.9</v>
      </c>
      <c r="C96" s="67">
        <v>1</v>
      </c>
      <c r="D96" s="68" t="e">
        <f>#N/A</f>
        <v>#N/A</v>
      </c>
      <c r="E96" s="50">
        <v>1</v>
      </c>
      <c r="F96" s="68">
        <v>0</v>
      </c>
      <c r="G96" s="50" t="e">
        <f>#N/A</f>
        <v>#N/A</v>
      </c>
      <c r="H96" s="69"/>
      <c r="I96" s="27"/>
      <c r="J96" s="27"/>
      <c r="K96" s="27"/>
    </row>
    <row r="97" spans="1:11" x14ac:dyDescent="0.2">
      <c r="A97" s="73" t="s">
        <v>153</v>
      </c>
      <c r="B97" s="74">
        <v>142</v>
      </c>
      <c r="C97" s="67">
        <v>1</v>
      </c>
      <c r="D97" s="68" t="e">
        <f>#N/A</f>
        <v>#N/A</v>
      </c>
      <c r="E97" s="50">
        <v>1</v>
      </c>
      <c r="F97" s="68">
        <v>0</v>
      </c>
      <c r="G97" s="50" t="e">
        <f>#N/A</f>
        <v>#N/A</v>
      </c>
      <c r="H97" s="69"/>
      <c r="I97" s="27"/>
      <c r="J97" s="27"/>
      <c r="K97" s="27"/>
    </row>
    <row r="98" spans="1:11" x14ac:dyDescent="0.2">
      <c r="A98" s="73" t="s">
        <v>154</v>
      </c>
      <c r="B98" s="74">
        <v>133.47999999999999</v>
      </c>
      <c r="C98" s="67">
        <v>1</v>
      </c>
      <c r="D98" s="68" t="e">
        <f>#N/A</f>
        <v>#N/A</v>
      </c>
      <c r="E98" s="50">
        <v>1</v>
      </c>
      <c r="F98" s="68">
        <v>0</v>
      </c>
      <c r="G98" s="50" t="e">
        <f>#N/A</f>
        <v>#N/A</v>
      </c>
      <c r="H98" s="69"/>
      <c r="I98" s="27"/>
      <c r="J98" s="27"/>
      <c r="K98" s="27"/>
    </row>
    <row r="99" spans="1:11" x14ac:dyDescent="0.2">
      <c r="A99" s="73" t="s">
        <v>155</v>
      </c>
      <c r="B99" s="74">
        <v>63.9</v>
      </c>
      <c r="C99" s="67">
        <v>1</v>
      </c>
      <c r="D99" s="68" t="e">
        <f>#N/A</f>
        <v>#N/A</v>
      </c>
      <c r="E99" s="50">
        <v>1</v>
      </c>
      <c r="F99" s="68">
        <v>0</v>
      </c>
      <c r="G99" s="50" t="e">
        <f>#N/A</f>
        <v>#N/A</v>
      </c>
      <c r="H99" s="69"/>
      <c r="I99" s="27"/>
      <c r="J99" s="27"/>
      <c r="K99" s="27"/>
    </row>
    <row r="100" spans="1:11" x14ac:dyDescent="0.2">
      <c r="A100" s="73" t="s">
        <v>156</v>
      </c>
      <c r="B100" s="74">
        <v>142</v>
      </c>
      <c r="C100" s="67">
        <v>1</v>
      </c>
      <c r="D100" s="68" t="e">
        <f>#N/A</f>
        <v>#N/A</v>
      </c>
      <c r="E100" s="50">
        <v>1</v>
      </c>
      <c r="F100" s="68">
        <v>0</v>
      </c>
      <c r="G100" s="50" t="e">
        <f>#N/A</f>
        <v>#N/A</v>
      </c>
      <c r="H100" s="69"/>
      <c r="I100" s="27"/>
      <c r="J100" s="27"/>
      <c r="K100" s="27"/>
    </row>
    <row r="101" spans="1:11" x14ac:dyDescent="0.2">
      <c r="A101" s="73" t="s">
        <v>157</v>
      </c>
      <c r="B101" s="74">
        <v>133.47999999999999</v>
      </c>
      <c r="C101" s="67">
        <v>1</v>
      </c>
      <c r="D101" s="68" t="e">
        <f>#N/A</f>
        <v>#N/A</v>
      </c>
      <c r="E101" s="50">
        <v>1</v>
      </c>
      <c r="F101" s="68">
        <v>0</v>
      </c>
      <c r="G101" s="50" t="e">
        <f>#N/A</f>
        <v>#N/A</v>
      </c>
      <c r="H101" s="69"/>
      <c r="I101" s="27"/>
      <c r="J101" s="27"/>
      <c r="K101" s="27"/>
    </row>
    <row r="102" spans="1:11" x14ac:dyDescent="0.2">
      <c r="A102" s="73" t="s">
        <v>158</v>
      </c>
      <c r="B102" s="74">
        <v>63.9</v>
      </c>
      <c r="C102" s="67">
        <v>1</v>
      </c>
      <c r="D102" s="68" t="e">
        <f>#N/A</f>
        <v>#N/A</v>
      </c>
      <c r="E102" s="50">
        <v>1</v>
      </c>
      <c r="F102" s="68">
        <v>0</v>
      </c>
      <c r="G102" s="50" t="e">
        <f>#N/A</f>
        <v>#N/A</v>
      </c>
      <c r="H102" s="69"/>
      <c r="I102" s="27"/>
      <c r="J102" s="27"/>
      <c r="K102" s="27"/>
    </row>
    <row r="103" spans="1:11" x14ac:dyDescent="0.2">
      <c r="A103" s="73" t="s">
        <v>159</v>
      </c>
      <c r="B103" s="74">
        <v>142</v>
      </c>
      <c r="C103" s="67">
        <v>1</v>
      </c>
      <c r="D103" s="68" t="e">
        <f>#N/A</f>
        <v>#N/A</v>
      </c>
      <c r="E103" s="50">
        <v>1</v>
      </c>
      <c r="F103" s="68">
        <v>0</v>
      </c>
      <c r="G103" s="50" t="e">
        <f>#N/A</f>
        <v>#N/A</v>
      </c>
      <c r="H103" s="69"/>
      <c r="I103" s="27"/>
      <c r="J103" s="27"/>
      <c r="K103" s="27"/>
    </row>
    <row r="104" spans="1:11" x14ac:dyDescent="0.2">
      <c r="A104" s="73" t="s">
        <v>160</v>
      </c>
      <c r="B104" s="74">
        <v>133.47999999999999</v>
      </c>
      <c r="C104" s="67">
        <v>1</v>
      </c>
      <c r="D104" s="68" t="e">
        <f>#N/A</f>
        <v>#N/A</v>
      </c>
      <c r="E104" s="50">
        <v>1</v>
      </c>
      <c r="F104" s="68">
        <v>0</v>
      </c>
      <c r="G104" s="50" t="e">
        <f>#N/A</f>
        <v>#N/A</v>
      </c>
      <c r="H104" s="69"/>
      <c r="I104" s="27"/>
      <c r="J104" s="27"/>
      <c r="K104" s="27"/>
    </row>
    <row r="105" spans="1:11" x14ac:dyDescent="0.2">
      <c r="A105" s="73" t="s">
        <v>161</v>
      </c>
      <c r="B105" s="74">
        <v>63.9</v>
      </c>
      <c r="C105" s="67">
        <v>1</v>
      </c>
      <c r="D105" s="68" t="e">
        <f>#N/A</f>
        <v>#N/A</v>
      </c>
      <c r="E105" s="50">
        <v>1</v>
      </c>
      <c r="F105" s="68">
        <v>0</v>
      </c>
      <c r="G105" s="50" t="e">
        <f>#N/A</f>
        <v>#N/A</v>
      </c>
      <c r="H105" s="69"/>
      <c r="I105" s="27"/>
      <c r="J105" s="27"/>
      <c r="K105" s="27"/>
    </row>
    <row r="106" spans="1:11" x14ac:dyDescent="0.2">
      <c r="A106" s="73" t="s">
        <v>162</v>
      </c>
      <c r="B106" s="74">
        <v>142</v>
      </c>
      <c r="C106" s="67">
        <v>1</v>
      </c>
      <c r="D106" s="68" t="e">
        <f>#N/A</f>
        <v>#N/A</v>
      </c>
      <c r="E106" s="50">
        <v>1</v>
      </c>
      <c r="F106" s="68">
        <v>0</v>
      </c>
      <c r="G106" s="50" t="e">
        <f>#N/A</f>
        <v>#N/A</v>
      </c>
      <c r="H106" s="69"/>
      <c r="I106" s="27"/>
      <c r="J106" s="27"/>
      <c r="K106" s="27"/>
    </row>
    <row r="107" spans="1:11" x14ac:dyDescent="0.2">
      <c r="A107" s="73" t="s">
        <v>163</v>
      </c>
      <c r="B107" s="74">
        <v>133.47999999999999</v>
      </c>
      <c r="C107" s="67">
        <v>1</v>
      </c>
      <c r="D107" s="68" t="e">
        <f>#N/A</f>
        <v>#N/A</v>
      </c>
      <c r="E107" s="50">
        <v>1</v>
      </c>
      <c r="F107" s="68">
        <v>0</v>
      </c>
      <c r="G107" s="50" t="e">
        <f>#N/A</f>
        <v>#N/A</v>
      </c>
      <c r="H107" s="69"/>
      <c r="I107" s="27"/>
      <c r="J107" s="27"/>
      <c r="K107" s="27"/>
    </row>
    <row r="108" spans="1:11" x14ac:dyDescent="0.2">
      <c r="A108" s="73" t="s">
        <v>164</v>
      </c>
      <c r="B108" s="74">
        <v>63.9</v>
      </c>
      <c r="C108" s="67">
        <v>1</v>
      </c>
      <c r="D108" s="68" t="e">
        <f>#N/A</f>
        <v>#N/A</v>
      </c>
      <c r="E108" s="50">
        <v>1</v>
      </c>
      <c r="F108" s="68">
        <v>0</v>
      </c>
      <c r="G108" s="50" t="e">
        <f>#N/A</f>
        <v>#N/A</v>
      </c>
      <c r="H108" s="69"/>
      <c r="I108" s="27"/>
      <c r="J108" s="27"/>
      <c r="K108" s="27"/>
    </row>
    <row r="109" spans="1:11" x14ac:dyDescent="0.2">
      <c r="A109" s="73" t="s">
        <v>165</v>
      </c>
      <c r="B109" s="74">
        <v>142</v>
      </c>
      <c r="C109" s="67">
        <v>1</v>
      </c>
      <c r="D109" s="68" t="e">
        <f>#N/A</f>
        <v>#N/A</v>
      </c>
      <c r="E109" s="50">
        <v>1</v>
      </c>
      <c r="F109" s="68">
        <v>0</v>
      </c>
      <c r="G109" s="50" t="e">
        <f>#N/A</f>
        <v>#N/A</v>
      </c>
      <c r="H109" s="69"/>
      <c r="I109" s="27"/>
      <c r="J109" s="27"/>
      <c r="K109" s="27"/>
    </row>
    <row r="110" spans="1:11" x14ac:dyDescent="0.2">
      <c r="A110" s="73" t="s">
        <v>166</v>
      </c>
      <c r="B110" s="74">
        <v>133.47999999999999</v>
      </c>
      <c r="C110" s="67">
        <v>1</v>
      </c>
      <c r="D110" s="68" t="e">
        <f>#N/A</f>
        <v>#N/A</v>
      </c>
      <c r="E110" s="50">
        <v>1</v>
      </c>
      <c r="F110" s="68">
        <v>0</v>
      </c>
      <c r="G110" s="50" t="e">
        <f>#N/A</f>
        <v>#N/A</v>
      </c>
      <c r="H110" s="69"/>
      <c r="I110" s="27"/>
      <c r="J110" s="27"/>
      <c r="K110" s="27"/>
    </row>
    <row r="111" spans="1:11" x14ac:dyDescent="0.2">
      <c r="A111" s="73" t="s">
        <v>167</v>
      </c>
      <c r="B111" s="74">
        <v>63.9</v>
      </c>
      <c r="C111" s="67">
        <v>1</v>
      </c>
      <c r="D111" s="68" t="e">
        <f>#N/A</f>
        <v>#N/A</v>
      </c>
      <c r="E111" s="50">
        <v>1</v>
      </c>
      <c r="F111" s="68">
        <v>0</v>
      </c>
      <c r="G111" s="50" t="e">
        <f>#N/A</f>
        <v>#N/A</v>
      </c>
      <c r="H111" s="69"/>
      <c r="I111" s="27"/>
      <c r="J111" s="27"/>
      <c r="K111" s="27"/>
    </row>
    <row r="112" spans="1:11" x14ac:dyDescent="0.2">
      <c r="A112" s="54" t="s">
        <v>168</v>
      </c>
      <c r="B112" s="54">
        <v>1174.68</v>
      </c>
      <c r="C112" s="67">
        <v>1</v>
      </c>
      <c r="D112" s="68" t="e">
        <f>#N/A</f>
        <v>#N/A</v>
      </c>
      <c r="E112" s="50">
        <v>1</v>
      </c>
      <c r="F112" s="68">
        <v>0</v>
      </c>
      <c r="G112" s="50" t="e">
        <f>#N/A</f>
        <v>#N/A</v>
      </c>
      <c r="H112" s="69"/>
      <c r="I112" s="27"/>
      <c r="J112" s="27"/>
      <c r="K112" s="27"/>
    </row>
    <row r="113" spans="1:11" x14ac:dyDescent="0.2">
      <c r="A113" s="54" t="s">
        <v>169</v>
      </c>
      <c r="B113" s="54">
        <v>127.69</v>
      </c>
      <c r="C113" s="67">
        <v>1</v>
      </c>
      <c r="D113" s="68" t="e">
        <f>#N/A</f>
        <v>#N/A</v>
      </c>
      <c r="E113" s="50">
        <v>1</v>
      </c>
      <c r="F113" s="68">
        <v>0</v>
      </c>
      <c r="G113" s="50" t="e">
        <f>#N/A</f>
        <v>#N/A</v>
      </c>
      <c r="H113" s="69"/>
      <c r="I113" s="27"/>
      <c r="J113" s="27"/>
      <c r="K113" s="27"/>
    </row>
    <row r="114" spans="1:11" x14ac:dyDescent="0.2">
      <c r="A114" s="54" t="s">
        <v>170</v>
      </c>
      <c r="B114" s="54">
        <v>297.93</v>
      </c>
      <c r="C114" s="67">
        <v>1</v>
      </c>
      <c r="D114" s="68" t="e">
        <f>#N/A</f>
        <v>#N/A</v>
      </c>
      <c r="E114" s="50">
        <v>1</v>
      </c>
      <c r="F114" s="68">
        <v>0</v>
      </c>
      <c r="G114" s="50" t="e">
        <f>#N/A</f>
        <v>#N/A</v>
      </c>
      <c r="H114" s="69"/>
      <c r="I114" s="27"/>
      <c r="J114" s="27"/>
      <c r="K114" s="27"/>
    </row>
    <row r="115" spans="1:11" x14ac:dyDescent="0.2">
      <c r="A115" s="54" t="s">
        <v>171</v>
      </c>
      <c r="B115" s="54">
        <v>68.48</v>
      </c>
      <c r="C115" s="67">
        <v>1</v>
      </c>
      <c r="D115" s="68" t="e">
        <f>#N/A</f>
        <v>#N/A</v>
      </c>
      <c r="E115" s="50">
        <v>1</v>
      </c>
      <c r="F115" s="68">
        <v>0</v>
      </c>
      <c r="G115" s="50" t="e">
        <f>#N/A</f>
        <v>#N/A</v>
      </c>
      <c r="H115" s="69"/>
      <c r="I115" s="27"/>
      <c r="J115" s="27"/>
      <c r="K115" s="27"/>
    </row>
    <row r="116" spans="1:11" x14ac:dyDescent="0.2">
      <c r="A116" s="54" t="s">
        <v>172</v>
      </c>
      <c r="B116" s="54">
        <v>434.94</v>
      </c>
      <c r="C116" s="67">
        <v>1</v>
      </c>
      <c r="D116" s="68" t="e">
        <f>#N/A</f>
        <v>#N/A</v>
      </c>
      <c r="E116" s="50">
        <v>1</v>
      </c>
      <c r="F116" s="68">
        <v>0</v>
      </c>
      <c r="G116" s="50" t="e">
        <f>#N/A</f>
        <v>#N/A</v>
      </c>
      <c r="H116" s="69"/>
      <c r="I116" s="27"/>
      <c r="J116" s="27"/>
      <c r="K116" s="27"/>
    </row>
    <row r="117" spans="1:11" x14ac:dyDescent="0.2">
      <c r="A117" s="54" t="s">
        <v>174</v>
      </c>
      <c r="B117" s="54">
        <v>379.42</v>
      </c>
      <c r="C117" s="67">
        <v>1</v>
      </c>
      <c r="D117" s="68" t="e">
        <f>#N/A</f>
        <v>#N/A</v>
      </c>
      <c r="E117" s="50">
        <v>1</v>
      </c>
      <c r="F117" s="68">
        <v>0</v>
      </c>
      <c r="G117" s="50" t="e">
        <f>#N/A</f>
        <v>#N/A</v>
      </c>
      <c r="H117" s="69"/>
      <c r="I117" s="27"/>
      <c r="J117" s="27"/>
      <c r="K117" s="27"/>
    </row>
    <row r="118" spans="1:11" x14ac:dyDescent="0.2">
      <c r="A118" s="54" t="s">
        <v>175</v>
      </c>
      <c r="B118" s="54">
        <v>195.73</v>
      </c>
      <c r="C118" s="67">
        <v>1</v>
      </c>
      <c r="D118" s="68" t="e">
        <f>#N/A</f>
        <v>#N/A</v>
      </c>
      <c r="E118" s="50">
        <v>1</v>
      </c>
      <c r="F118" s="68">
        <v>0</v>
      </c>
      <c r="G118" s="50" t="e">
        <f>#N/A</f>
        <v>#N/A</v>
      </c>
      <c r="H118" s="69"/>
      <c r="I118" s="27"/>
      <c r="J118" s="27"/>
      <c r="K118" s="27"/>
    </row>
    <row r="119" spans="1:11" x14ac:dyDescent="0.2">
      <c r="A119" s="54" t="s">
        <v>176</v>
      </c>
      <c r="B119" s="54">
        <v>186.62</v>
      </c>
      <c r="C119" s="67">
        <v>1</v>
      </c>
      <c r="D119" s="68" t="e">
        <f>#N/A</f>
        <v>#N/A</v>
      </c>
      <c r="E119" s="50">
        <v>1</v>
      </c>
      <c r="F119" s="68">
        <v>0</v>
      </c>
      <c r="G119" s="50" t="e">
        <f>#N/A</f>
        <v>#N/A</v>
      </c>
      <c r="H119" s="69"/>
      <c r="I119" s="27"/>
      <c r="J119" s="27"/>
      <c r="K119" s="27"/>
    </row>
    <row r="120" spans="1:11" x14ac:dyDescent="0.2">
      <c r="A120" s="54" t="s">
        <v>177</v>
      </c>
      <c r="B120" s="54">
        <v>153.63</v>
      </c>
    </row>
    <row r="121" spans="1:11" x14ac:dyDescent="0.2">
      <c r="A121" s="54" t="s">
        <v>178</v>
      </c>
      <c r="B121" s="54">
        <v>292.01</v>
      </c>
    </row>
    <row r="122" spans="1:11" x14ac:dyDescent="0.2">
      <c r="A122" s="54" t="s">
        <v>179</v>
      </c>
      <c r="B122" s="54">
        <v>292.01</v>
      </c>
    </row>
  </sheetData>
  <autoFilter ref="A1:K74">
    <filterColumn colId="5">
      <filters>
        <filter val="0"/>
      </filters>
    </filterColumn>
  </autoFilter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0"/>
  <sheetViews>
    <sheetView topLeftCell="A43" zoomScaleNormal="100" workbookViewId="0">
      <selection activeCell="A80" sqref="A56:A80"/>
    </sheetView>
  </sheetViews>
  <sheetFormatPr defaultRowHeight="12.75" x14ac:dyDescent="0.2"/>
  <cols>
    <col min="1" max="1" width="34.85546875"/>
    <col min="2" max="2" width="14.7109375"/>
    <col min="3" max="3" width="12.42578125"/>
    <col min="4" max="5" width="13.42578125"/>
    <col min="6" max="13" width="12.42578125"/>
    <col min="14" max="14" width="14.7109375"/>
    <col min="15" max="1025" width="12.42578125"/>
  </cols>
  <sheetData>
    <row r="1" spans="1:11" x14ac:dyDescent="0.2">
      <c r="C1" t="s">
        <v>220</v>
      </c>
      <c r="D1" t="s">
        <v>221</v>
      </c>
      <c r="E1" t="s">
        <v>222</v>
      </c>
      <c r="F1" t="s">
        <v>223</v>
      </c>
      <c r="G1" t="s">
        <v>224</v>
      </c>
      <c r="H1" t="s">
        <v>225</v>
      </c>
      <c r="I1" t="s">
        <v>103</v>
      </c>
      <c r="J1" t="s">
        <v>226</v>
      </c>
      <c r="K1" t="s">
        <v>227</v>
      </c>
    </row>
    <row r="2" spans="1:11" x14ac:dyDescent="0.2">
      <c r="A2" s="75" t="s">
        <v>65</v>
      </c>
      <c r="B2" s="76">
        <v>60</v>
      </c>
      <c r="C2">
        <v>7619</v>
      </c>
      <c r="D2" s="25">
        <f t="shared" ref="D2:D9" si="0">F2</f>
        <v>23.085802231627547</v>
      </c>
      <c r="E2">
        <v>2.5990000000000002</v>
      </c>
      <c r="F2" s="25">
        <f t="shared" ref="F2:F9" si="1">B2/E2</f>
        <v>23.085802231627547</v>
      </c>
      <c r="G2">
        <f t="shared" ref="G2:G8" si="2">C3-C2</f>
        <v>220</v>
      </c>
      <c r="H2" s="77">
        <v>41867</v>
      </c>
      <c r="I2">
        <v>1</v>
      </c>
      <c r="J2" t="s">
        <v>228</v>
      </c>
      <c r="K2" s="25">
        <f t="shared" ref="K2:K8" si="3">E2-$B$22</f>
        <v>-0.97127027027027024</v>
      </c>
    </row>
    <row r="3" spans="1:11" x14ac:dyDescent="0.2">
      <c r="A3" s="75" t="s">
        <v>65</v>
      </c>
      <c r="B3" s="76">
        <v>60</v>
      </c>
      <c r="C3">
        <v>7839</v>
      </c>
      <c r="D3" s="25">
        <f t="shared" si="0"/>
        <v>22.230455724342349</v>
      </c>
      <c r="E3">
        <v>2.6989999999999998</v>
      </c>
      <c r="F3" s="25">
        <f t="shared" si="1"/>
        <v>22.230455724342349</v>
      </c>
      <c r="G3">
        <f t="shared" si="2"/>
        <v>190</v>
      </c>
      <c r="H3" s="77">
        <v>41870</v>
      </c>
      <c r="I3">
        <v>1</v>
      </c>
      <c r="J3" t="s">
        <v>228</v>
      </c>
      <c r="K3" s="25">
        <f t="shared" si="3"/>
        <v>-0.8712702702702706</v>
      </c>
    </row>
    <row r="4" spans="1:11" x14ac:dyDescent="0.2">
      <c r="A4" s="75" t="s">
        <v>65</v>
      </c>
      <c r="B4" s="76">
        <v>60</v>
      </c>
      <c r="C4">
        <v>8029</v>
      </c>
      <c r="D4" s="25">
        <f t="shared" si="0"/>
        <v>23.085802231627547</v>
      </c>
      <c r="E4">
        <v>2.5990000000000002</v>
      </c>
      <c r="F4" s="25">
        <f t="shared" si="1"/>
        <v>23.085802231627547</v>
      </c>
      <c r="G4">
        <f t="shared" si="2"/>
        <v>331</v>
      </c>
      <c r="H4" s="77">
        <v>41908</v>
      </c>
      <c r="I4">
        <v>1</v>
      </c>
      <c r="J4" t="s">
        <v>228</v>
      </c>
      <c r="K4" s="25">
        <f t="shared" si="3"/>
        <v>-0.97127027027027024</v>
      </c>
    </row>
    <row r="5" spans="1:11" x14ac:dyDescent="0.2">
      <c r="A5" s="75" t="s">
        <v>65</v>
      </c>
      <c r="B5" s="78">
        <v>60</v>
      </c>
      <c r="C5">
        <v>8360</v>
      </c>
      <c r="D5" s="25">
        <f t="shared" si="0"/>
        <v>22.230455724342349</v>
      </c>
      <c r="E5">
        <v>2.6989999999999998</v>
      </c>
      <c r="F5" s="25">
        <f t="shared" si="1"/>
        <v>22.230455724342349</v>
      </c>
      <c r="G5">
        <f t="shared" si="2"/>
        <v>183</v>
      </c>
      <c r="H5" s="77"/>
      <c r="I5">
        <v>1</v>
      </c>
      <c r="J5" s="3" t="s">
        <v>228</v>
      </c>
      <c r="K5" s="25">
        <f t="shared" si="3"/>
        <v>-0.8712702702702706</v>
      </c>
    </row>
    <row r="6" spans="1:11" x14ac:dyDescent="0.2">
      <c r="A6" s="75" t="s">
        <v>65</v>
      </c>
      <c r="B6" s="76">
        <v>10</v>
      </c>
      <c r="C6">
        <v>8543</v>
      </c>
      <c r="D6" s="25">
        <f t="shared" si="0"/>
        <v>3.4602076124567471</v>
      </c>
      <c r="E6">
        <v>2.89</v>
      </c>
      <c r="F6" s="25">
        <f t="shared" si="1"/>
        <v>3.4602076124567471</v>
      </c>
      <c r="G6">
        <f t="shared" si="2"/>
        <v>48</v>
      </c>
      <c r="H6" s="77">
        <v>41914</v>
      </c>
      <c r="I6">
        <v>1</v>
      </c>
      <c r="J6" s="3" t="s">
        <v>228</v>
      </c>
      <c r="K6" s="25">
        <f t="shared" si="3"/>
        <v>-0.68027027027027032</v>
      </c>
    </row>
    <row r="7" spans="1:11" x14ac:dyDescent="0.2">
      <c r="A7" s="75" t="s">
        <v>65</v>
      </c>
      <c r="B7" s="76">
        <v>60</v>
      </c>
      <c r="C7">
        <v>8591</v>
      </c>
      <c r="D7" s="25">
        <f t="shared" si="0"/>
        <v>21.826118588577664</v>
      </c>
      <c r="E7">
        <v>2.7490000000000001</v>
      </c>
      <c r="F7" s="25">
        <f t="shared" si="1"/>
        <v>21.826118588577664</v>
      </c>
      <c r="G7">
        <f t="shared" si="2"/>
        <v>150</v>
      </c>
      <c r="H7" s="77">
        <v>41916</v>
      </c>
      <c r="I7">
        <v>1</v>
      </c>
      <c r="J7" s="3" t="s">
        <v>228</v>
      </c>
      <c r="K7" s="25">
        <f t="shared" si="3"/>
        <v>-0.82127027027027033</v>
      </c>
    </row>
    <row r="8" spans="1:11" x14ac:dyDescent="0.2">
      <c r="A8" s="75" t="s">
        <v>65</v>
      </c>
      <c r="B8" s="76">
        <v>60</v>
      </c>
      <c r="C8">
        <v>8741</v>
      </c>
      <c r="D8" s="25">
        <f t="shared" si="0"/>
        <v>22.230455724342349</v>
      </c>
      <c r="E8">
        <v>2.6989999999999998</v>
      </c>
      <c r="F8" s="25">
        <f t="shared" si="1"/>
        <v>22.230455724342349</v>
      </c>
      <c r="G8">
        <f t="shared" si="2"/>
        <v>199</v>
      </c>
      <c r="H8" s="77">
        <v>41922</v>
      </c>
      <c r="I8">
        <v>1</v>
      </c>
      <c r="J8" s="3" t="s">
        <v>228</v>
      </c>
      <c r="K8" s="25">
        <f t="shared" si="3"/>
        <v>-0.8712702702702706</v>
      </c>
    </row>
    <row r="9" spans="1:11" x14ac:dyDescent="0.2">
      <c r="A9" s="75" t="s">
        <v>65</v>
      </c>
      <c r="B9" s="76">
        <v>60</v>
      </c>
      <c r="C9">
        <v>8940</v>
      </c>
      <c r="D9" s="25">
        <f t="shared" si="0"/>
        <v>22.230455724342349</v>
      </c>
      <c r="E9">
        <v>2.6989999999999998</v>
      </c>
      <c r="F9" s="25">
        <f t="shared" si="1"/>
        <v>22.230455724342349</v>
      </c>
      <c r="G9">
        <v>0</v>
      </c>
      <c r="H9" s="77">
        <v>41924</v>
      </c>
      <c r="I9">
        <v>1</v>
      </c>
      <c r="J9" s="3"/>
      <c r="K9" s="25"/>
    </row>
    <row r="10" spans="1:11" x14ac:dyDescent="0.2">
      <c r="K10" s="25"/>
    </row>
    <row r="11" spans="1:11" x14ac:dyDescent="0.2">
      <c r="K11" s="25"/>
    </row>
    <row r="12" spans="1:11" x14ac:dyDescent="0.2">
      <c r="K12" s="25"/>
    </row>
    <row r="13" spans="1:11" x14ac:dyDescent="0.2">
      <c r="K13" s="25"/>
    </row>
    <row r="14" spans="1:11" x14ac:dyDescent="0.2">
      <c r="K14" s="25"/>
    </row>
    <row r="15" spans="1:11" x14ac:dyDescent="0.2">
      <c r="K15" s="25"/>
    </row>
    <row r="16" spans="1:11" x14ac:dyDescent="0.2">
      <c r="A16" s="5" t="s">
        <v>229</v>
      </c>
      <c r="B16" s="79">
        <f>SUMIF($J$2:$J$15,"s",$B$2:$B$15)</f>
        <v>370</v>
      </c>
      <c r="C16" s="80"/>
      <c r="D16" s="81">
        <f>SUMIF($J$2:$J$15,"s",D2:D15)</f>
        <v>138.14929783731657</v>
      </c>
      <c r="E16" s="79">
        <f>SUMIF($J$2:$J$15,"s",$E$2:$E$15)</f>
        <v>18.933999999999997</v>
      </c>
      <c r="F16" s="81">
        <f>SUMIF($J$2:$J$15,"s",$F$2:$F$15)</f>
        <v>138.14929783731657</v>
      </c>
      <c r="G16" s="81">
        <f>SUMIF($J$2:$J$15,"s",$G$2:$G$15)</f>
        <v>1321</v>
      </c>
      <c r="H16" s="82"/>
      <c r="I16" s="6">
        <f>SUMIF($J$2:$J$15,"s",$I$2:$I$15)</f>
        <v>7</v>
      </c>
      <c r="K16" s="25"/>
    </row>
    <row r="17" spans="1:11" x14ac:dyDescent="0.2">
      <c r="A17" s="5" t="s">
        <v>230</v>
      </c>
      <c r="B17" s="83">
        <f>B16/I16</f>
        <v>52.857142857142854</v>
      </c>
      <c r="C17" s="80"/>
      <c r="D17" s="5"/>
      <c r="E17" s="5"/>
      <c r="F17" s="5"/>
      <c r="G17" s="5"/>
      <c r="H17" s="82"/>
      <c r="I17" s="6"/>
      <c r="K17" s="25"/>
    </row>
    <row r="18" spans="1:11" x14ac:dyDescent="0.2">
      <c r="A18" s="5" t="s">
        <v>231</v>
      </c>
      <c r="B18" s="5">
        <f>D16/I16</f>
        <v>19.73561397675951</v>
      </c>
      <c r="C18" s="84"/>
      <c r="D18" s="5"/>
      <c r="E18" s="5"/>
      <c r="F18" s="5"/>
      <c r="G18" s="5"/>
      <c r="H18" s="82"/>
      <c r="I18" s="6"/>
      <c r="K18" s="25"/>
    </row>
    <row r="19" spans="1:11" x14ac:dyDescent="0.2">
      <c r="A19" s="5" t="s">
        <v>232</v>
      </c>
      <c r="B19" s="83">
        <f>E16/I16</f>
        <v>2.7048571428571426</v>
      </c>
      <c r="C19" s="82"/>
      <c r="D19" s="83"/>
      <c r="E19" s="5"/>
      <c r="F19" s="5"/>
      <c r="G19" s="5"/>
      <c r="H19" s="82"/>
      <c r="I19" s="6"/>
    </row>
    <row r="20" spans="1:11" x14ac:dyDescent="0.2">
      <c r="A20" s="5" t="s">
        <v>233</v>
      </c>
      <c r="B20" s="5">
        <f>G16/I16</f>
        <v>188.71428571428572</v>
      </c>
      <c r="C20" s="82"/>
      <c r="D20" s="5"/>
      <c r="E20" s="5"/>
      <c r="F20" s="5"/>
      <c r="G20" s="5"/>
      <c r="H20" s="82"/>
      <c r="I20" s="6"/>
    </row>
    <row r="21" spans="1:11" x14ac:dyDescent="0.2">
      <c r="A21" s="7" t="s">
        <v>234</v>
      </c>
      <c r="B21" s="7">
        <f>G16/D16</f>
        <v>9.5621188140644655</v>
      </c>
      <c r="C21" s="80"/>
      <c r="D21" s="5"/>
      <c r="E21" s="5"/>
      <c r="F21" s="5"/>
      <c r="G21" s="5"/>
      <c r="H21" s="82"/>
      <c r="I21" s="6"/>
    </row>
    <row r="22" spans="1:11" x14ac:dyDescent="0.2">
      <c r="A22" s="7" t="s">
        <v>235</v>
      </c>
      <c r="B22" s="24">
        <f>G16/B16</f>
        <v>3.5702702702702704</v>
      </c>
      <c r="C22" s="80"/>
      <c r="D22" s="5"/>
      <c r="E22" s="5"/>
      <c r="F22" s="5"/>
      <c r="G22" s="5"/>
      <c r="H22" s="82"/>
      <c r="I22" s="6"/>
    </row>
    <row r="23" spans="1:11" x14ac:dyDescent="0.2">
      <c r="A23" s="5" t="s">
        <v>236</v>
      </c>
      <c r="B23" s="83">
        <f>B18*B19</f>
        <v>53.382016433709218</v>
      </c>
      <c r="C23" s="82"/>
      <c r="D23" s="6"/>
      <c r="E23" s="6"/>
      <c r="F23" s="6"/>
      <c r="G23" s="6"/>
      <c r="H23" s="82"/>
      <c r="I23" s="6"/>
    </row>
    <row r="24" spans="1:11" x14ac:dyDescent="0.2">
      <c r="A24" s="5" t="s">
        <v>237</v>
      </c>
      <c r="B24" s="83">
        <f>B20/B21</f>
        <v>19.73561397675951</v>
      </c>
      <c r="C24" s="82"/>
      <c r="D24" s="6"/>
      <c r="E24" s="6"/>
      <c r="F24" s="6"/>
      <c r="G24" s="6"/>
      <c r="H24" s="82"/>
      <c r="I24" s="6"/>
    </row>
    <row r="26" spans="1:11" x14ac:dyDescent="0.2">
      <c r="A26" t="s">
        <v>221</v>
      </c>
      <c r="B26" t="s">
        <v>238</v>
      </c>
      <c r="C26" t="s">
        <v>239</v>
      </c>
      <c r="D26" t="s">
        <v>106</v>
      </c>
    </row>
    <row r="27" spans="1:11" x14ac:dyDescent="0.2">
      <c r="A27">
        <v>23.849</v>
      </c>
      <c r="B27">
        <v>22532</v>
      </c>
      <c r="C27">
        <v>22791</v>
      </c>
      <c r="D27">
        <v>50.75</v>
      </c>
      <c r="E27">
        <f>C27-B27</f>
        <v>259</v>
      </c>
      <c r="F27">
        <f>E27/A27</f>
        <v>10.859994129732902</v>
      </c>
    </row>
    <row r="28" spans="1:11" x14ac:dyDescent="0.2">
      <c r="A28">
        <v>34.1</v>
      </c>
      <c r="B28">
        <v>22791</v>
      </c>
      <c r="C28">
        <v>23086</v>
      </c>
      <c r="D28">
        <v>76.010000000000005</v>
      </c>
      <c r="E28">
        <f>C28-B28</f>
        <v>295</v>
      </c>
      <c r="F28">
        <f>E28/A28</f>
        <v>8.6510263929618763</v>
      </c>
    </row>
    <row r="29" spans="1:11" x14ac:dyDescent="0.2">
      <c r="A29">
        <v>34.24</v>
      </c>
      <c r="B29">
        <v>23086</v>
      </c>
      <c r="C29">
        <v>23404</v>
      </c>
      <c r="D29">
        <v>70.19</v>
      </c>
      <c r="E29">
        <f>C29-B29</f>
        <v>318</v>
      </c>
      <c r="F29">
        <f>E29/A29</f>
        <v>9.2873831775700921</v>
      </c>
    </row>
    <row r="30" spans="1:11" x14ac:dyDescent="0.2">
      <c r="A30">
        <v>13.66</v>
      </c>
      <c r="B30">
        <v>23404</v>
      </c>
      <c r="C30">
        <v>23502</v>
      </c>
      <c r="D30">
        <v>27.03</v>
      </c>
      <c r="E30">
        <f>C30-B30</f>
        <v>98</v>
      </c>
      <c r="F30">
        <f>E30/A30</f>
        <v>7.1742313323572473</v>
      </c>
    </row>
    <row r="31" spans="1:11" x14ac:dyDescent="0.2">
      <c r="A31">
        <f>SUM(A27:A30)</f>
        <v>105.84899999999999</v>
      </c>
      <c r="D31">
        <f>SUM(D27:D30)</f>
        <v>223.98</v>
      </c>
      <c r="E31">
        <f>SUM(E27:E30)</f>
        <v>970</v>
      </c>
      <c r="F31" t="s">
        <v>229</v>
      </c>
    </row>
    <row r="32" spans="1:11" x14ac:dyDescent="0.2">
      <c r="E32">
        <f>E31/A31</f>
        <v>9.1639977704087912</v>
      </c>
    </row>
    <row r="33" spans="1:2" x14ac:dyDescent="0.2">
      <c r="A33" t="s">
        <v>240</v>
      </c>
      <c r="B33" t="s">
        <v>241</v>
      </c>
    </row>
    <row r="34" spans="1:2" x14ac:dyDescent="0.2">
      <c r="A34">
        <v>13.6</v>
      </c>
      <c r="B34">
        <v>7.7</v>
      </c>
    </row>
    <row r="35" spans="1:2" x14ac:dyDescent="0.2">
      <c r="A35">
        <v>4.4000000000000004</v>
      </c>
      <c r="B35">
        <v>5.0999999999999996</v>
      </c>
    </row>
    <row r="36" spans="1:2" x14ac:dyDescent="0.2">
      <c r="A36">
        <v>5.0999999999999996</v>
      </c>
      <c r="B36">
        <v>7.4</v>
      </c>
    </row>
    <row r="37" spans="1:2" x14ac:dyDescent="0.2">
      <c r="A37">
        <v>7.4</v>
      </c>
      <c r="B37">
        <v>4.4000000000000004</v>
      </c>
    </row>
    <row r="38" spans="1:2" x14ac:dyDescent="0.2">
      <c r="A38">
        <v>6.8</v>
      </c>
      <c r="B38">
        <v>13.6</v>
      </c>
    </row>
    <row r="39" spans="1:2" x14ac:dyDescent="0.2">
      <c r="A39">
        <v>7.6</v>
      </c>
      <c r="B39">
        <v>6.3</v>
      </c>
    </row>
    <row r="40" spans="1:2" x14ac:dyDescent="0.2">
      <c r="A40">
        <v>7.7</v>
      </c>
      <c r="B40">
        <v>6.5</v>
      </c>
    </row>
    <row r="41" spans="1:2" x14ac:dyDescent="0.2">
      <c r="A41">
        <f>SUM(A34:A40)</f>
        <v>52.6</v>
      </c>
      <c r="B41">
        <f>SUM(B34:B40)</f>
        <v>51</v>
      </c>
    </row>
    <row r="56" spans="1:1" x14ac:dyDescent="0.2">
      <c r="A56">
        <v>744.8</v>
      </c>
    </row>
    <row r="57" spans="1:1" x14ac:dyDescent="0.2">
      <c r="A57" s="111">
        <v>18.829999999999998</v>
      </c>
    </row>
    <row r="58" spans="1:1" x14ac:dyDescent="0.2">
      <c r="A58" s="111">
        <v>33.6</v>
      </c>
    </row>
    <row r="59" spans="1:1" x14ac:dyDescent="0.2">
      <c r="A59" s="111">
        <v>7.9</v>
      </c>
    </row>
    <row r="60" spans="1:1" x14ac:dyDescent="0.2">
      <c r="A60" s="15">
        <v>22.9</v>
      </c>
    </row>
    <row r="61" spans="1:1" x14ac:dyDescent="0.2">
      <c r="A61" s="111">
        <v>50</v>
      </c>
    </row>
    <row r="62" spans="1:1" x14ac:dyDescent="0.2">
      <c r="A62" s="111">
        <v>12.5</v>
      </c>
    </row>
    <row r="63" spans="1:1" x14ac:dyDescent="0.2">
      <c r="A63" s="111">
        <v>30.34</v>
      </c>
    </row>
    <row r="64" spans="1:1" x14ac:dyDescent="0.2">
      <c r="A64" s="111">
        <v>50</v>
      </c>
    </row>
    <row r="65" spans="1:1" x14ac:dyDescent="0.2">
      <c r="A65" s="124" t="s">
        <v>396</v>
      </c>
    </row>
    <row r="66" spans="1:1" x14ac:dyDescent="0.2">
      <c r="A66">
        <v>10</v>
      </c>
    </row>
    <row r="67" spans="1:1" x14ac:dyDescent="0.2">
      <c r="A67">
        <v>144.69999999999999</v>
      </c>
    </row>
    <row r="68" spans="1:1" x14ac:dyDescent="0.2">
      <c r="A68">
        <v>109.78</v>
      </c>
    </row>
    <row r="69" spans="1:1" x14ac:dyDescent="0.2">
      <c r="A69">
        <v>47.77</v>
      </c>
    </row>
    <row r="70" spans="1:1" x14ac:dyDescent="0.2">
      <c r="A70">
        <v>178</v>
      </c>
    </row>
    <row r="71" spans="1:1" x14ac:dyDescent="0.2">
      <c r="A71">
        <v>71.150000000000006</v>
      </c>
    </row>
    <row r="72" spans="1:1" x14ac:dyDescent="0.2">
      <c r="A72">
        <v>20</v>
      </c>
    </row>
    <row r="73" spans="1:1" x14ac:dyDescent="0.2">
      <c r="A73">
        <v>6.5</v>
      </c>
    </row>
    <row r="74" spans="1:1" x14ac:dyDescent="0.2">
      <c r="A74">
        <v>101.64</v>
      </c>
    </row>
    <row r="75" spans="1:1" x14ac:dyDescent="0.2">
      <c r="A75">
        <v>7.5</v>
      </c>
    </row>
    <row r="76" spans="1:1" x14ac:dyDescent="0.2">
      <c r="A76">
        <v>40</v>
      </c>
    </row>
    <row r="77" spans="1:1" x14ac:dyDescent="0.2">
      <c r="A77">
        <v>17</v>
      </c>
    </row>
    <row r="78" spans="1:1" x14ac:dyDescent="0.2">
      <c r="A78">
        <v>21.9</v>
      </c>
    </row>
    <row r="79" spans="1:1" x14ac:dyDescent="0.2">
      <c r="A79">
        <v>17</v>
      </c>
    </row>
    <row r="80" spans="1:1" x14ac:dyDescent="0.2">
      <c r="A80">
        <v>213.57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zoomScaleNormal="100" workbookViewId="0">
      <selection activeCell="D22" sqref="D22"/>
    </sheetView>
  </sheetViews>
  <sheetFormatPr defaultRowHeight="12.75" x14ac:dyDescent="0.2"/>
  <cols>
    <col min="1" max="3" width="12.42578125"/>
    <col min="4" max="4" width="18.140625"/>
    <col min="5" max="5" width="14.7109375"/>
    <col min="6" max="6" width="19.28515625"/>
    <col min="7" max="1025" width="12.42578125"/>
  </cols>
  <sheetData>
    <row r="1" spans="1:6" x14ac:dyDescent="0.2">
      <c r="A1" t="s">
        <v>242</v>
      </c>
      <c r="B1" t="s">
        <v>243</v>
      </c>
      <c r="C1" s="3" t="s">
        <v>244</v>
      </c>
      <c r="D1" s="3" t="s">
        <v>245</v>
      </c>
      <c r="E1" s="3" t="s">
        <v>246</v>
      </c>
      <c r="F1" s="3" t="s">
        <v>247</v>
      </c>
    </row>
    <row r="2" spans="1:6" x14ac:dyDescent="0.2">
      <c r="A2" t="s">
        <v>4</v>
      </c>
      <c r="B2">
        <v>10</v>
      </c>
      <c r="C2">
        <v>7400.48</v>
      </c>
      <c r="D2">
        <f>SUM(D3:D6)</f>
        <v>455.12</v>
      </c>
      <c r="E2">
        <f>C2-D2</f>
        <v>6945.36</v>
      </c>
      <c r="F2">
        <f>E2</f>
        <v>6945.36</v>
      </c>
    </row>
    <row r="3" spans="1:6" x14ac:dyDescent="0.2">
      <c r="D3">
        <v>111.01</v>
      </c>
    </row>
    <row r="4" spans="1:6" x14ac:dyDescent="0.2">
      <c r="D4">
        <v>48.1</v>
      </c>
    </row>
    <row r="5" spans="1:6" x14ac:dyDescent="0.2">
      <c r="D5">
        <v>222.01</v>
      </c>
    </row>
    <row r="6" spans="1:6" x14ac:dyDescent="0.2">
      <c r="D6">
        <v>74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"/>
  <sheetViews>
    <sheetView zoomScaleNormal="100" workbookViewId="0">
      <selection activeCell="D24" sqref="D24"/>
    </sheetView>
  </sheetViews>
  <sheetFormatPr defaultRowHeight="12.75" x14ac:dyDescent="0.2"/>
  <cols>
    <col min="1" max="1" width="33.85546875"/>
    <col min="2" max="2" width="14.7109375"/>
    <col min="3" max="4" width="12.42578125"/>
    <col min="5" max="5" width="14.42578125"/>
    <col min="6" max="1025" width="12.42578125"/>
  </cols>
  <sheetData>
    <row r="1" spans="1:5" x14ac:dyDescent="0.2">
      <c r="A1" s="61" t="s">
        <v>126</v>
      </c>
      <c r="B1" s="53">
        <v>183.9</v>
      </c>
      <c r="C1">
        <v>2089</v>
      </c>
      <c r="D1">
        <v>183.69</v>
      </c>
      <c r="E1" s="1">
        <v>41578</v>
      </c>
    </row>
    <row r="2" spans="1:5" x14ac:dyDescent="0.2">
      <c r="A2" s="61" t="s">
        <v>128</v>
      </c>
      <c r="B2" s="53">
        <v>183.9</v>
      </c>
      <c r="C2">
        <v>2089</v>
      </c>
      <c r="D2">
        <v>183.69</v>
      </c>
      <c r="E2" s="1">
        <v>41670</v>
      </c>
    </row>
    <row r="3" spans="1:5" x14ac:dyDescent="0.2">
      <c r="A3" s="61" t="s">
        <v>130</v>
      </c>
      <c r="B3" s="53">
        <v>191.7</v>
      </c>
      <c r="C3">
        <v>2089</v>
      </c>
      <c r="D3">
        <v>191.7</v>
      </c>
    </row>
    <row r="4" spans="1:5" x14ac:dyDescent="0.2">
      <c r="A4" s="61" t="s">
        <v>132</v>
      </c>
      <c r="B4" s="53">
        <v>383.67</v>
      </c>
      <c r="D4">
        <v>191.7</v>
      </c>
    </row>
    <row r="5" spans="1:5" x14ac:dyDescent="0.2">
      <c r="A5" s="61" t="s">
        <v>134</v>
      </c>
      <c r="B5" s="53">
        <v>383.67</v>
      </c>
      <c r="D5">
        <v>191.7</v>
      </c>
    </row>
    <row r="6" spans="1:5" x14ac:dyDescent="0.2">
      <c r="A6" s="61" t="s">
        <v>136</v>
      </c>
      <c r="B6" s="53">
        <v>400.44</v>
      </c>
      <c r="D6">
        <v>191.7</v>
      </c>
    </row>
    <row r="7" spans="1:5" x14ac:dyDescent="0.2">
      <c r="A7" s="61" t="s">
        <v>138</v>
      </c>
      <c r="B7" s="53">
        <v>136.44999999999999</v>
      </c>
      <c r="D7">
        <v>383.67</v>
      </c>
    </row>
    <row r="8" spans="1:5" x14ac:dyDescent="0.2">
      <c r="A8" s="61" t="s">
        <v>140</v>
      </c>
      <c r="B8" s="53">
        <v>136.44999999999999</v>
      </c>
      <c r="D8">
        <v>383.67</v>
      </c>
    </row>
    <row r="9" spans="1:5" x14ac:dyDescent="0.2">
      <c r="A9" s="61" t="s">
        <v>142</v>
      </c>
      <c r="B9" s="53">
        <v>142</v>
      </c>
      <c r="D9">
        <v>400.44</v>
      </c>
    </row>
    <row r="10" spans="1:5" x14ac:dyDescent="0.2">
      <c r="A10" s="61" t="s">
        <v>143</v>
      </c>
      <c r="B10" s="53">
        <v>142</v>
      </c>
      <c r="D10">
        <v>400.44</v>
      </c>
    </row>
    <row r="11" spans="1:5" x14ac:dyDescent="0.2">
      <c r="A11" s="73" t="s">
        <v>144</v>
      </c>
      <c r="B11" s="74">
        <v>142</v>
      </c>
      <c r="D11">
        <v>400.44</v>
      </c>
    </row>
    <row r="12" spans="1:5" x14ac:dyDescent="0.2">
      <c r="A12" s="73" t="s">
        <v>145</v>
      </c>
      <c r="B12" s="74">
        <v>133.47999999999999</v>
      </c>
      <c r="D12">
        <v>400.44</v>
      </c>
    </row>
    <row r="13" spans="1:5" x14ac:dyDescent="0.2">
      <c r="A13" s="73" t="s">
        <v>146</v>
      </c>
      <c r="B13" s="74">
        <v>63.9</v>
      </c>
      <c r="C13">
        <v>2985</v>
      </c>
      <c r="D13">
        <v>136.05000000000001</v>
      </c>
      <c r="E13" s="1">
        <v>41565</v>
      </c>
    </row>
    <row r="14" spans="1:5" x14ac:dyDescent="0.2">
      <c r="A14" s="73" t="s">
        <v>147</v>
      </c>
      <c r="B14" s="74">
        <v>142</v>
      </c>
      <c r="C14">
        <v>2985</v>
      </c>
      <c r="D14">
        <v>136.05000000000001</v>
      </c>
      <c r="E14" s="1">
        <v>41628</v>
      </c>
    </row>
    <row r="15" spans="1:5" x14ac:dyDescent="0.2">
      <c r="A15" s="73" t="s">
        <v>148</v>
      </c>
      <c r="B15" s="74">
        <v>133.47999999999999</v>
      </c>
      <c r="C15">
        <v>2985</v>
      </c>
      <c r="D15">
        <v>142</v>
      </c>
      <c r="E15" s="1">
        <v>41746</v>
      </c>
    </row>
    <row r="16" spans="1:5" x14ac:dyDescent="0.2">
      <c r="A16" s="73" t="s">
        <v>149</v>
      </c>
      <c r="B16" s="74">
        <v>63.9</v>
      </c>
      <c r="C16">
        <v>2985</v>
      </c>
      <c r="D16">
        <v>142</v>
      </c>
      <c r="E16" s="1">
        <v>41779</v>
      </c>
    </row>
    <row r="17" spans="1:5" x14ac:dyDescent="0.2">
      <c r="A17" s="73" t="s">
        <v>150</v>
      </c>
      <c r="B17" s="74">
        <v>142</v>
      </c>
      <c r="C17">
        <v>2985</v>
      </c>
      <c r="D17">
        <v>142</v>
      </c>
      <c r="E17" s="1">
        <v>41810</v>
      </c>
    </row>
    <row r="18" spans="1:5" x14ac:dyDescent="0.2">
      <c r="A18" s="73" t="s">
        <v>151</v>
      </c>
      <c r="B18" s="74">
        <v>133.47999999999999</v>
      </c>
      <c r="C18">
        <v>2985</v>
      </c>
      <c r="D18">
        <v>142</v>
      </c>
      <c r="E18" s="1">
        <v>41838</v>
      </c>
    </row>
    <row r="19" spans="1:5" x14ac:dyDescent="0.2">
      <c r="A19" s="73" t="s">
        <v>152</v>
      </c>
      <c r="B19" s="74">
        <v>63.9</v>
      </c>
      <c r="C19">
        <v>2985</v>
      </c>
      <c r="D19">
        <v>142</v>
      </c>
      <c r="E19" s="1">
        <v>41871</v>
      </c>
    </row>
    <row r="20" spans="1:5" x14ac:dyDescent="0.2">
      <c r="A20" s="73" t="s">
        <v>153</v>
      </c>
      <c r="B20" s="74">
        <v>142</v>
      </c>
      <c r="C20">
        <v>2985</v>
      </c>
      <c r="D20">
        <v>142</v>
      </c>
      <c r="E20" s="1">
        <v>41901</v>
      </c>
    </row>
    <row r="21" spans="1:5" x14ac:dyDescent="0.2">
      <c r="A21" s="73" t="s">
        <v>154</v>
      </c>
      <c r="B21" s="74">
        <v>133.47999999999999</v>
      </c>
      <c r="C21">
        <v>2985</v>
      </c>
      <c r="D21">
        <v>142</v>
      </c>
      <c r="E21" s="1">
        <v>41932</v>
      </c>
    </row>
    <row r="22" spans="1:5" x14ac:dyDescent="0.2">
      <c r="A22" s="73" t="s">
        <v>155</v>
      </c>
      <c r="B22" s="74">
        <v>63.9</v>
      </c>
      <c r="C22">
        <v>2985</v>
      </c>
      <c r="D22">
        <v>142</v>
      </c>
      <c r="E22" s="1">
        <v>41963</v>
      </c>
    </row>
    <row r="23" spans="1:5" x14ac:dyDescent="0.2">
      <c r="A23" s="73" t="s">
        <v>156</v>
      </c>
      <c r="B23" s="74">
        <v>142</v>
      </c>
      <c r="D23">
        <f>SUM(D1:D22)</f>
        <v>4911.380000000001</v>
      </c>
    </row>
    <row r="24" spans="1:5" x14ac:dyDescent="0.2">
      <c r="A24" s="73" t="s">
        <v>157</v>
      </c>
      <c r="B24" s="74">
        <v>133.47999999999999</v>
      </c>
    </row>
    <row r="25" spans="1:5" x14ac:dyDescent="0.2">
      <c r="A25" s="73" t="s">
        <v>158</v>
      </c>
      <c r="B25" s="74">
        <v>63.9</v>
      </c>
    </row>
    <row r="26" spans="1:5" x14ac:dyDescent="0.2">
      <c r="A26" s="73" t="s">
        <v>159</v>
      </c>
      <c r="B26" s="74">
        <v>142</v>
      </c>
    </row>
    <row r="27" spans="1:5" x14ac:dyDescent="0.2">
      <c r="A27" s="73" t="s">
        <v>160</v>
      </c>
      <c r="B27" s="74">
        <v>133.47999999999999</v>
      </c>
    </row>
    <row r="28" spans="1:5" x14ac:dyDescent="0.2">
      <c r="A28" s="73" t="s">
        <v>161</v>
      </c>
      <c r="B28" s="74">
        <v>63.9</v>
      </c>
    </row>
    <row r="29" spans="1:5" x14ac:dyDescent="0.2">
      <c r="A29" s="73" t="s">
        <v>162</v>
      </c>
      <c r="B29" s="74">
        <v>142</v>
      </c>
    </row>
    <row r="30" spans="1:5" x14ac:dyDescent="0.2">
      <c r="A30" s="73" t="s">
        <v>163</v>
      </c>
      <c r="B30" s="74">
        <v>133.47999999999999</v>
      </c>
    </row>
    <row r="31" spans="1:5" x14ac:dyDescent="0.2">
      <c r="A31" s="73" t="s">
        <v>164</v>
      </c>
      <c r="B31" s="74">
        <v>63.9</v>
      </c>
    </row>
    <row r="32" spans="1:5" x14ac:dyDescent="0.2">
      <c r="A32" s="73" t="s">
        <v>165</v>
      </c>
      <c r="B32" s="74">
        <v>142</v>
      </c>
    </row>
    <row r="33" spans="1:2" x14ac:dyDescent="0.2">
      <c r="A33" s="73" t="s">
        <v>166</v>
      </c>
      <c r="B33" s="74">
        <v>133.47999999999999</v>
      </c>
    </row>
    <row r="34" spans="1:2" x14ac:dyDescent="0.2">
      <c r="A34" s="73" t="s">
        <v>167</v>
      </c>
      <c r="B34" s="74">
        <v>63.9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zoomScaleNormal="100" workbookViewId="0">
      <selection activeCell="B9" sqref="B9"/>
    </sheetView>
  </sheetViews>
  <sheetFormatPr defaultRowHeight="12.75" x14ac:dyDescent="0.2"/>
  <cols>
    <col min="1" max="1" width="17.85546875"/>
    <col min="2" max="2" width="20.140625"/>
    <col min="3" max="3" width="26.85546875"/>
    <col min="4" max="4" width="23.7109375"/>
    <col min="5" max="5" width="32.28515625"/>
    <col min="6" max="1025" width="12.42578125"/>
  </cols>
  <sheetData>
    <row r="1" spans="1:6" x14ac:dyDescent="0.2">
      <c r="A1" s="3" t="s">
        <v>248</v>
      </c>
      <c r="B1" s="3">
        <v>769536824</v>
      </c>
      <c r="C1" s="85">
        <v>17298092000130</v>
      </c>
      <c r="D1" s="3"/>
      <c r="E1" s="86"/>
      <c r="F1" s="3"/>
    </row>
    <row r="2" spans="1:6" x14ac:dyDescent="0.2">
      <c r="A2" t="s">
        <v>249</v>
      </c>
    </row>
    <row r="3" spans="1:6" x14ac:dyDescent="0.2">
      <c r="A3" s="87" t="s">
        <v>250</v>
      </c>
      <c r="B3" s="87">
        <v>627.92999999999995</v>
      </c>
      <c r="C3">
        <f>SUM(B3:B4)</f>
        <v>2425.11</v>
      </c>
    </row>
    <row r="4" spans="1:6" x14ac:dyDescent="0.2">
      <c r="A4" s="87" t="s">
        <v>251</v>
      </c>
      <c r="B4" s="87">
        <v>1797.18</v>
      </c>
    </row>
    <row r="5" spans="1:6" x14ac:dyDescent="0.2">
      <c r="A5" t="s">
        <v>252</v>
      </c>
    </row>
    <row r="6" spans="1:6" x14ac:dyDescent="0.2">
      <c r="A6" t="s">
        <v>253</v>
      </c>
      <c r="B6">
        <v>72.25</v>
      </c>
      <c r="C6">
        <f>SUM(B6:B12)</f>
        <v>2676.27</v>
      </c>
    </row>
    <row r="7" spans="1:6" x14ac:dyDescent="0.2">
      <c r="A7" t="s">
        <v>254</v>
      </c>
      <c r="B7">
        <v>72.25</v>
      </c>
    </row>
    <row r="8" spans="1:6" x14ac:dyDescent="0.2">
      <c r="A8" t="s">
        <v>250</v>
      </c>
      <c r="B8">
        <v>627.92999999999995</v>
      </c>
    </row>
    <row r="9" spans="1:6" x14ac:dyDescent="0.2">
      <c r="A9" t="s">
        <v>255</v>
      </c>
      <c r="B9">
        <v>105.65</v>
      </c>
    </row>
    <row r="10" spans="1:6" x14ac:dyDescent="0.2">
      <c r="A10" t="s">
        <v>256</v>
      </c>
      <c r="B10">
        <v>1617.3</v>
      </c>
    </row>
    <row r="11" spans="1:6" x14ac:dyDescent="0.2">
      <c r="A11" t="s">
        <v>257</v>
      </c>
      <c r="B11">
        <v>127.69</v>
      </c>
    </row>
    <row r="12" spans="1:6" x14ac:dyDescent="0.2">
      <c r="A12" t="s">
        <v>258</v>
      </c>
      <c r="B12">
        <v>53.2</v>
      </c>
    </row>
    <row r="13" spans="1:6" x14ac:dyDescent="0.2">
      <c r="A13" t="s">
        <v>259</v>
      </c>
    </row>
    <row r="14" spans="1:6" x14ac:dyDescent="0.2">
      <c r="A14" t="s">
        <v>251</v>
      </c>
      <c r="B14">
        <v>1532.18</v>
      </c>
      <c r="C14">
        <f>SUM(B14:B15)</f>
        <v>2401.02</v>
      </c>
    </row>
    <row r="15" spans="1:6" x14ac:dyDescent="0.2">
      <c r="A15" t="s">
        <v>251</v>
      </c>
      <c r="B15">
        <v>868.84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zoomScaleNormal="100" workbookViewId="0">
      <selection activeCell="C12" sqref="C12"/>
    </sheetView>
  </sheetViews>
  <sheetFormatPr defaultRowHeight="12.75" x14ac:dyDescent="0.2"/>
  <cols>
    <col min="1" max="1" width="14"/>
    <col min="2" max="2" width="14.42578125"/>
    <col min="3" max="3" width="9.7109375"/>
    <col min="4" max="4" width="6.85546875"/>
    <col min="5" max="7" width="14.42578125"/>
    <col min="8" max="1025" width="12.42578125"/>
  </cols>
  <sheetData>
    <row r="1" spans="1:5" x14ac:dyDescent="0.2">
      <c r="A1" t="s">
        <v>260</v>
      </c>
      <c r="B1">
        <v>903435357</v>
      </c>
    </row>
    <row r="2" spans="1:5" x14ac:dyDescent="0.2">
      <c r="A2" s="3" t="s">
        <v>261</v>
      </c>
      <c r="B2" s="77">
        <v>42119</v>
      </c>
      <c r="C2">
        <v>356.64</v>
      </c>
      <c r="D2">
        <v>2012</v>
      </c>
      <c r="E2" s="1">
        <v>40968</v>
      </c>
    </row>
    <row r="3" spans="1:5" x14ac:dyDescent="0.2">
      <c r="A3" s="3" t="s">
        <v>261</v>
      </c>
      <c r="B3" s="1">
        <v>41627</v>
      </c>
      <c r="C3">
        <v>408.88</v>
      </c>
      <c r="D3">
        <v>2011</v>
      </c>
      <c r="E3" s="1">
        <v>40598</v>
      </c>
    </row>
    <row r="4" spans="1:5" x14ac:dyDescent="0.2">
      <c r="A4" s="3" t="s">
        <v>261</v>
      </c>
      <c r="B4" s="77">
        <v>42119</v>
      </c>
      <c r="C4">
        <v>340.1</v>
      </c>
      <c r="D4">
        <v>2013</v>
      </c>
      <c r="E4" s="1">
        <v>41332</v>
      </c>
    </row>
    <row r="5" spans="1:5" x14ac:dyDescent="0.2">
      <c r="A5" s="3" t="s">
        <v>262</v>
      </c>
      <c r="B5" s="1">
        <v>42062</v>
      </c>
      <c r="C5">
        <v>150.41</v>
      </c>
      <c r="D5">
        <v>2015</v>
      </c>
      <c r="E5" s="1">
        <v>42062</v>
      </c>
    </row>
    <row r="6" spans="1:5" x14ac:dyDescent="0.2">
      <c r="A6" s="3" t="s">
        <v>262</v>
      </c>
      <c r="B6" s="1">
        <v>42062</v>
      </c>
      <c r="C6">
        <v>169.58</v>
      </c>
      <c r="D6">
        <v>2014</v>
      </c>
      <c r="E6" s="1">
        <v>42062</v>
      </c>
    </row>
    <row r="7" spans="1:5" x14ac:dyDescent="0.2">
      <c r="A7" s="3" t="s">
        <v>263</v>
      </c>
      <c r="B7" s="1">
        <v>42062</v>
      </c>
      <c r="C7">
        <v>292.01</v>
      </c>
      <c r="D7">
        <v>2015</v>
      </c>
      <c r="E7" s="1">
        <v>42062</v>
      </c>
    </row>
    <row r="8" spans="1:5" x14ac:dyDescent="0.2">
      <c r="A8" s="3" t="s">
        <v>263</v>
      </c>
      <c r="B8" s="1">
        <v>42062</v>
      </c>
      <c r="C8">
        <v>292.01</v>
      </c>
      <c r="D8">
        <v>2014</v>
      </c>
      <c r="E8" s="1">
        <v>42062</v>
      </c>
    </row>
    <row r="9" spans="1:5" x14ac:dyDescent="0.2">
      <c r="A9" s="3" t="s">
        <v>264</v>
      </c>
      <c r="B9" s="1">
        <v>42062</v>
      </c>
      <c r="C9">
        <v>72.25</v>
      </c>
      <c r="D9">
        <v>2015</v>
      </c>
      <c r="E9" s="1">
        <v>42062</v>
      </c>
    </row>
    <row r="10" spans="1:5" x14ac:dyDescent="0.2">
      <c r="A10" s="3" t="s">
        <v>264</v>
      </c>
      <c r="B10" s="1">
        <v>42062</v>
      </c>
      <c r="C10">
        <v>72.25</v>
      </c>
      <c r="D10">
        <v>2014</v>
      </c>
      <c r="E10" s="1">
        <v>42062</v>
      </c>
    </row>
    <row r="11" spans="1:5" x14ac:dyDescent="0.2">
      <c r="C11">
        <f>SUM(C2:C10)</f>
        <v>2154.13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zoomScaleNormal="100" workbookViewId="0">
      <selection activeCell="B4" sqref="B4"/>
    </sheetView>
  </sheetViews>
  <sheetFormatPr defaultRowHeight="12.75" x14ac:dyDescent="0.2"/>
  <cols>
    <col min="1" max="1025" width="12.42578125"/>
  </cols>
  <sheetData>
    <row r="1" spans="1:2" x14ac:dyDescent="0.2">
      <c r="A1" t="s">
        <v>265</v>
      </c>
      <c r="B1">
        <f>'divida empresa'!D23</f>
        <v>4911.380000000001</v>
      </c>
    </row>
    <row r="2" spans="1:2" x14ac:dyDescent="0.2">
      <c r="A2" t="s">
        <v>60</v>
      </c>
      <c r="B2">
        <f>'divida carro'!C6</f>
        <v>2676.27</v>
      </c>
    </row>
    <row r="3" spans="1:2" x14ac:dyDescent="0.2">
      <c r="A3" t="s">
        <v>173</v>
      </c>
      <c r="B3">
        <f>'divida moto'!C11</f>
        <v>2154.13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"/>
  <sheetViews>
    <sheetView zoomScaleNormal="100" workbookViewId="0">
      <selection activeCell="D5" sqref="D5"/>
    </sheetView>
  </sheetViews>
  <sheetFormatPr defaultRowHeight="12.75" x14ac:dyDescent="0.2"/>
  <cols>
    <col min="1" max="1" width="12.42578125"/>
    <col min="2" max="2" width="38.7109375"/>
    <col min="3" max="3" width="12.42578125"/>
    <col min="4" max="4" width="38.7109375"/>
    <col min="5" max="1025" width="12.42578125"/>
  </cols>
  <sheetData>
    <row r="1" spans="1:5" x14ac:dyDescent="0.2">
      <c r="A1" s="88">
        <v>42248</v>
      </c>
      <c r="B1" s="89" t="s">
        <v>266</v>
      </c>
      <c r="C1" s="90">
        <v>74.900000000000006</v>
      </c>
      <c r="D1" s="21" t="s">
        <v>267</v>
      </c>
      <c r="E1" s="91">
        <v>207.55</v>
      </c>
    </row>
    <row r="2" spans="1:5" x14ac:dyDescent="0.2">
      <c r="A2" s="88">
        <v>42251</v>
      </c>
      <c r="B2" s="90" t="s">
        <v>84</v>
      </c>
      <c r="C2" s="90">
        <v>42.31</v>
      </c>
      <c r="D2" s="21" t="s">
        <v>268</v>
      </c>
      <c r="E2" s="91">
        <v>85.75</v>
      </c>
    </row>
    <row r="3" spans="1:5" x14ac:dyDescent="0.2">
      <c r="A3" s="88">
        <v>42252</v>
      </c>
      <c r="B3" s="90" t="s">
        <v>269</v>
      </c>
      <c r="C3" s="90">
        <v>112</v>
      </c>
      <c r="D3" s="21" t="s">
        <v>270</v>
      </c>
      <c r="E3" s="91">
        <v>55.1</v>
      </c>
    </row>
    <row r="4" spans="1:5" x14ac:dyDescent="0.2">
      <c r="A4" s="88">
        <v>42252</v>
      </c>
      <c r="B4" s="90" t="s">
        <v>91</v>
      </c>
      <c r="C4" s="90">
        <v>71.8</v>
      </c>
      <c r="D4" s="21" t="s">
        <v>271</v>
      </c>
      <c r="E4" s="91">
        <v>70.5</v>
      </c>
    </row>
    <row r="5" spans="1:5" x14ac:dyDescent="0.2">
      <c r="A5" s="88">
        <v>42253</v>
      </c>
      <c r="B5" s="90" t="s">
        <v>92</v>
      </c>
      <c r="C5" s="90">
        <v>78.97</v>
      </c>
      <c r="D5" s="21" t="s">
        <v>272</v>
      </c>
      <c r="E5" s="91">
        <v>41.42</v>
      </c>
    </row>
    <row r="6" spans="1:5" x14ac:dyDescent="0.2">
      <c r="A6" s="88">
        <v>42255</v>
      </c>
      <c r="B6" s="90" t="s">
        <v>87</v>
      </c>
      <c r="C6" s="90">
        <v>11.89</v>
      </c>
      <c r="D6" s="21" t="s">
        <v>41</v>
      </c>
      <c r="E6" s="91">
        <v>42.31</v>
      </c>
    </row>
    <row r="7" spans="1:5" x14ac:dyDescent="0.2">
      <c r="A7" s="88">
        <v>42255</v>
      </c>
      <c r="B7" s="90" t="s">
        <v>84</v>
      </c>
      <c r="C7" s="90">
        <v>59.71</v>
      </c>
      <c r="D7" s="21" t="s">
        <v>273</v>
      </c>
      <c r="E7" s="91">
        <v>112</v>
      </c>
    </row>
    <row r="8" spans="1:5" x14ac:dyDescent="0.2">
      <c r="A8" s="88">
        <v>42256</v>
      </c>
      <c r="B8" s="90" t="s">
        <v>274</v>
      </c>
      <c r="C8" s="90">
        <v>70</v>
      </c>
      <c r="D8" s="21" t="s">
        <v>47</v>
      </c>
      <c r="E8" s="91">
        <v>71.8</v>
      </c>
    </row>
    <row r="9" spans="1:5" x14ac:dyDescent="0.2">
      <c r="A9" s="88">
        <v>42256</v>
      </c>
      <c r="B9" s="90" t="s">
        <v>275</v>
      </c>
      <c r="C9" s="90">
        <v>23.55</v>
      </c>
      <c r="D9" s="89" t="s">
        <v>266</v>
      </c>
      <c r="E9" s="90">
        <v>74.900000000000006</v>
      </c>
    </row>
    <row r="10" spans="1:5" x14ac:dyDescent="0.2">
      <c r="A10" s="88">
        <v>42256</v>
      </c>
      <c r="B10" s="90" t="s">
        <v>276</v>
      </c>
      <c r="C10" s="90">
        <v>46.67</v>
      </c>
      <c r="D10" s="90" t="s">
        <v>92</v>
      </c>
      <c r="E10" s="90">
        <v>78.97</v>
      </c>
    </row>
    <row r="11" spans="1:5" x14ac:dyDescent="0.2">
      <c r="A11" s="88">
        <v>42258</v>
      </c>
      <c r="B11" s="90" t="s">
        <v>277</v>
      </c>
      <c r="C11" s="90">
        <v>22.55</v>
      </c>
      <c r="D11" s="90" t="s">
        <v>87</v>
      </c>
      <c r="E11" s="90">
        <v>11.89</v>
      </c>
    </row>
    <row r="12" spans="1:5" x14ac:dyDescent="0.2">
      <c r="A12" s="88">
        <v>42258</v>
      </c>
      <c r="B12" s="90" t="s">
        <v>84</v>
      </c>
      <c r="C12" s="90">
        <v>84.68</v>
      </c>
      <c r="D12" s="90" t="s">
        <v>84</v>
      </c>
      <c r="E12" s="90">
        <v>59.71</v>
      </c>
    </row>
    <row r="13" spans="1:5" x14ac:dyDescent="0.2">
      <c r="A13" s="21"/>
      <c r="B13" s="91"/>
      <c r="C13" s="88"/>
      <c r="D13" s="90" t="s">
        <v>275</v>
      </c>
      <c r="E13" s="90">
        <v>23.55</v>
      </c>
    </row>
    <row r="14" spans="1:5" x14ac:dyDescent="0.2">
      <c r="A14" s="21"/>
      <c r="B14" s="91"/>
      <c r="C14" s="88"/>
      <c r="D14" s="90" t="s">
        <v>276</v>
      </c>
      <c r="E14" s="90">
        <v>46.67</v>
      </c>
    </row>
    <row r="15" spans="1:5" x14ac:dyDescent="0.2">
      <c r="A15" s="21"/>
      <c r="B15" s="91"/>
      <c r="C15" s="88"/>
      <c r="D15" s="90" t="s">
        <v>277</v>
      </c>
      <c r="E15" s="90">
        <v>22.55</v>
      </c>
    </row>
    <row r="16" spans="1:5" x14ac:dyDescent="0.2">
      <c r="A16" s="21"/>
      <c r="B16" s="91"/>
      <c r="C16" s="88"/>
      <c r="D16" s="90" t="s">
        <v>84</v>
      </c>
      <c r="E16" s="90">
        <v>84.68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"/>
  <sheetViews>
    <sheetView zoomScaleNormal="100" workbookViewId="0">
      <selection activeCell="B1" sqref="B1"/>
    </sheetView>
  </sheetViews>
  <sheetFormatPr defaultRowHeight="12.75" x14ac:dyDescent="0.2"/>
  <cols>
    <col min="1" max="1" width="38.7109375"/>
    <col min="2" max="1025" width="12.42578125"/>
  </cols>
  <sheetData>
    <row r="1" spans="1:2" x14ac:dyDescent="0.2">
      <c r="A1" s="3" t="s">
        <v>15</v>
      </c>
      <c r="B1">
        <v>5.32</v>
      </c>
    </row>
    <row r="2" spans="1:2" x14ac:dyDescent="0.2">
      <c r="A2" s="3" t="s">
        <v>18</v>
      </c>
      <c r="B2">
        <v>50</v>
      </c>
    </row>
    <row r="3" spans="1:2" x14ac:dyDescent="0.2">
      <c r="A3" s="3" t="s">
        <v>20</v>
      </c>
      <c r="B3">
        <v>45.74</v>
      </c>
    </row>
    <row r="4" spans="1:2" x14ac:dyDescent="0.2">
      <c r="A4" s="3" t="s">
        <v>34</v>
      </c>
      <c r="B4">
        <v>61.61</v>
      </c>
    </row>
    <row r="5" spans="1:2" x14ac:dyDescent="0.2">
      <c r="A5" s="3" t="s">
        <v>21</v>
      </c>
      <c r="B5" s="3">
        <v>236.24</v>
      </c>
    </row>
    <row r="6" spans="1:2" x14ac:dyDescent="0.2">
      <c r="A6" s="3" t="s">
        <v>24</v>
      </c>
      <c r="B6">
        <v>536.46</v>
      </c>
    </row>
    <row r="7" spans="1:2" x14ac:dyDescent="0.2">
      <c r="A7" s="3" t="s">
        <v>26</v>
      </c>
      <c r="B7">
        <v>130</v>
      </c>
    </row>
    <row r="8" spans="1:2" x14ac:dyDescent="0.2">
      <c r="A8" s="3" t="s">
        <v>278</v>
      </c>
      <c r="B8">
        <v>148.01</v>
      </c>
    </row>
    <row r="9" spans="1:2" x14ac:dyDescent="0.2">
      <c r="A9" s="3" t="s">
        <v>27</v>
      </c>
      <c r="B9">
        <v>139.13</v>
      </c>
    </row>
    <row r="10" spans="1:2" x14ac:dyDescent="0.2">
      <c r="A10" s="3" t="s">
        <v>29</v>
      </c>
      <c r="B10">
        <v>66.61</v>
      </c>
    </row>
    <row r="11" spans="1:2" x14ac:dyDescent="0.2">
      <c r="A11" s="3" t="s">
        <v>33</v>
      </c>
      <c r="B11">
        <v>1314.42</v>
      </c>
    </row>
    <row r="12" spans="1:2" x14ac:dyDescent="0.2">
      <c r="A12" s="5" t="s">
        <v>35</v>
      </c>
      <c r="B12" s="5">
        <v>3076.39</v>
      </c>
    </row>
    <row r="13" spans="1:2" x14ac:dyDescent="0.2">
      <c r="A13" s="3" t="s">
        <v>49</v>
      </c>
      <c r="B13">
        <v>400</v>
      </c>
    </row>
    <row r="14" spans="1:2" x14ac:dyDescent="0.2">
      <c r="A14" s="3" t="s">
        <v>279</v>
      </c>
      <c r="B14">
        <v>102.05</v>
      </c>
    </row>
    <row r="15" spans="1:2" x14ac:dyDescent="0.2">
      <c r="A15" s="3" t="s">
        <v>280</v>
      </c>
      <c r="B15">
        <v>169.78</v>
      </c>
    </row>
    <row r="16" spans="1:2" x14ac:dyDescent="0.2">
      <c r="A16" s="3" t="s">
        <v>281</v>
      </c>
      <c r="B16">
        <v>172.67</v>
      </c>
    </row>
    <row r="17" spans="1:2" x14ac:dyDescent="0.2">
      <c r="A17" s="3" t="s">
        <v>282</v>
      </c>
      <c r="B17">
        <v>180.32</v>
      </c>
    </row>
    <row r="18" spans="1:2" x14ac:dyDescent="0.2">
      <c r="A18" s="3" t="s">
        <v>283</v>
      </c>
      <c r="B18">
        <v>354.63</v>
      </c>
    </row>
    <row r="19" spans="1:2" x14ac:dyDescent="0.2">
      <c r="A19" s="3" t="s">
        <v>284</v>
      </c>
      <c r="B19">
        <v>189.78</v>
      </c>
    </row>
    <row r="20" spans="1:2" x14ac:dyDescent="0.2">
      <c r="A20" s="3" t="s">
        <v>285</v>
      </c>
      <c r="B20">
        <v>191.84</v>
      </c>
    </row>
    <row r="21" spans="1:2" x14ac:dyDescent="0.2">
      <c r="A21" s="3" t="s">
        <v>39</v>
      </c>
      <c r="B21">
        <v>50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zoomScaleNormal="100" workbookViewId="0">
      <selection activeCell="B4" sqref="B4"/>
    </sheetView>
  </sheetViews>
  <sheetFormatPr defaultRowHeight="12.75" x14ac:dyDescent="0.2"/>
  <cols>
    <col min="1" max="1" width="20.7109375"/>
    <col min="2" max="2" width="11.140625"/>
    <col min="3" max="3" width="17.42578125"/>
    <col min="4" max="4" width="20.85546875"/>
    <col min="5" max="5" width="15.7109375"/>
    <col min="6" max="1025" width="12.42578125"/>
  </cols>
  <sheetData>
    <row r="1" spans="1:5" ht="15" x14ac:dyDescent="0.25">
      <c r="A1" s="92" t="s">
        <v>286</v>
      </c>
      <c r="B1" s="92" t="s">
        <v>287</v>
      </c>
      <c r="C1" s="92" t="s">
        <v>288</v>
      </c>
      <c r="D1" s="92" t="s">
        <v>289</v>
      </c>
    </row>
    <row r="2" spans="1:5" ht="14.25" x14ac:dyDescent="0.2">
      <c r="A2" s="93" t="s">
        <v>290</v>
      </c>
      <c r="B2" s="94" t="s">
        <v>122</v>
      </c>
      <c r="C2" s="95">
        <v>7400</v>
      </c>
      <c r="D2" s="96" t="s">
        <v>122</v>
      </c>
    </row>
    <row r="3" spans="1:5" ht="14.25" x14ac:dyDescent="0.2">
      <c r="A3" s="93" t="s">
        <v>291</v>
      </c>
      <c r="B3" s="97">
        <v>11</v>
      </c>
      <c r="C3" s="96">
        <v>4390.24</v>
      </c>
      <c r="D3" s="95">
        <f>(C3*11)/100</f>
        <v>482.9264</v>
      </c>
    </row>
    <row r="4" spans="1:5" ht="14.25" x14ac:dyDescent="0.2">
      <c r="A4" s="93" t="s">
        <v>292</v>
      </c>
      <c r="B4" s="97">
        <v>1</v>
      </c>
      <c r="C4" s="98">
        <f>179.71*B4</f>
        <v>179.71</v>
      </c>
      <c r="D4" s="98">
        <f>C4</f>
        <v>179.71</v>
      </c>
    </row>
    <row r="5" spans="1:5" ht="14.25" x14ac:dyDescent="0.2">
      <c r="A5" s="93" t="s">
        <v>293</v>
      </c>
      <c r="B5" s="97">
        <v>27.5</v>
      </c>
      <c r="C5" s="95">
        <f>C2-D3-D4</f>
        <v>6737.3635999999997</v>
      </c>
      <c r="D5" s="95">
        <f>((C5*B5)/100)-826.15</f>
        <v>1026.6249899999998</v>
      </c>
    </row>
    <row r="6" spans="1:5" ht="15" customHeight="1" x14ac:dyDescent="0.2">
      <c r="A6" s="163" t="s">
        <v>294</v>
      </c>
      <c r="B6" s="163"/>
      <c r="C6" s="95">
        <v>7400</v>
      </c>
      <c r="D6" s="95">
        <f>SUM(D3:D5)</f>
        <v>1689.2613899999997</v>
      </c>
      <c r="E6" s="99">
        <f>C6-D6</f>
        <v>5710.7386100000003</v>
      </c>
    </row>
  </sheetData>
  <mergeCells count="1">
    <mergeCell ref="A6:B6"/>
  </mergeCells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780"/>
  <sheetViews>
    <sheetView topLeftCell="A1753" zoomScaleNormal="100" workbookViewId="0">
      <selection activeCell="A811" sqref="A811"/>
    </sheetView>
  </sheetViews>
  <sheetFormatPr defaultRowHeight="12.75" x14ac:dyDescent="0.2"/>
  <cols>
    <col min="1" max="1" width="22.28515625"/>
    <col min="2" max="1025" width="12.42578125"/>
  </cols>
  <sheetData>
    <row r="1" spans="1:1" x14ac:dyDescent="0.2">
      <c r="A1" s="100">
        <v>394321711</v>
      </c>
    </row>
    <row r="2" spans="1:1" x14ac:dyDescent="0.2">
      <c r="A2" s="100">
        <v>395304770</v>
      </c>
    </row>
    <row r="3" spans="1:1" x14ac:dyDescent="0.2">
      <c r="A3" s="100">
        <v>394315557</v>
      </c>
    </row>
    <row r="4" spans="1:1" x14ac:dyDescent="0.2">
      <c r="A4" s="100">
        <v>394454075</v>
      </c>
    </row>
    <row r="5" spans="1:1" x14ac:dyDescent="0.2">
      <c r="A5" s="100">
        <v>394467917</v>
      </c>
    </row>
    <row r="6" spans="1:1" x14ac:dyDescent="0.2">
      <c r="A6" s="100">
        <v>394607369</v>
      </c>
    </row>
    <row r="7" spans="1:1" x14ac:dyDescent="0.2">
      <c r="A7" s="100">
        <v>395108369</v>
      </c>
    </row>
    <row r="8" spans="1:1" x14ac:dyDescent="0.2">
      <c r="A8" s="100">
        <v>395234974</v>
      </c>
    </row>
    <row r="9" spans="1:1" x14ac:dyDescent="0.2">
      <c r="A9" s="100">
        <v>395544533</v>
      </c>
    </row>
    <row r="10" spans="1:1" x14ac:dyDescent="0.2">
      <c r="A10" s="100">
        <v>394484415</v>
      </c>
    </row>
    <row r="11" spans="1:1" x14ac:dyDescent="0.2">
      <c r="A11" s="100">
        <v>395234973</v>
      </c>
    </row>
    <row r="12" spans="1:1" x14ac:dyDescent="0.2">
      <c r="A12" s="100">
        <v>393431054</v>
      </c>
    </row>
    <row r="13" spans="1:1" x14ac:dyDescent="0.2">
      <c r="A13" s="100">
        <v>395157551</v>
      </c>
    </row>
    <row r="14" spans="1:1" x14ac:dyDescent="0.2">
      <c r="A14" s="100">
        <v>395182182</v>
      </c>
    </row>
    <row r="15" spans="1:1" x14ac:dyDescent="0.2">
      <c r="A15" s="100">
        <v>395394294</v>
      </c>
    </row>
    <row r="16" spans="1:1" x14ac:dyDescent="0.2">
      <c r="A16" s="100">
        <v>394715386</v>
      </c>
    </row>
    <row r="17" spans="1:1" x14ac:dyDescent="0.2">
      <c r="A17" s="100">
        <v>394778585</v>
      </c>
    </row>
    <row r="18" spans="1:1" x14ac:dyDescent="0.2">
      <c r="A18" s="100">
        <v>394352727</v>
      </c>
    </row>
    <row r="19" spans="1:1" x14ac:dyDescent="0.2">
      <c r="A19" s="100">
        <v>394353473</v>
      </c>
    </row>
    <row r="20" spans="1:1" x14ac:dyDescent="0.2">
      <c r="A20" s="100">
        <v>394498604</v>
      </c>
    </row>
    <row r="21" spans="1:1" x14ac:dyDescent="0.2">
      <c r="A21" s="100">
        <v>394446998</v>
      </c>
    </row>
    <row r="22" spans="1:1" x14ac:dyDescent="0.2">
      <c r="A22" s="100">
        <v>394472856</v>
      </c>
    </row>
    <row r="23" spans="1:1" x14ac:dyDescent="0.2">
      <c r="A23" s="100">
        <v>394587575</v>
      </c>
    </row>
    <row r="24" spans="1:1" x14ac:dyDescent="0.2">
      <c r="A24" s="100">
        <v>394452871</v>
      </c>
    </row>
    <row r="25" spans="1:1" x14ac:dyDescent="0.2">
      <c r="A25" s="100">
        <v>394531083</v>
      </c>
    </row>
    <row r="26" spans="1:1" x14ac:dyDescent="0.2">
      <c r="A26" s="100">
        <v>394451794</v>
      </c>
    </row>
    <row r="27" spans="1:1" x14ac:dyDescent="0.2">
      <c r="A27" s="100">
        <v>394602882</v>
      </c>
    </row>
    <row r="28" spans="1:1" x14ac:dyDescent="0.2">
      <c r="A28" s="100">
        <v>395411887</v>
      </c>
    </row>
    <row r="29" spans="1:1" x14ac:dyDescent="0.2">
      <c r="A29" s="100">
        <v>395221036</v>
      </c>
    </row>
    <row r="30" spans="1:1" x14ac:dyDescent="0.2">
      <c r="A30" s="100">
        <v>394690423</v>
      </c>
    </row>
    <row r="31" spans="1:1" x14ac:dyDescent="0.2">
      <c r="A31" s="100">
        <v>394698239</v>
      </c>
    </row>
    <row r="32" spans="1:1" x14ac:dyDescent="0.2">
      <c r="A32" s="100">
        <v>395402658</v>
      </c>
    </row>
    <row r="33" spans="1:1" x14ac:dyDescent="0.2">
      <c r="A33" s="100">
        <v>395300840</v>
      </c>
    </row>
    <row r="34" spans="1:1" x14ac:dyDescent="0.2">
      <c r="A34" s="100">
        <v>395234580</v>
      </c>
    </row>
    <row r="35" spans="1:1" x14ac:dyDescent="0.2">
      <c r="A35" s="100">
        <v>395234770</v>
      </c>
    </row>
    <row r="36" spans="1:1" x14ac:dyDescent="0.2">
      <c r="A36" s="100">
        <v>395238510</v>
      </c>
    </row>
    <row r="37" spans="1:1" x14ac:dyDescent="0.2">
      <c r="A37" s="100">
        <v>395448562</v>
      </c>
    </row>
    <row r="38" spans="1:1" x14ac:dyDescent="0.2">
      <c r="A38" s="100">
        <v>394680362</v>
      </c>
    </row>
    <row r="39" spans="1:1" x14ac:dyDescent="0.2">
      <c r="A39" s="100">
        <v>394559950</v>
      </c>
    </row>
    <row r="40" spans="1:1" x14ac:dyDescent="0.2">
      <c r="A40" s="100">
        <v>394686937</v>
      </c>
    </row>
    <row r="41" spans="1:1" x14ac:dyDescent="0.2">
      <c r="A41" s="100">
        <v>395454106</v>
      </c>
    </row>
    <row r="42" spans="1:1" x14ac:dyDescent="0.2">
      <c r="A42" s="100">
        <v>394724467</v>
      </c>
    </row>
    <row r="43" spans="1:1" x14ac:dyDescent="0.2">
      <c r="A43" s="100">
        <v>394724753</v>
      </c>
    </row>
    <row r="44" spans="1:1" x14ac:dyDescent="0.2">
      <c r="A44" s="100">
        <v>395244811</v>
      </c>
    </row>
    <row r="45" spans="1:1" x14ac:dyDescent="0.2">
      <c r="A45" s="100">
        <v>395244920</v>
      </c>
    </row>
    <row r="46" spans="1:1" x14ac:dyDescent="0.2">
      <c r="A46" s="100">
        <v>395250522</v>
      </c>
    </row>
    <row r="47" spans="1:1" x14ac:dyDescent="0.2">
      <c r="A47" s="100">
        <v>395251545</v>
      </c>
    </row>
    <row r="48" spans="1:1" x14ac:dyDescent="0.2">
      <c r="A48" s="100">
        <v>394741156</v>
      </c>
    </row>
    <row r="49" spans="1:1" x14ac:dyDescent="0.2">
      <c r="A49" s="100">
        <v>395255595</v>
      </c>
    </row>
    <row r="50" spans="1:1" x14ac:dyDescent="0.2">
      <c r="A50" s="100">
        <v>395258284</v>
      </c>
    </row>
    <row r="51" spans="1:1" x14ac:dyDescent="0.2">
      <c r="A51" s="100">
        <v>394646372</v>
      </c>
    </row>
    <row r="52" spans="1:1" x14ac:dyDescent="0.2">
      <c r="A52" s="100">
        <v>395327202</v>
      </c>
    </row>
    <row r="53" spans="1:1" x14ac:dyDescent="0.2">
      <c r="A53" s="100">
        <v>395481396</v>
      </c>
    </row>
    <row r="54" spans="1:1" x14ac:dyDescent="0.2">
      <c r="A54" s="100">
        <v>394799499</v>
      </c>
    </row>
    <row r="55" spans="1:1" x14ac:dyDescent="0.2">
      <c r="A55" s="100">
        <v>394801422</v>
      </c>
    </row>
    <row r="56" spans="1:1" x14ac:dyDescent="0.2">
      <c r="A56" s="100">
        <v>394803351</v>
      </c>
    </row>
    <row r="57" spans="1:1" x14ac:dyDescent="0.2">
      <c r="A57" s="100">
        <v>394797259</v>
      </c>
    </row>
    <row r="58" spans="1:1" x14ac:dyDescent="0.2">
      <c r="A58" s="100">
        <v>394808451</v>
      </c>
    </row>
    <row r="59" spans="1:1" x14ac:dyDescent="0.2">
      <c r="A59" s="100">
        <v>394645479</v>
      </c>
    </row>
    <row r="60" spans="1:1" x14ac:dyDescent="0.2">
      <c r="A60" s="100">
        <v>394232048</v>
      </c>
    </row>
    <row r="61" spans="1:1" x14ac:dyDescent="0.2">
      <c r="A61" s="100">
        <v>394737758</v>
      </c>
    </row>
    <row r="62" spans="1:1" x14ac:dyDescent="0.2">
      <c r="A62" s="100">
        <v>395079090</v>
      </c>
    </row>
    <row r="63" spans="1:1" x14ac:dyDescent="0.2">
      <c r="A63" s="100">
        <v>395266923</v>
      </c>
    </row>
    <row r="64" spans="1:1" x14ac:dyDescent="0.2">
      <c r="A64" s="100">
        <v>395115314</v>
      </c>
    </row>
    <row r="65" spans="1:1" x14ac:dyDescent="0.2">
      <c r="A65" s="100">
        <v>395428848</v>
      </c>
    </row>
    <row r="66" spans="1:1" x14ac:dyDescent="0.2">
      <c r="A66" s="100">
        <v>394452339</v>
      </c>
    </row>
    <row r="67" spans="1:1" x14ac:dyDescent="0.2">
      <c r="A67" s="100">
        <v>394710838</v>
      </c>
    </row>
    <row r="68" spans="1:1" x14ac:dyDescent="0.2">
      <c r="A68" s="100">
        <v>394890401</v>
      </c>
    </row>
    <row r="69" spans="1:1" x14ac:dyDescent="0.2">
      <c r="A69" s="100">
        <v>394636875</v>
      </c>
    </row>
    <row r="70" spans="1:1" x14ac:dyDescent="0.2">
      <c r="A70" s="100">
        <v>394839154</v>
      </c>
    </row>
    <row r="71" spans="1:1" x14ac:dyDescent="0.2">
      <c r="A71" s="100">
        <v>394841136</v>
      </c>
    </row>
    <row r="72" spans="1:1" x14ac:dyDescent="0.2">
      <c r="A72" s="100">
        <v>395503737</v>
      </c>
    </row>
    <row r="73" spans="1:1" x14ac:dyDescent="0.2">
      <c r="A73" s="100">
        <v>395201171</v>
      </c>
    </row>
    <row r="74" spans="1:1" x14ac:dyDescent="0.2">
      <c r="A74" s="100">
        <v>394848484</v>
      </c>
    </row>
    <row r="75" spans="1:1" x14ac:dyDescent="0.2">
      <c r="A75" s="100">
        <v>394850343</v>
      </c>
    </row>
    <row r="76" spans="1:1" x14ac:dyDescent="0.2">
      <c r="A76" s="100">
        <v>394855576</v>
      </c>
    </row>
    <row r="77" spans="1:1" x14ac:dyDescent="0.2">
      <c r="A77" s="100">
        <v>394432836</v>
      </c>
    </row>
    <row r="78" spans="1:1" x14ac:dyDescent="0.2">
      <c r="A78" s="100">
        <v>394461979</v>
      </c>
    </row>
    <row r="79" spans="1:1" x14ac:dyDescent="0.2">
      <c r="A79" s="100">
        <v>395417702</v>
      </c>
    </row>
    <row r="80" spans="1:1" x14ac:dyDescent="0.2">
      <c r="A80" s="100">
        <v>395200123</v>
      </c>
    </row>
    <row r="81" spans="1:1" x14ac:dyDescent="0.2">
      <c r="A81" s="100">
        <v>394886139</v>
      </c>
    </row>
    <row r="82" spans="1:1" x14ac:dyDescent="0.2">
      <c r="A82" s="100">
        <v>394885742</v>
      </c>
    </row>
    <row r="83" spans="1:1" x14ac:dyDescent="0.2">
      <c r="A83" s="100">
        <v>395290181</v>
      </c>
    </row>
    <row r="84" spans="1:1" x14ac:dyDescent="0.2">
      <c r="A84" s="100">
        <v>394887610</v>
      </c>
    </row>
    <row r="85" spans="1:1" x14ac:dyDescent="0.2">
      <c r="A85" s="100">
        <v>395511962</v>
      </c>
    </row>
    <row r="86" spans="1:1" x14ac:dyDescent="0.2">
      <c r="A86" s="100">
        <v>395432649</v>
      </c>
    </row>
    <row r="87" spans="1:1" x14ac:dyDescent="0.2">
      <c r="A87" s="100">
        <v>394724803</v>
      </c>
    </row>
    <row r="88" spans="1:1" x14ac:dyDescent="0.2">
      <c r="A88" s="100">
        <v>394923894</v>
      </c>
    </row>
    <row r="89" spans="1:1" x14ac:dyDescent="0.2">
      <c r="A89" s="100">
        <v>394929506</v>
      </c>
    </row>
    <row r="90" spans="1:1" x14ac:dyDescent="0.2">
      <c r="A90" s="100">
        <v>395303892</v>
      </c>
    </row>
    <row r="91" spans="1:1" x14ac:dyDescent="0.2">
      <c r="A91" s="100">
        <v>394668324</v>
      </c>
    </row>
    <row r="92" spans="1:1" x14ac:dyDescent="0.2">
      <c r="A92" s="100">
        <v>394438376</v>
      </c>
    </row>
    <row r="93" spans="1:1" x14ac:dyDescent="0.2">
      <c r="A93" s="100">
        <v>395446497</v>
      </c>
    </row>
    <row r="94" spans="1:1" x14ac:dyDescent="0.2">
      <c r="A94" s="100">
        <v>394937250</v>
      </c>
    </row>
    <row r="95" spans="1:1" x14ac:dyDescent="0.2">
      <c r="A95" s="100">
        <v>394939027</v>
      </c>
    </row>
    <row r="96" spans="1:1" x14ac:dyDescent="0.2">
      <c r="A96" s="100">
        <v>394939441</v>
      </c>
    </row>
    <row r="97" spans="1:1" x14ac:dyDescent="0.2">
      <c r="A97" s="100">
        <v>395558559</v>
      </c>
    </row>
    <row r="98" spans="1:1" x14ac:dyDescent="0.2">
      <c r="A98" s="100">
        <v>394693911</v>
      </c>
    </row>
    <row r="99" spans="1:1" x14ac:dyDescent="0.2">
      <c r="A99" s="100">
        <v>395315626</v>
      </c>
    </row>
    <row r="100" spans="1:1" x14ac:dyDescent="0.2">
      <c r="A100" s="100">
        <v>395466618</v>
      </c>
    </row>
    <row r="101" spans="1:1" x14ac:dyDescent="0.2">
      <c r="A101" s="100">
        <v>395581924</v>
      </c>
    </row>
    <row r="102" spans="1:1" x14ac:dyDescent="0.2">
      <c r="A102" s="100">
        <v>395475862</v>
      </c>
    </row>
    <row r="103" spans="1:1" x14ac:dyDescent="0.2">
      <c r="A103" s="100">
        <v>395387642</v>
      </c>
    </row>
    <row r="104" spans="1:1" x14ac:dyDescent="0.2">
      <c r="A104" s="100">
        <v>394785218</v>
      </c>
    </row>
    <row r="105" spans="1:1" x14ac:dyDescent="0.2">
      <c r="A105" s="100">
        <v>395255399</v>
      </c>
    </row>
    <row r="106" spans="1:1" x14ac:dyDescent="0.2">
      <c r="A106" s="100">
        <v>395326132</v>
      </c>
    </row>
    <row r="107" spans="1:1" x14ac:dyDescent="0.2">
      <c r="A107" s="100">
        <v>394864668</v>
      </c>
    </row>
    <row r="108" spans="1:1" x14ac:dyDescent="0.2">
      <c r="A108" s="100">
        <v>394862023</v>
      </c>
    </row>
    <row r="109" spans="1:1" x14ac:dyDescent="0.2">
      <c r="A109" s="100">
        <v>394710313</v>
      </c>
    </row>
    <row r="110" spans="1:1" x14ac:dyDescent="0.2">
      <c r="A110" s="100">
        <v>395526512</v>
      </c>
    </row>
    <row r="111" spans="1:1" x14ac:dyDescent="0.2">
      <c r="A111" s="100">
        <v>395502878</v>
      </c>
    </row>
    <row r="112" spans="1:1" x14ac:dyDescent="0.2">
      <c r="A112" s="100">
        <v>395573711</v>
      </c>
    </row>
    <row r="113" spans="1:1" x14ac:dyDescent="0.2">
      <c r="A113" s="100">
        <v>395293101</v>
      </c>
    </row>
    <row r="114" spans="1:1" x14ac:dyDescent="0.2">
      <c r="A114" s="100">
        <v>395449730</v>
      </c>
    </row>
    <row r="115" spans="1:1" x14ac:dyDescent="0.2">
      <c r="A115" s="100">
        <v>394516180</v>
      </c>
    </row>
    <row r="116" spans="1:1" x14ac:dyDescent="0.2">
      <c r="A116" s="100">
        <v>394531062</v>
      </c>
    </row>
    <row r="117" spans="1:1" x14ac:dyDescent="0.2">
      <c r="A117" s="100">
        <v>394515328</v>
      </c>
    </row>
    <row r="118" spans="1:1" x14ac:dyDescent="0.2">
      <c r="A118" s="100">
        <v>394541482</v>
      </c>
    </row>
    <row r="119" spans="1:1" x14ac:dyDescent="0.2">
      <c r="A119" s="100">
        <v>395026407</v>
      </c>
    </row>
    <row r="120" spans="1:1" x14ac:dyDescent="0.2">
      <c r="A120" s="100">
        <v>395031267</v>
      </c>
    </row>
    <row r="121" spans="1:1" x14ac:dyDescent="0.2">
      <c r="A121" s="100">
        <v>395033927</v>
      </c>
    </row>
    <row r="122" spans="1:1" x14ac:dyDescent="0.2">
      <c r="A122" s="100">
        <v>395387527</v>
      </c>
    </row>
    <row r="123" spans="1:1" x14ac:dyDescent="0.2">
      <c r="A123" s="100">
        <v>395042642</v>
      </c>
    </row>
    <row r="124" spans="1:1" x14ac:dyDescent="0.2">
      <c r="A124" s="100">
        <v>395045137</v>
      </c>
    </row>
    <row r="125" spans="1:1" x14ac:dyDescent="0.2">
      <c r="A125" s="100">
        <v>394678263</v>
      </c>
    </row>
    <row r="126" spans="1:1" x14ac:dyDescent="0.2">
      <c r="A126" s="100">
        <v>395051279</v>
      </c>
    </row>
    <row r="127" spans="1:1" x14ac:dyDescent="0.2">
      <c r="A127" s="100">
        <v>395052468</v>
      </c>
    </row>
    <row r="128" spans="1:1" x14ac:dyDescent="0.2">
      <c r="A128" s="100">
        <v>395055614</v>
      </c>
    </row>
    <row r="129" spans="1:1" x14ac:dyDescent="0.2">
      <c r="A129" s="100">
        <v>395055735</v>
      </c>
    </row>
    <row r="130" spans="1:1" x14ac:dyDescent="0.2">
      <c r="A130" s="100">
        <v>395060150</v>
      </c>
    </row>
    <row r="131" spans="1:1" x14ac:dyDescent="0.2">
      <c r="A131" s="100">
        <v>394836501</v>
      </c>
    </row>
    <row r="132" spans="1:1" x14ac:dyDescent="0.2">
      <c r="A132" s="100">
        <v>395209260</v>
      </c>
    </row>
    <row r="133" spans="1:1" x14ac:dyDescent="0.2">
      <c r="A133" s="100">
        <v>395514291</v>
      </c>
    </row>
    <row r="134" spans="1:1" x14ac:dyDescent="0.2">
      <c r="A134" s="100">
        <v>395416660</v>
      </c>
    </row>
    <row r="135" spans="1:1" x14ac:dyDescent="0.2">
      <c r="A135" s="100">
        <v>395416823</v>
      </c>
    </row>
    <row r="136" spans="1:1" x14ac:dyDescent="0.2">
      <c r="A136" s="100">
        <v>395347377</v>
      </c>
    </row>
    <row r="137" spans="1:1" x14ac:dyDescent="0.2">
      <c r="A137" s="100">
        <v>395102516</v>
      </c>
    </row>
    <row r="138" spans="1:1" x14ac:dyDescent="0.2">
      <c r="A138" s="100">
        <v>395535920</v>
      </c>
    </row>
    <row r="139" spans="1:1" x14ac:dyDescent="0.2">
      <c r="A139" s="100">
        <v>395426999</v>
      </c>
    </row>
    <row r="140" spans="1:1" x14ac:dyDescent="0.2">
      <c r="A140" s="100">
        <v>394698146</v>
      </c>
    </row>
    <row r="141" spans="1:1" x14ac:dyDescent="0.2">
      <c r="A141" s="100">
        <v>395124212</v>
      </c>
    </row>
    <row r="142" spans="1:1" x14ac:dyDescent="0.2">
      <c r="A142" s="100">
        <v>395543302</v>
      </c>
    </row>
    <row r="143" spans="1:1" x14ac:dyDescent="0.2">
      <c r="A143" s="100">
        <v>395546394</v>
      </c>
    </row>
    <row r="144" spans="1:1" x14ac:dyDescent="0.2">
      <c r="A144" s="100">
        <v>395548041</v>
      </c>
    </row>
    <row r="145" spans="1:1" x14ac:dyDescent="0.2">
      <c r="A145" s="100">
        <v>395116947</v>
      </c>
    </row>
    <row r="146" spans="1:1" x14ac:dyDescent="0.2">
      <c r="A146" s="100">
        <v>395443967</v>
      </c>
    </row>
    <row r="147" spans="1:1" x14ac:dyDescent="0.2">
      <c r="A147" s="100">
        <v>395356760</v>
      </c>
    </row>
    <row r="148" spans="1:1" x14ac:dyDescent="0.2">
      <c r="A148" s="100">
        <v>395237626</v>
      </c>
    </row>
    <row r="149" spans="1:1" x14ac:dyDescent="0.2">
      <c r="A149" s="100">
        <v>395448148</v>
      </c>
    </row>
    <row r="150" spans="1:1" x14ac:dyDescent="0.2">
      <c r="A150" s="100">
        <v>394719550</v>
      </c>
    </row>
    <row r="151" spans="1:1" x14ac:dyDescent="0.2">
      <c r="A151" s="100">
        <v>395133130</v>
      </c>
    </row>
    <row r="152" spans="1:1" x14ac:dyDescent="0.2">
      <c r="A152" s="100">
        <v>395133391</v>
      </c>
    </row>
    <row r="153" spans="1:1" x14ac:dyDescent="0.2">
      <c r="A153" s="100">
        <v>395560614</v>
      </c>
    </row>
    <row r="154" spans="1:1" x14ac:dyDescent="0.2">
      <c r="A154" s="100">
        <v>395134914</v>
      </c>
    </row>
    <row r="155" spans="1:1" x14ac:dyDescent="0.2">
      <c r="A155" s="100">
        <v>394610021</v>
      </c>
    </row>
    <row r="156" spans="1:1" x14ac:dyDescent="0.2">
      <c r="A156" s="100">
        <v>395563644</v>
      </c>
    </row>
    <row r="157" spans="1:1" x14ac:dyDescent="0.2">
      <c r="A157" s="100">
        <v>395564483</v>
      </c>
    </row>
    <row r="158" spans="1:1" x14ac:dyDescent="0.2">
      <c r="A158" s="100">
        <v>395564599</v>
      </c>
    </row>
    <row r="159" spans="1:1" x14ac:dyDescent="0.2">
      <c r="A159" s="100">
        <v>395309898</v>
      </c>
    </row>
    <row r="160" spans="1:1" x14ac:dyDescent="0.2">
      <c r="A160" s="100">
        <v>395247172</v>
      </c>
    </row>
    <row r="161" spans="1:1" x14ac:dyDescent="0.2">
      <c r="A161" s="100">
        <v>395142059</v>
      </c>
    </row>
    <row r="162" spans="1:1" x14ac:dyDescent="0.2">
      <c r="A162" s="100">
        <v>394883908</v>
      </c>
    </row>
    <row r="163" spans="1:1" x14ac:dyDescent="0.2">
      <c r="A163" s="100">
        <v>395250444</v>
      </c>
    </row>
    <row r="164" spans="1:1" x14ac:dyDescent="0.2">
      <c r="A164" s="100">
        <v>395147228</v>
      </c>
    </row>
    <row r="165" spans="1:1" x14ac:dyDescent="0.2">
      <c r="A165" s="100">
        <v>394748465</v>
      </c>
    </row>
    <row r="166" spans="1:1" x14ac:dyDescent="0.2">
      <c r="A166" s="100">
        <v>394873963</v>
      </c>
    </row>
    <row r="167" spans="1:1" x14ac:dyDescent="0.2">
      <c r="A167" s="100">
        <v>395579762</v>
      </c>
    </row>
    <row r="168" spans="1:1" x14ac:dyDescent="0.2">
      <c r="A168" s="100">
        <v>394993113</v>
      </c>
    </row>
    <row r="169" spans="1:1" x14ac:dyDescent="0.2">
      <c r="A169" s="100">
        <v>394998365</v>
      </c>
    </row>
    <row r="170" spans="1:1" x14ac:dyDescent="0.2">
      <c r="A170" s="100">
        <v>395001227</v>
      </c>
    </row>
    <row r="171" spans="1:1" x14ac:dyDescent="0.2">
      <c r="A171" s="100">
        <v>395004468</v>
      </c>
    </row>
    <row r="172" spans="1:1" x14ac:dyDescent="0.2">
      <c r="A172" s="100">
        <v>395004901</v>
      </c>
    </row>
    <row r="173" spans="1:1" x14ac:dyDescent="0.2">
      <c r="A173" s="100">
        <v>395417809</v>
      </c>
    </row>
    <row r="174" spans="1:1" x14ac:dyDescent="0.2">
      <c r="A174" s="100">
        <v>392570823</v>
      </c>
    </row>
    <row r="175" spans="1:1" x14ac:dyDescent="0.2">
      <c r="A175" s="100">
        <v>395009242</v>
      </c>
    </row>
    <row r="176" spans="1:1" x14ac:dyDescent="0.2">
      <c r="A176" s="100">
        <v>395010357</v>
      </c>
    </row>
    <row r="177" spans="1:1" x14ac:dyDescent="0.2">
      <c r="A177" s="100">
        <v>394661177</v>
      </c>
    </row>
    <row r="178" spans="1:1" x14ac:dyDescent="0.2">
      <c r="A178" s="100">
        <v>394781694</v>
      </c>
    </row>
    <row r="179" spans="1:1" x14ac:dyDescent="0.2">
      <c r="A179" s="100">
        <v>394664991</v>
      </c>
    </row>
    <row r="180" spans="1:1" x14ac:dyDescent="0.2">
      <c r="A180" s="100">
        <v>395514022</v>
      </c>
    </row>
    <row r="181" spans="1:1" x14ac:dyDescent="0.2">
      <c r="A181" s="100">
        <v>395459773</v>
      </c>
    </row>
    <row r="182" spans="1:1" x14ac:dyDescent="0.2">
      <c r="A182" s="100">
        <v>395016006</v>
      </c>
    </row>
    <row r="183" spans="1:1" x14ac:dyDescent="0.2">
      <c r="A183" s="100">
        <v>395180974</v>
      </c>
    </row>
    <row r="184" spans="1:1" x14ac:dyDescent="0.2">
      <c r="A184" s="100">
        <v>394972071</v>
      </c>
    </row>
    <row r="185" spans="1:1" x14ac:dyDescent="0.2">
      <c r="A185" s="100">
        <v>394814000</v>
      </c>
    </row>
    <row r="186" spans="1:1" x14ac:dyDescent="0.2">
      <c r="A186" s="100">
        <v>394914016</v>
      </c>
    </row>
    <row r="187" spans="1:1" x14ac:dyDescent="0.2">
      <c r="A187" s="100">
        <v>394960975</v>
      </c>
    </row>
    <row r="188" spans="1:1" x14ac:dyDescent="0.2">
      <c r="A188" s="100">
        <v>395039108</v>
      </c>
    </row>
    <row r="189" spans="1:1" x14ac:dyDescent="0.2">
      <c r="A189" s="100">
        <v>394884973</v>
      </c>
    </row>
    <row r="190" spans="1:1" x14ac:dyDescent="0.2">
      <c r="A190" s="100">
        <v>395100228</v>
      </c>
    </row>
    <row r="191" spans="1:1" x14ac:dyDescent="0.2">
      <c r="A191" s="100">
        <v>394869260</v>
      </c>
    </row>
    <row r="192" spans="1:1" x14ac:dyDescent="0.2">
      <c r="A192" s="100">
        <v>395063294</v>
      </c>
    </row>
    <row r="193" spans="1:1" x14ac:dyDescent="0.2">
      <c r="A193" s="100">
        <v>395075432</v>
      </c>
    </row>
    <row r="194" spans="1:1" x14ac:dyDescent="0.2">
      <c r="A194" s="100">
        <v>395182731</v>
      </c>
    </row>
    <row r="195" spans="1:1" x14ac:dyDescent="0.2">
      <c r="A195" s="100">
        <v>395600202</v>
      </c>
    </row>
    <row r="196" spans="1:1" x14ac:dyDescent="0.2">
      <c r="A196" s="100">
        <v>395556822</v>
      </c>
    </row>
    <row r="197" spans="1:1" x14ac:dyDescent="0.2">
      <c r="A197" s="100">
        <v>395187357</v>
      </c>
    </row>
    <row r="198" spans="1:1" x14ac:dyDescent="0.2">
      <c r="A198" s="100">
        <v>395188386</v>
      </c>
    </row>
    <row r="199" spans="1:1" x14ac:dyDescent="0.2">
      <c r="A199" s="100">
        <v>394823131</v>
      </c>
    </row>
    <row r="200" spans="1:1" x14ac:dyDescent="0.2">
      <c r="A200" s="100">
        <v>395189247</v>
      </c>
    </row>
    <row r="201" spans="1:1" x14ac:dyDescent="0.2">
      <c r="A201" s="100">
        <v>395038545</v>
      </c>
    </row>
    <row r="202" spans="1:1" x14ac:dyDescent="0.2">
      <c r="A202" s="100">
        <v>395188813</v>
      </c>
    </row>
    <row r="203" spans="1:1" x14ac:dyDescent="0.2">
      <c r="A203" s="100">
        <v>395188988</v>
      </c>
    </row>
    <row r="204" spans="1:1" x14ac:dyDescent="0.2">
      <c r="A204" s="100">
        <v>395189957</v>
      </c>
    </row>
    <row r="205" spans="1:1" x14ac:dyDescent="0.2">
      <c r="A205" s="100">
        <v>395191226</v>
      </c>
    </row>
    <row r="206" spans="1:1" x14ac:dyDescent="0.2">
      <c r="A206" s="100">
        <v>395190439</v>
      </c>
    </row>
    <row r="207" spans="1:1" x14ac:dyDescent="0.2">
      <c r="A207" s="100">
        <v>395092830</v>
      </c>
    </row>
    <row r="208" spans="1:1" x14ac:dyDescent="0.2">
      <c r="A208" s="100">
        <v>395192317</v>
      </c>
    </row>
    <row r="209" spans="1:1" x14ac:dyDescent="0.2">
      <c r="A209" s="100">
        <v>395192319</v>
      </c>
    </row>
    <row r="210" spans="1:1" x14ac:dyDescent="0.2">
      <c r="A210" s="100">
        <v>394829735</v>
      </c>
    </row>
    <row r="211" spans="1:1" x14ac:dyDescent="0.2">
      <c r="A211" s="100">
        <v>395192735</v>
      </c>
    </row>
    <row r="212" spans="1:1" x14ac:dyDescent="0.2">
      <c r="A212" s="100">
        <v>395193326</v>
      </c>
    </row>
    <row r="213" spans="1:1" x14ac:dyDescent="0.2">
      <c r="A213" s="100">
        <v>395039411</v>
      </c>
    </row>
    <row r="214" spans="1:1" x14ac:dyDescent="0.2">
      <c r="A214" s="100">
        <v>395193360</v>
      </c>
    </row>
    <row r="215" spans="1:1" x14ac:dyDescent="0.2">
      <c r="A215" s="100">
        <v>395194023</v>
      </c>
    </row>
    <row r="216" spans="1:1" x14ac:dyDescent="0.2">
      <c r="A216" s="100">
        <v>395194150</v>
      </c>
    </row>
    <row r="217" spans="1:1" x14ac:dyDescent="0.2">
      <c r="A217" s="100">
        <v>395194165</v>
      </c>
    </row>
    <row r="218" spans="1:1" x14ac:dyDescent="0.2">
      <c r="A218" s="100">
        <v>395194176</v>
      </c>
    </row>
    <row r="219" spans="1:1" x14ac:dyDescent="0.2">
      <c r="A219" s="100">
        <v>395194183</v>
      </c>
    </row>
    <row r="220" spans="1:1" x14ac:dyDescent="0.2">
      <c r="A220" s="100">
        <v>394833072</v>
      </c>
    </row>
    <row r="221" spans="1:1" x14ac:dyDescent="0.2">
      <c r="A221" s="100">
        <v>395194398</v>
      </c>
    </row>
    <row r="222" spans="1:1" x14ac:dyDescent="0.2">
      <c r="A222" s="100">
        <v>395193852</v>
      </c>
    </row>
    <row r="223" spans="1:1" x14ac:dyDescent="0.2">
      <c r="A223" s="100">
        <v>395060303</v>
      </c>
    </row>
    <row r="224" spans="1:1" x14ac:dyDescent="0.2">
      <c r="A224" s="100">
        <v>395194962</v>
      </c>
    </row>
    <row r="225" spans="1:1" x14ac:dyDescent="0.2">
      <c r="A225" s="100">
        <v>395192044</v>
      </c>
    </row>
    <row r="226" spans="1:1" x14ac:dyDescent="0.2">
      <c r="A226" s="100">
        <v>395195368</v>
      </c>
    </row>
    <row r="227" spans="1:1" x14ac:dyDescent="0.2">
      <c r="A227" s="100">
        <v>395195370</v>
      </c>
    </row>
    <row r="228" spans="1:1" x14ac:dyDescent="0.2">
      <c r="A228" s="100">
        <v>395127832</v>
      </c>
    </row>
    <row r="229" spans="1:1" x14ac:dyDescent="0.2">
      <c r="A229" s="100">
        <v>395195552</v>
      </c>
    </row>
    <row r="230" spans="1:1" x14ac:dyDescent="0.2">
      <c r="A230" s="100">
        <v>395196522</v>
      </c>
    </row>
    <row r="231" spans="1:1" x14ac:dyDescent="0.2">
      <c r="A231" s="100">
        <v>395127829</v>
      </c>
    </row>
    <row r="232" spans="1:1" x14ac:dyDescent="0.2">
      <c r="A232" s="100">
        <v>395401948</v>
      </c>
    </row>
    <row r="233" spans="1:1" x14ac:dyDescent="0.2">
      <c r="A233" s="100">
        <v>395198129</v>
      </c>
    </row>
    <row r="234" spans="1:1" x14ac:dyDescent="0.2">
      <c r="A234" s="100">
        <v>395198202</v>
      </c>
    </row>
    <row r="235" spans="1:1" x14ac:dyDescent="0.2">
      <c r="A235" s="100">
        <v>395198430</v>
      </c>
    </row>
    <row r="236" spans="1:1" x14ac:dyDescent="0.2">
      <c r="A236" s="100">
        <v>395198440</v>
      </c>
    </row>
    <row r="237" spans="1:1" x14ac:dyDescent="0.2">
      <c r="A237" s="100">
        <v>395198589</v>
      </c>
    </row>
    <row r="238" spans="1:1" x14ac:dyDescent="0.2">
      <c r="A238" s="100">
        <v>395199086</v>
      </c>
    </row>
    <row r="239" spans="1:1" x14ac:dyDescent="0.2">
      <c r="A239" s="100">
        <v>395199369</v>
      </c>
    </row>
    <row r="240" spans="1:1" x14ac:dyDescent="0.2">
      <c r="A240" s="100">
        <v>395199521</v>
      </c>
    </row>
    <row r="241" spans="1:1" x14ac:dyDescent="0.2">
      <c r="A241" s="100">
        <v>395613056</v>
      </c>
    </row>
    <row r="242" spans="1:1" x14ac:dyDescent="0.2">
      <c r="A242" s="100">
        <v>395200597</v>
      </c>
    </row>
    <row r="243" spans="1:1" x14ac:dyDescent="0.2">
      <c r="A243" s="100">
        <v>395187885</v>
      </c>
    </row>
    <row r="244" spans="1:1" x14ac:dyDescent="0.2">
      <c r="A244" s="100">
        <v>395202271</v>
      </c>
    </row>
    <row r="245" spans="1:1" x14ac:dyDescent="0.2">
      <c r="A245" s="100">
        <v>395201661</v>
      </c>
    </row>
    <row r="246" spans="1:1" x14ac:dyDescent="0.2">
      <c r="A246" s="100">
        <v>395201697</v>
      </c>
    </row>
    <row r="247" spans="1:1" x14ac:dyDescent="0.2">
      <c r="A247" s="100">
        <v>395201857</v>
      </c>
    </row>
    <row r="248" spans="1:1" x14ac:dyDescent="0.2">
      <c r="A248" s="100">
        <v>395201914</v>
      </c>
    </row>
    <row r="249" spans="1:1" x14ac:dyDescent="0.2">
      <c r="A249" s="100">
        <v>395118676</v>
      </c>
    </row>
    <row r="250" spans="1:1" x14ac:dyDescent="0.2">
      <c r="A250" s="100">
        <v>395204095</v>
      </c>
    </row>
    <row r="251" spans="1:1" x14ac:dyDescent="0.2">
      <c r="A251" s="100">
        <v>395205127</v>
      </c>
    </row>
    <row r="252" spans="1:1" x14ac:dyDescent="0.2">
      <c r="A252" s="100">
        <v>395205198</v>
      </c>
    </row>
    <row r="253" spans="1:1" x14ac:dyDescent="0.2">
      <c r="A253" s="100">
        <v>395205238</v>
      </c>
    </row>
    <row r="254" spans="1:1" x14ac:dyDescent="0.2">
      <c r="A254" s="100">
        <v>395204631</v>
      </c>
    </row>
    <row r="255" spans="1:1" x14ac:dyDescent="0.2">
      <c r="A255" s="100">
        <v>395747081</v>
      </c>
    </row>
    <row r="256" spans="1:1" x14ac:dyDescent="0.2">
      <c r="A256" s="100">
        <v>394849254</v>
      </c>
    </row>
    <row r="257" spans="1:1" x14ac:dyDescent="0.2">
      <c r="A257" s="100">
        <v>395207098</v>
      </c>
    </row>
    <row r="258" spans="1:1" x14ac:dyDescent="0.2">
      <c r="A258" s="100">
        <v>395208593</v>
      </c>
    </row>
    <row r="259" spans="1:1" x14ac:dyDescent="0.2">
      <c r="A259" s="100">
        <v>395209163</v>
      </c>
    </row>
    <row r="260" spans="1:1" x14ac:dyDescent="0.2">
      <c r="A260" s="100">
        <v>395517072</v>
      </c>
    </row>
    <row r="261" spans="1:1" x14ac:dyDescent="0.2">
      <c r="A261" s="100">
        <v>395210864</v>
      </c>
    </row>
    <row r="262" spans="1:1" x14ac:dyDescent="0.2">
      <c r="A262" s="100">
        <v>395211147</v>
      </c>
    </row>
    <row r="263" spans="1:1" x14ac:dyDescent="0.2">
      <c r="A263" s="100">
        <v>395210923</v>
      </c>
    </row>
    <row r="264" spans="1:1" x14ac:dyDescent="0.2">
      <c r="A264" s="100">
        <v>395211506</v>
      </c>
    </row>
    <row r="265" spans="1:1" x14ac:dyDescent="0.2">
      <c r="A265" s="100">
        <v>395212412</v>
      </c>
    </row>
    <row r="266" spans="1:1" x14ac:dyDescent="0.2">
      <c r="A266" s="100">
        <v>394875288</v>
      </c>
    </row>
    <row r="267" spans="1:1" x14ac:dyDescent="0.2">
      <c r="A267" s="100">
        <v>394874934</v>
      </c>
    </row>
    <row r="268" spans="1:1" x14ac:dyDescent="0.2">
      <c r="A268" s="100">
        <v>395514512</v>
      </c>
    </row>
    <row r="269" spans="1:1" x14ac:dyDescent="0.2">
      <c r="A269" s="100">
        <v>395214333</v>
      </c>
    </row>
    <row r="270" spans="1:1" x14ac:dyDescent="0.2">
      <c r="A270" s="100">
        <v>395213597</v>
      </c>
    </row>
    <row r="271" spans="1:1" x14ac:dyDescent="0.2">
      <c r="A271" s="100">
        <v>395214586</v>
      </c>
    </row>
    <row r="272" spans="1:1" x14ac:dyDescent="0.2">
      <c r="A272" s="100">
        <v>395215191</v>
      </c>
    </row>
    <row r="273" spans="1:1" x14ac:dyDescent="0.2">
      <c r="A273" s="100">
        <v>395215192</v>
      </c>
    </row>
    <row r="274" spans="1:1" x14ac:dyDescent="0.2">
      <c r="A274" s="100">
        <v>395216185</v>
      </c>
    </row>
    <row r="275" spans="1:1" x14ac:dyDescent="0.2">
      <c r="A275" s="100">
        <v>395216483</v>
      </c>
    </row>
    <row r="276" spans="1:1" x14ac:dyDescent="0.2">
      <c r="A276" s="100">
        <v>395522760</v>
      </c>
    </row>
    <row r="277" spans="1:1" x14ac:dyDescent="0.2">
      <c r="A277" s="100">
        <v>395217150</v>
      </c>
    </row>
    <row r="278" spans="1:1" x14ac:dyDescent="0.2">
      <c r="A278" s="100">
        <v>395216924</v>
      </c>
    </row>
    <row r="279" spans="1:1" x14ac:dyDescent="0.2">
      <c r="A279" s="100">
        <v>395217385</v>
      </c>
    </row>
    <row r="280" spans="1:1" x14ac:dyDescent="0.2">
      <c r="A280" s="100">
        <v>395217543</v>
      </c>
    </row>
    <row r="281" spans="1:1" x14ac:dyDescent="0.2">
      <c r="A281" s="100">
        <v>395218104</v>
      </c>
    </row>
    <row r="282" spans="1:1" x14ac:dyDescent="0.2">
      <c r="A282" s="100">
        <v>395217656</v>
      </c>
    </row>
    <row r="283" spans="1:1" x14ac:dyDescent="0.2">
      <c r="A283" s="100">
        <v>395215485</v>
      </c>
    </row>
    <row r="284" spans="1:1" x14ac:dyDescent="0.2">
      <c r="A284" s="100">
        <v>395219282</v>
      </c>
    </row>
    <row r="285" spans="1:1" x14ac:dyDescent="0.2">
      <c r="A285" s="100">
        <v>395219578</v>
      </c>
    </row>
    <row r="286" spans="1:1" x14ac:dyDescent="0.2">
      <c r="A286" s="100">
        <v>395219620</v>
      </c>
    </row>
    <row r="287" spans="1:1" x14ac:dyDescent="0.2">
      <c r="A287" s="100">
        <v>395219960</v>
      </c>
    </row>
    <row r="288" spans="1:1" x14ac:dyDescent="0.2">
      <c r="A288" s="100">
        <v>395221042</v>
      </c>
    </row>
    <row r="289" spans="1:1" x14ac:dyDescent="0.2">
      <c r="A289" s="100">
        <v>395220714</v>
      </c>
    </row>
    <row r="290" spans="1:1" x14ac:dyDescent="0.2">
      <c r="A290" s="100">
        <v>395220751</v>
      </c>
    </row>
    <row r="291" spans="1:1" x14ac:dyDescent="0.2">
      <c r="A291" s="100">
        <v>395221666</v>
      </c>
    </row>
    <row r="292" spans="1:1" x14ac:dyDescent="0.2">
      <c r="A292" s="100">
        <v>395222016</v>
      </c>
    </row>
    <row r="293" spans="1:1" x14ac:dyDescent="0.2">
      <c r="A293" s="100">
        <v>395221877</v>
      </c>
    </row>
    <row r="294" spans="1:1" x14ac:dyDescent="0.2">
      <c r="A294" s="100">
        <v>394898171</v>
      </c>
    </row>
    <row r="295" spans="1:1" x14ac:dyDescent="0.2">
      <c r="A295" s="100">
        <v>395222378</v>
      </c>
    </row>
    <row r="296" spans="1:1" x14ac:dyDescent="0.2">
      <c r="A296" s="100">
        <v>395222880</v>
      </c>
    </row>
    <row r="297" spans="1:1" x14ac:dyDescent="0.2">
      <c r="A297" s="100">
        <v>394902368</v>
      </c>
    </row>
    <row r="298" spans="1:1" x14ac:dyDescent="0.2">
      <c r="A298" s="100">
        <v>395224501</v>
      </c>
    </row>
    <row r="299" spans="1:1" x14ac:dyDescent="0.2">
      <c r="A299" s="100">
        <v>395224591</v>
      </c>
    </row>
    <row r="300" spans="1:1" x14ac:dyDescent="0.2">
      <c r="A300" s="100">
        <v>395225820</v>
      </c>
    </row>
    <row r="301" spans="1:1" x14ac:dyDescent="0.2">
      <c r="A301" s="100">
        <v>395226193</v>
      </c>
    </row>
    <row r="302" spans="1:1" x14ac:dyDescent="0.2">
      <c r="A302" s="100">
        <v>395226316</v>
      </c>
    </row>
    <row r="303" spans="1:1" x14ac:dyDescent="0.2">
      <c r="A303" s="100">
        <v>395226345</v>
      </c>
    </row>
    <row r="304" spans="1:1" x14ac:dyDescent="0.2">
      <c r="A304" s="100">
        <v>395145807</v>
      </c>
    </row>
    <row r="305" spans="1:1" x14ac:dyDescent="0.2">
      <c r="A305" s="100">
        <v>395213301</v>
      </c>
    </row>
    <row r="306" spans="1:1" x14ac:dyDescent="0.2">
      <c r="A306" s="100">
        <v>395228501</v>
      </c>
    </row>
    <row r="307" spans="1:1" x14ac:dyDescent="0.2">
      <c r="A307" s="100">
        <v>395228793</v>
      </c>
    </row>
    <row r="308" spans="1:1" x14ac:dyDescent="0.2">
      <c r="A308" s="100">
        <v>395228815</v>
      </c>
    </row>
    <row r="309" spans="1:1" x14ac:dyDescent="0.2">
      <c r="A309" s="100">
        <v>395229950</v>
      </c>
    </row>
    <row r="310" spans="1:1" x14ac:dyDescent="0.2">
      <c r="A310" s="100">
        <v>395230171</v>
      </c>
    </row>
    <row r="311" spans="1:1" x14ac:dyDescent="0.2">
      <c r="A311" s="100">
        <v>395230201</v>
      </c>
    </row>
    <row r="312" spans="1:1" x14ac:dyDescent="0.2">
      <c r="A312" s="100">
        <v>395435944</v>
      </c>
    </row>
    <row r="313" spans="1:1" x14ac:dyDescent="0.2">
      <c r="A313" s="100">
        <v>395230434</v>
      </c>
    </row>
    <row r="314" spans="1:1" x14ac:dyDescent="0.2">
      <c r="A314" s="100">
        <v>395231353</v>
      </c>
    </row>
    <row r="315" spans="1:1" x14ac:dyDescent="0.2">
      <c r="A315" s="100">
        <v>395199708</v>
      </c>
    </row>
    <row r="316" spans="1:1" x14ac:dyDescent="0.2">
      <c r="A316" s="100">
        <v>395232030</v>
      </c>
    </row>
    <row r="317" spans="1:1" x14ac:dyDescent="0.2">
      <c r="A317" s="100">
        <v>395232182</v>
      </c>
    </row>
    <row r="318" spans="1:1" x14ac:dyDescent="0.2">
      <c r="A318" s="100">
        <v>395232236</v>
      </c>
    </row>
    <row r="319" spans="1:1" x14ac:dyDescent="0.2">
      <c r="A319" s="100">
        <v>395233734</v>
      </c>
    </row>
    <row r="320" spans="1:1" x14ac:dyDescent="0.2">
      <c r="A320" s="100">
        <v>395233864</v>
      </c>
    </row>
    <row r="321" spans="1:1" x14ac:dyDescent="0.2">
      <c r="A321" s="100">
        <v>395235026</v>
      </c>
    </row>
    <row r="322" spans="1:1" x14ac:dyDescent="0.2">
      <c r="A322" s="100">
        <v>395234197</v>
      </c>
    </row>
    <row r="323" spans="1:1" x14ac:dyDescent="0.2">
      <c r="A323" s="100">
        <v>395234270</v>
      </c>
    </row>
    <row r="324" spans="1:1" x14ac:dyDescent="0.2">
      <c r="A324" s="100">
        <v>395234665</v>
      </c>
    </row>
    <row r="325" spans="1:1" x14ac:dyDescent="0.2">
      <c r="A325" s="100">
        <v>395235806</v>
      </c>
    </row>
    <row r="326" spans="1:1" x14ac:dyDescent="0.2">
      <c r="A326" s="100">
        <v>395235954</v>
      </c>
    </row>
    <row r="327" spans="1:1" x14ac:dyDescent="0.2">
      <c r="A327" s="100">
        <v>395236525</v>
      </c>
    </row>
    <row r="328" spans="1:1" x14ac:dyDescent="0.2">
      <c r="A328" s="100">
        <v>395236576</v>
      </c>
    </row>
    <row r="329" spans="1:1" x14ac:dyDescent="0.2">
      <c r="A329" s="100">
        <v>395236577</v>
      </c>
    </row>
    <row r="330" spans="1:1" x14ac:dyDescent="0.2">
      <c r="A330" s="100">
        <v>395236843</v>
      </c>
    </row>
    <row r="331" spans="1:1" x14ac:dyDescent="0.2">
      <c r="A331" s="100">
        <v>395444926</v>
      </c>
    </row>
    <row r="332" spans="1:1" x14ac:dyDescent="0.2">
      <c r="A332" s="100">
        <v>395238386</v>
      </c>
    </row>
    <row r="333" spans="1:1" x14ac:dyDescent="0.2">
      <c r="A333" s="100">
        <v>395238711</v>
      </c>
    </row>
    <row r="334" spans="1:1" x14ac:dyDescent="0.2">
      <c r="A334" s="100">
        <v>395237981</v>
      </c>
    </row>
    <row r="335" spans="1:1" x14ac:dyDescent="0.2">
      <c r="A335" s="100">
        <v>395239108</v>
      </c>
    </row>
    <row r="336" spans="1:1" x14ac:dyDescent="0.2">
      <c r="A336" s="100">
        <v>395236801</v>
      </c>
    </row>
    <row r="337" spans="1:1" x14ac:dyDescent="0.2">
      <c r="A337" s="100">
        <v>395934806</v>
      </c>
    </row>
    <row r="338" spans="1:1" x14ac:dyDescent="0.2">
      <c r="A338" s="100">
        <v>395239212</v>
      </c>
    </row>
    <row r="339" spans="1:1" x14ac:dyDescent="0.2">
      <c r="A339" s="100">
        <v>395240385</v>
      </c>
    </row>
    <row r="340" spans="1:1" x14ac:dyDescent="0.2">
      <c r="A340" s="100">
        <v>395240462</v>
      </c>
    </row>
    <row r="341" spans="1:1" x14ac:dyDescent="0.2">
      <c r="A341" s="100">
        <v>395240777</v>
      </c>
    </row>
    <row r="342" spans="1:1" x14ac:dyDescent="0.2">
      <c r="A342" s="100">
        <v>395239894</v>
      </c>
    </row>
    <row r="343" spans="1:1" x14ac:dyDescent="0.2">
      <c r="A343" s="100">
        <v>395242678</v>
      </c>
    </row>
    <row r="344" spans="1:1" x14ac:dyDescent="0.2">
      <c r="A344" s="100">
        <v>395242737</v>
      </c>
    </row>
    <row r="345" spans="1:1" x14ac:dyDescent="0.2">
      <c r="A345" s="100">
        <v>394945786</v>
      </c>
    </row>
    <row r="346" spans="1:1" x14ac:dyDescent="0.2">
      <c r="A346" s="100">
        <v>395243173</v>
      </c>
    </row>
    <row r="347" spans="1:1" x14ac:dyDescent="0.2">
      <c r="A347" s="100">
        <v>395244010</v>
      </c>
    </row>
    <row r="348" spans="1:1" x14ac:dyDescent="0.2">
      <c r="A348" s="100">
        <v>395243478</v>
      </c>
    </row>
    <row r="349" spans="1:1" x14ac:dyDescent="0.2">
      <c r="A349" s="100">
        <v>395244172</v>
      </c>
    </row>
    <row r="350" spans="1:1" x14ac:dyDescent="0.2">
      <c r="A350" s="100">
        <v>395243675</v>
      </c>
    </row>
    <row r="351" spans="1:1" x14ac:dyDescent="0.2">
      <c r="A351" s="100">
        <v>395244473</v>
      </c>
    </row>
    <row r="352" spans="1:1" x14ac:dyDescent="0.2">
      <c r="A352" s="100">
        <v>395244792</v>
      </c>
    </row>
    <row r="353" spans="1:1" x14ac:dyDescent="0.2">
      <c r="A353" s="100">
        <v>395246144</v>
      </c>
    </row>
    <row r="354" spans="1:1" x14ac:dyDescent="0.2">
      <c r="A354" s="100">
        <v>395245730</v>
      </c>
    </row>
    <row r="355" spans="1:1" x14ac:dyDescent="0.2">
      <c r="A355" s="100">
        <v>394885477</v>
      </c>
    </row>
    <row r="356" spans="1:1" x14ac:dyDescent="0.2">
      <c r="A356" s="100">
        <v>395246485</v>
      </c>
    </row>
    <row r="357" spans="1:1" x14ac:dyDescent="0.2">
      <c r="A357" s="100">
        <v>395245964</v>
      </c>
    </row>
    <row r="358" spans="1:1" x14ac:dyDescent="0.2">
      <c r="A358" s="100">
        <v>395247832</v>
      </c>
    </row>
    <row r="359" spans="1:1" x14ac:dyDescent="0.2">
      <c r="A359" s="100">
        <v>395248464</v>
      </c>
    </row>
    <row r="360" spans="1:1" x14ac:dyDescent="0.2">
      <c r="A360" s="100">
        <v>395249635</v>
      </c>
    </row>
    <row r="361" spans="1:1" x14ac:dyDescent="0.2">
      <c r="A361" s="100">
        <v>395752266</v>
      </c>
    </row>
    <row r="362" spans="1:1" x14ac:dyDescent="0.2">
      <c r="A362" s="100">
        <v>395250012</v>
      </c>
    </row>
    <row r="363" spans="1:1" x14ac:dyDescent="0.2">
      <c r="A363" s="100">
        <v>395250066</v>
      </c>
    </row>
    <row r="364" spans="1:1" x14ac:dyDescent="0.2">
      <c r="A364" s="100">
        <v>395250271</v>
      </c>
    </row>
    <row r="365" spans="1:1" x14ac:dyDescent="0.2">
      <c r="A365" s="100">
        <v>395250301</v>
      </c>
    </row>
    <row r="366" spans="1:1" x14ac:dyDescent="0.2">
      <c r="A366" s="100">
        <v>394986374</v>
      </c>
    </row>
    <row r="367" spans="1:1" x14ac:dyDescent="0.2">
      <c r="A367" s="100">
        <v>395079223</v>
      </c>
    </row>
    <row r="368" spans="1:1" x14ac:dyDescent="0.2">
      <c r="A368" s="100">
        <v>395250401</v>
      </c>
    </row>
    <row r="369" spans="1:1" x14ac:dyDescent="0.2">
      <c r="A369" s="100">
        <v>395251434</v>
      </c>
    </row>
    <row r="370" spans="1:1" x14ac:dyDescent="0.2">
      <c r="A370" s="100">
        <v>394970621</v>
      </c>
    </row>
    <row r="371" spans="1:1" x14ac:dyDescent="0.2">
      <c r="A371" s="100">
        <v>394973668</v>
      </c>
    </row>
    <row r="372" spans="1:1" x14ac:dyDescent="0.2">
      <c r="A372" s="100">
        <v>395121499</v>
      </c>
    </row>
    <row r="373" spans="1:1" x14ac:dyDescent="0.2">
      <c r="A373" s="100">
        <v>395463394</v>
      </c>
    </row>
    <row r="374" spans="1:1" x14ac:dyDescent="0.2">
      <c r="A374" s="100">
        <v>395255363</v>
      </c>
    </row>
    <row r="375" spans="1:1" x14ac:dyDescent="0.2">
      <c r="A375" s="100">
        <v>395255400</v>
      </c>
    </row>
    <row r="376" spans="1:1" x14ac:dyDescent="0.2">
      <c r="A376" s="100">
        <v>395255443</v>
      </c>
    </row>
    <row r="377" spans="1:1" x14ac:dyDescent="0.2">
      <c r="A377" s="100">
        <v>395572703</v>
      </c>
    </row>
    <row r="378" spans="1:1" x14ac:dyDescent="0.2">
      <c r="A378" s="100">
        <v>395254720</v>
      </c>
    </row>
    <row r="379" spans="1:1" x14ac:dyDescent="0.2">
      <c r="A379" s="100">
        <v>395254760</v>
      </c>
    </row>
    <row r="380" spans="1:1" x14ac:dyDescent="0.2">
      <c r="A380" s="100">
        <v>395255747</v>
      </c>
    </row>
    <row r="381" spans="1:1" x14ac:dyDescent="0.2">
      <c r="A381" s="100">
        <v>395255759</v>
      </c>
    </row>
    <row r="382" spans="1:1" x14ac:dyDescent="0.2">
      <c r="A382" s="100">
        <v>395256492</v>
      </c>
    </row>
    <row r="383" spans="1:1" x14ac:dyDescent="0.2">
      <c r="A383" s="100">
        <v>395256531</v>
      </c>
    </row>
    <row r="384" spans="1:1" x14ac:dyDescent="0.2">
      <c r="A384" s="100">
        <v>394979328</v>
      </c>
    </row>
    <row r="385" spans="1:1" x14ac:dyDescent="0.2">
      <c r="A385" s="100">
        <v>395257713</v>
      </c>
    </row>
    <row r="386" spans="1:1" x14ac:dyDescent="0.2">
      <c r="A386" s="100">
        <v>395257839</v>
      </c>
    </row>
    <row r="387" spans="1:1" x14ac:dyDescent="0.2">
      <c r="A387" s="100">
        <v>395258111</v>
      </c>
    </row>
    <row r="388" spans="1:1" x14ac:dyDescent="0.2">
      <c r="A388" s="100">
        <v>395258231</v>
      </c>
    </row>
    <row r="389" spans="1:1" x14ac:dyDescent="0.2">
      <c r="A389" s="100">
        <v>395258260</v>
      </c>
    </row>
    <row r="390" spans="1:1" x14ac:dyDescent="0.2">
      <c r="A390" s="100">
        <v>395259284</v>
      </c>
    </row>
    <row r="391" spans="1:1" x14ac:dyDescent="0.2">
      <c r="A391" s="100">
        <v>395259382</v>
      </c>
    </row>
    <row r="392" spans="1:1" x14ac:dyDescent="0.2">
      <c r="A392" s="100">
        <v>395259543</v>
      </c>
    </row>
    <row r="393" spans="1:1" x14ac:dyDescent="0.2">
      <c r="A393" s="100">
        <v>395241933</v>
      </c>
    </row>
    <row r="394" spans="1:1" x14ac:dyDescent="0.2">
      <c r="A394" s="100">
        <v>395256221</v>
      </c>
    </row>
    <row r="395" spans="1:1" x14ac:dyDescent="0.2">
      <c r="A395" s="100">
        <v>394769505</v>
      </c>
    </row>
    <row r="396" spans="1:1" x14ac:dyDescent="0.2">
      <c r="A396" s="100">
        <v>395376328</v>
      </c>
    </row>
    <row r="397" spans="1:1" x14ac:dyDescent="0.2">
      <c r="A397" s="100">
        <v>395463442</v>
      </c>
    </row>
    <row r="398" spans="1:1" x14ac:dyDescent="0.2">
      <c r="A398" s="100">
        <v>395265770</v>
      </c>
    </row>
    <row r="399" spans="1:1" x14ac:dyDescent="0.2">
      <c r="A399" s="100">
        <v>395266918</v>
      </c>
    </row>
    <row r="400" spans="1:1" x14ac:dyDescent="0.2">
      <c r="A400" s="100">
        <v>395174556</v>
      </c>
    </row>
    <row r="401" spans="1:1" x14ac:dyDescent="0.2">
      <c r="A401" s="100">
        <v>395268535</v>
      </c>
    </row>
    <row r="402" spans="1:1" x14ac:dyDescent="0.2">
      <c r="A402" s="100">
        <v>395268549</v>
      </c>
    </row>
    <row r="403" spans="1:1" x14ac:dyDescent="0.2">
      <c r="A403" s="100">
        <v>395065322</v>
      </c>
    </row>
    <row r="404" spans="1:1" x14ac:dyDescent="0.2">
      <c r="A404" s="100">
        <v>394855802</v>
      </c>
    </row>
    <row r="405" spans="1:1" x14ac:dyDescent="0.2">
      <c r="A405" s="100">
        <v>395216715</v>
      </c>
    </row>
    <row r="406" spans="1:1" x14ac:dyDescent="0.2">
      <c r="A406" s="100">
        <v>395023297</v>
      </c>
    </row>
    <row r="407" spans="1:1" x14ac:dyDescent="0.2">
      <c r="A407" s="100">
        <v>395122361</v>
      </c>
    </row>
    <row r="408" spans="1:1" x14ac:dyDescent="0.2">
      <c r="A408" s="100">
        <v>395150485</v>
      </c>
    </row>
    <row r="409" spans="1:1" x14ac:dyDescent="0.2">
      <c r="A409" s="100">
        <v>395194928</v>
      </c>
    </row>
    <row r="410" spans="1:1" x14ac:dyDescent="0.2">
      <c r="A410" s="100">
        <v>395073260</v>
      </c>
    </row>
    <row r="411" spans="1:1" x14ac:dyDescent="0.2">
      <c r="A411" s="100">
        <v>395241903</v>
      </c>
    </row>
    <row r="412" spans="1:1" x14ac:dyDescent="0.2">
      <c r="A412" s="100">
        <v>395076785</v>
      </c>
    </row>
    <row r="413" spans="1:1" x14ac:dyDescent="0.2">
      <c r="A413" s="100">
        <v>395012829</v>
      </c>
    </row>
    <row r="414" spans="1:1" x14ac:dyDescent="0.2">
      <c r="A414" s="100">
        <v>395240056</v>
      </c>
    </row>
    <row r="415" spans="1:1" x14ac:dyDescent="0.2">
      <c r="A415" s="100">
        <v>395119883</v>
      </c>
    </row>
    <row r="416" spans="1:1" x14ac:dyDescent="0.2">
      <c r="A416" s="100">
        <v>395087910</v>
      </c>
    </row>
    <row r="417" spans="1:1" x14ac:dyDescent="0.2">
      <c r="A417" s="100">
        <v>395049385</v>
      </c>
    </row>
    <row r="418" spans="1:1" x14ac:dyDescent="0.2">
      <c r="A418" s="100">
        <v>395049386</v>
      </c>
    </row>
    <row r="419" spans="1:1" x14ac:dyDescent="0.2">
      <c r="A419" s="100">
        <v>395197855</v>
      </c>
    </row>
    <row r="420" spans="1:1" x14ac:dyDescent="0.2">
      <c r="A420" s="100">
        <v>395033878</v>
      </c>
    </row>
    <row r="421" spans="1:1" x14ac:dyDescent="0.2">
      <c r="A421" s="100">
        <v>395212765</v>
      </c>
    </row>
    <row r="422" spans="1:1" x14ac:dyDescent="0.2">
      <c r="A422" s="100">
        <v>395066600</v>
      </c>
    </row>
    <row r="423" spans="1:1" x14ac:dyDescent="0.2">
      <c r="A423" s="100">
        <v>395140371</v>
      </c>
    </row>
    <row r="424" spans="1:1" x14ac:dyDescent="0.2">
      <c r="A424" s="100">
        <v>395203647</v>
      </c>
    </row>
    <row r="425" spans="1:1" x14ac:dyDescent="0.2">
      <c r="A425" s="100">
        <v>395045555</v>
      </c>
    </row>
    <row r="426" spans="1:1" x14ac:dyDescent="0.2">
      <c r="A426" s="100">
        <v>395103392</v>
      </c>
    </row>
    <row r="427" spans="1:1" x14ac:dyDescent="0.2">
      <c r="A427" s="100">
        <v>395031608</v>
      </c>
    </row>
    <row r="428" spans="1:1" x14ac:dyDescent="0.2">
      <c r="A428" s="100">
        <v>395196879</v>
      </c>
    </row>
    <row r="429" spans="1:1" x14ac:dyDescent="0.2">
      <c r="A429" s="100">
        <v>395028070</v>
      </c>
    </row>
    <row r="430" spans="1:1" x14ac:dyDescent="0.2">
      <c r="A430" s="100">
        <v>395119887</v>
      </c>
    </row>
    <row r="431" spans="1:1" x14ac:dyDescent="0.2">
      <c r="A431" s="100">
        <v>395145491</v>
      </c>
    </row>
    <row r="432" spans="1:1" x14ac:dyDescent="0.2">
      <c r="A432" s="100">
        <v>395049770</v>
      </c>
    </row>
    <row r="433" spans="1:1" x14ac:dyDescent="0.2">
      <c r="A433" s="100">
        <v>395144355</v>
      </c>
    </row>
    <row r="434" spans="1:1" x14ac:dyDescent="0.2">
      <c r="A434" s="100">
        <v>395190357</v>
      </c>
    </row>
    <row r="435" spans="1:1" x14ac:dyDescent="0.2">
      <c r="A435" s="100">
        <v>395194236</v>
      </c>
    </row>
    <row r="436" spans="1:1" x14ac:dyDescent="0.2">
      <c r="A436" s="100">
        <v>395023978</v>
      </c>
    </row>
    <row r="437" spans="1:1" x14ac:dyDescent="0.2">
      <c r="A437" s="100">
        <v>395200634</v>
      </c>
    </row>
    <row r="438" spans="1:1" x14ac:dyDescent="0.2">
      <c r="A438" s="100">
        <v>395237553</v>
      </c>
    </row>
    <row r="439" spans="1:1" x14ac:dyDescent="0.2">
      <c r="A439" s="100">
        <v>395122089</v>
      </c>
    </row>
    <row r="440" spans="1:1" x14ac:dyDescent="0.2">
      <c r="A440" s="100">
        <v>395043750</v>
      </c>
    </row>
    <row r="441" spans="1:1" x14ac:dyDescent="0.2">
      <c r="A441" s="100">
        <v>395150443</v>
      </c>
    </row>
    <row r="442" spans="1:1" x14ac:dyDescent="0.2">
      <c r="A442" s="100">
        <v>395110678</v>
      </c>
    </row>
    <row r="443" spans="1:1" x14ac:dyDescent="0.2">
      <c r="A443" s="100">
        <v>395193496</v>
      </c>
    </row>
    <row r="444" spans="1:1" x14ac:dyDescent="0.2">
      <c r="A444" s="100">
        <v>395055370</v>
      </c>
    </row>
    <row r="445" spans="1:1" x14ac:dyDescent="0.2">
      <c r="A445" s="100">
        <v>395192957</v>
      </c>
    </row>
    <row r="446" spans="1:1" x14ac:dyDescent="0.2">
      <c r="A446" s="100">
        <v>395155252</v>
      </c>
    </row>
    <row r="447" spans="1:1" x14ac:dyDescent="0.2">
      <c r="A447" s="100">
        <v>395013026</v>
      </c>
    </row>
    <row r="448" spans="1:1" x14ac:dyDescent="0.2">
      <c r="A448" s="100">
        <v>395118441</v>
      </c>
    </row>
    <row r="449" spans="1:1" x14ac:dyDescent="0.2">
      <c r="A449" s="100">
        <v>395065119</v>
      </c>
    </row>
    <row r="450" spans="1:1" x14ac:dyDescent="0.2">
      <c r="A450" s="100">
        <v>394147096</v>
      </c>
    </row>
    <row r="451" spans="1:1" x14ac:dyDescent="0.2">
      <c r="A451" s="100">
        <v>395094342</v>
      </c>
    </row>
    <row r="452" spans="1:1" x14ac:dyDescent="0.2">
      <c r="A452" s="100">
        <v>395084316</v>
      </c>
    </row>
    <row r="453" spans="1:1" x14ac:dyDescent="0.2">
      <c r="A453" s="100">
        <v>395160687</v>
      </c>
    </row>
    <row r="454" spans="1:1" x14ac:dyDescent="0.2">
      <c r="A454" s="100">
        <v>395201154</v>
      </c>
    </row>
    <row r="455" spans="1:1" x14ac:dyDescent="0.2">
      <c r="A455" s="100">
        <v>395146705</v>
      </c>
    </row>
    <row r="456" spans="1:1" x14ac:dyDescent="0.2">
      <c r="A456" s="100">
        <v>395189130</v>
      </c>
    </row>
    <row r="457" spans="1:1" x14ac:dyDescent="0.2">
      <c r="A457" s="100">
        <v>395041033</v>
      </c>
    </row>
    <row r="458" spans="1:1" x14ac:dyDescent="0.2">
      <c r="A458" s="100">
        <v>395139840</v>
      </c>
    </row>
    <row r="459" spans="1:1" x14ac:dyDescent="0.2">
      <c r="A459" s="100">
        <v>395153567</v>
      </c>
    </row>
    <row r="460" spans="1:1" x14ac:dyDescent="0.2">
      <c r="A460" s="100">
        <v>395251879</v>
      </c>
    </row>
    <row r="461" spans="1:1" x14ac:dyDescent="0.2">
      <c r="A461" s="100">
        <v>395213163</v>
      </c>
    </row>
    <row r="462" spans="1:1" x14ac:dyDescent="0.2">
      <c r="A462" s="100">
        <v>394190467</v>
      </c>
    </row>
    <row r="463" spans="1:1" x14ac:dyDescent="0.2">
      <c r="A463" s="100">
        <v>395138054</v>
      </c>
    </row>
    <row r="464" spans="1:1" x14ac:dyDescent="0.2">
      <c r="A464" s="100">
        <v>395089815</v>
      </c>
    </row>
    <row r="465" spans="1:1" x14ac:dyDescent="0.2">
      <c r="A465" s="100">
        <v>395014424</v>
      </c>
    </row>
    <row r="466" spans="1:1" x14ac:dyDescent="0.2">
      <c r="A466" s="100">
        <v>395028234</v>
      </c>
    </row>
    <row r="467" spans="1:1" x14ac:dyDescent="0.2">
      <c r="A467" s="100">
        <v>395270760</v>
      </c>
    </row>
    <row r="468" spans="1:1" x14ac:dyDescent="0.2">
      <c r="A468" s="100">
        <v>395269843</v>
      </c>
    </row>
    <row r="469" spans="1:1" x14ac:dyDescent="0.2">
      <c r="A469" s="100">
        <v>395271438</v>
      </c>
    </row>
    <row r="470" spans="1:1" x14ac:dyDescent="0.2">
      <c r="A470" s="100">
        <v>394091886</v>
      </c>
    </row>
    <row r="471" spans="1:1" x14ac:dyDescent="0.2">
      <c r="A471" s="100">
        <v>395048070</v>
      </c>
    </row>
    <row r="472" spans="1:1" x14ac:dyDescent="0.2">
      <c r="A472" s="100">
        <v>395276413</v>
      </c>
    </row>
    <row r="473" spans="1:1" x14ac:dyDescent="0.2">
      <c r="A473" s="100">
        <v>395050860</v>
      </c>
    </row>
    <row r="474" spans="1:1" x14ac:dyDescent="0.2">
      <c r="A474" s="100">
        <v>396278686</v>
      </c>
    </row>
    <row r="475" spans="1:1" x14ac:dyDescent="0.2">
      <c r="A475" s="100">
        <v>395277381</v>
      </c>
    </row>
    <row r="476" spans="1:1" x14ac:dyDescent="0.2">
      <c r="A476" s="100">
        <v>395277697</v>
      </c>
    </row>
    <row r="477" spans="1:1" x14ac:dyDescent="0.2">
      <c r="A477" s="100">
        <v>395059221</v>
      </c>
    </row>
    <row r="478" spans="1:1" x14ac:dyDescent="0.2">
      <c r="A478" s="100">
        <v>395280635</v>
      </c>
    </row>
    <row r="479" spans="1:1" x14ac:dyDescent="0.2">
      <c r="A479" s="100">
        <v>394913490</v>
      </c>
    </row>
    <row r="480" spans="1:1" x14ac:dyDescent="0.2">
      <c r="A480" s="100">
        <v>395250847</v>
      </c>
    </row>
    <row r="481" spans="1:1" x14ac:dyDescent="0.2">
      <c r="A481" s="100">
        <v>395068561</v>
      </c>
    </row>
    <row r="482" spans="1:1" x14ac:dyDescent="0.2">
      <c r="A482" s="100">
        <v>395282958</v>
      </c>
    </row>
    <row r="483" spans="1:1" x14ac:dyDescent="0.2">
      <c r="A483" s="100">
        <v>395288401</v>
      </c>
    </row>
    <row r="484" spans="1:1" x14ac:dyDescent="0.2">
      <c r="A484" s="100">
        <v>395287402</v>
      </c>
    </row>
    <row r="485" spans="1:1" x14ac:dyDescent="0.2">
      <c r="A485" s="100">
        <v>395287404</v>
      </c>
    </row>
    <row r="486" spans="1:1" x14ac:dyDescent="0.2">
      <c r="A486" s="100">
        <v>395287694</v>
      </c>
    </row>
    <row r="487" spans="1:1" x14ac:dyDescent="0.2">
      <c r="A487" s="100">
        <v>395288518</v>
      </c>
    </row>
    <row r="488" spans="1:1" x14ac:dyDescent="0.2">
      <c r="A488" s="100">
        <v>395278675</v>
      </c>
    </row>
    <row r="489" spans="1:1" x14ac:dyDescent="0.2">
      <c r="A489" s="100">
        <v>396273237</v>
      </c>
    </row>
    <row r="490" spans="1:1" x14ac:dyDescent="0.2">
      <c r="A490" s="100">
        <v>395773107</v>
      </c>
    </row>
    <row r="491" spans="1:1" x14ac:dyDescent="0.2">
      <c r="A491" s="100">
        <v>395292951</v>
      </c>
    </row>
    <row r="492" spans="1:1" x14ac:dyDescent="0.2">
      <c r="A492" s="100">
        <v>395294098</v>
      </c>
    </row>
    <row r="493" spans="1:1" x14ac:dyDescent="0.2">
      <c r="A493" s="100">
        <v>395295301</v>
      </c>
    </row>
    <row r="494" spans="1:1" x14ac:dyDescent="0.2">
      <c r="A494" s="100">
        <v>395404680</v>
      </c>
    </row>
    <row r="495" spans="1:1" x14ac:dyDescent="0.2">
      <c r="A495" s="100">
        <v>395457079</v>
      </c>
    </row>
    <row r="496" spans="1:1" x14ac:dyDescent="0.2">
      <c r="A496" s="100">
        <v>393110153</v>
      </c>
    </row>
    <row r="497" spans="1:1" x14ac:dyDescent="0.2">
      <c r="A497" s="100">
        <v>395118089</v>
      </c>
    </row>
    <row r="498" spans="1:1" x14ac:dyDescent="0.2">
      <c r="A498" s="100">
        <v>395794645</v>
      </c>
    </row>
    <row r="499" spans="1:1" x14ac:dyDescent="0.2">
      <c r="A499" s="100">
        <v>395120409</v>
      </c>
    </row>
    <row r="500" spans="1:1" x14ac:dyDescent="0.2">
      <c r="A500" s="100">
        <v>393566000</v>
      </c>
    </row>
    <row r="501" spans="1:1" x14ac:dyDescent="0.2">
      <c r="A501" s="100">
        <v>395557410</v>
      </c>
    </row>
    <row r="502" spans="1:1" x14ac:dyDescent="0.2">
      <c r="A502" s="100">
        <v>395603062</v>
      </c>
    </row>
    <row r="503" spans="1:1" x14ac:dyDescent="0.2">
      <c r="A503" s="100">
        <v>395303916</v>
      </c>
    </row>
    <row r="504" spans="1:1" x14ac:dyDescent="0.2">
      <c r="A504" s="100">
        <v>394062846</v>
      </c>
    </row>
    <row r="505" spans="1:1" x14ac:dyDescent="0.2">
      <c r="A505" s="100">
        <v>394997348</v>
      </c>
    </row>
    <row r="506" spans="1:1" x14ac:dyDescent="0.2">
      <c r="A506" s="100">
        <v>394788718</v>
      </c>
    </row>
    <row r="507" spans="1:1" x14ac:dyDescent="0.2">
      <c r="A507" s="100">
        <v>395373085</v>
      </c>
    </row>
    <row r="508" spans="1:1" x14ac:dyDescent="0.2">
      <c r="A508" s="100">
        <v>394993768</v>
      </c>
    </row>
    <row r="509" spans="1:1" x14ac:dyDescent="0.2">
      <c r="A509" s="100">
        <v>395170255</v>
      </c>
    </row>
    <row r="510" spans="1:1" x14ac:dyDescent="0.2">
      <c r="A510" s="100">
        <v>395148927</v>
      </c>
    </row>
    <row r="511" spans="1:1" x14ac:dyDescent="0.2">
      <c r="A511" s="100">
        <v>395261149</v>
      </c>
    </row>
    <row r="512" spans="1:1" x14ac:dyDescent="0.2">
      <c r="A512" s="100">
        <v>395473982</v>
      </c>
    </row>
    <row r="513" spans="1:1" x14ac:dyDescent="0.2">
      <c r="A513" s="100">
        <v>395262284</v>
      </c>
    </row>
    <row r="514" spans="1:1" x14ac:dyDescent="0.2">
      <c r="A514" s="100">
        <v>395263191</v>
      </c>
    </row>
    <row r="515" spans="1:1" x14ac:dyDescent="0.2">
      <c r="A515" s="100">
        <v>395507690</v>
      </c>
    </row>
    <row r="516" spans="1:1" x14ac:dyDescent="0.2">
      <c r="A516" s="100">
        <v>395670991</v>
      </c>
    </row>
    <row r="517" spans="1:1" x14ac:dyDescent="0.2">
      <c r="A517" s="100">
        <v>394997577</v>
      </c>
    </row>
    <row r="518" spans="1:1" x14ac:dyDescent="0.2">
      <c r="A518" s="100">
        <v>395120524</v>
      </c>
    </row>
    <row r="519" spans="1:1" x14ac:dyDescent="0.2">
      <c r="A519" s="100">
        <v>394797676</v>
      </c>
    </row>
    <row r="520" spans="1:1" x14ac:dyDescent="0.2">
      <c r="A520" s="100">
        <v>395070093</v>
      </c>
    </row>
    <row r="521" spans="1:1" x14ac:dyDescent="0.2">
      <c r="A521" s="100">
        <v>395052219</v>
      </c>
    </row>
    <row r="522" spans="1:1" x14ac:dyDescent="0.2">
      <c r="A522" s="100">
        <v>394984880</v>
      </c>
    </row>
    <row r="523" spans="1:1" x14ac:dyDescent="0.2">
      <c r="A523" s="100">
        <v>394964864</v>
      </c>
    </row>
    <row r="524" spans="1:1" x14ac:dyDescent="0.2">
      <c r="A524" s="100">
        <v>395019382</v>
      </c>
    </row>
    <row r="525" spans="1:1" x14ac:dyDescent="0.2">
      <c r="A525" s="100">
        <v>395168316</v>
      </c>
    </row>
    <row r="526" spans="1:1" x14ac:dyDescent="0.2">
      <c r="A526" s="100">
        <v>395161899</v>
      </c>
    </row>
    <row r="527" spans="1:1" x14ac:dyDescent="0.2">
      <c r="A527" s="100">
        <v>395235566</v>
      </c>
    </row>
    <row r="528" spans="1:1" x14ac:dyDescent="0.2">
      <c r="A528" s="100">
        <v>395227273</v>
      </c>
    </row>
    <row r="529" spans="1:1" x14ac:dyDescent="0.2">
      <c r="A529" s="100">
        <v>395180883</v>
      </c>
    </row>
    <row r="530" spans="1:1" x14ac:dyDescent="0.2">
      <c r="A530" s="100">
        <v>395199914</v>
      </c>
    </row>
    <row r="531" spans="1:1" x14ac:dyDescent="0.2">
      <c r="A531" s="100">
        <v>395194167</v>
      </c>
    </row>
    <row r="532" spans="1:1" x14ac:dyDescent="0.2">
      <c r="A532" s="100">
        <v>395183794</v>
      </c>
    </row>
    <row r="533" spans="1:1" x14ac:dyDescent="0.2">
      <c r="A533" s="100">
        <v>395189500</v>
      </c>
    </row>
    <row r="534" spans="1:1" x14ac:dyDescent="0.2">
      <c r="A534" s="100">
        <v>395195156</v>
      </c>
    </row>
    <row r="535" spans="1:1" x14ac:dyDescent="0.2">
      <c r="A535" s="100">
        <v>395196283</v>
      </c>
    </row>
    <row r="536" spans="1:1" x14ac:dyDescent="0.2">
      <c r="A536" s="100">
        <v>395611147</v>
      </c>
    </row>
    <row r="537" spans="1:1" x14ac:dyDescent="0.2">
      <c r="A537" s="100">
        <v>395204083</v>
      </c>
    </row>
    <row r="538" spans="1:1" x14ac:dyDescent="0.2">
      <c r="A538" s="100">
        <v>395618900</v>
      </c>
    </row>
    <row r="539" spans="1:1" x14ac:dyDescent="0.2">
      <c r="A539" s="100">
        <v>395204794</v>
      </c>
    </row>
    <row r="540" spans="1:1" x14ac:dyDescent="0.2">
      <c r="A540" s="100">
        <v>395208099</v>
      </c>
    </row>
    <row r="541" spans="1:1" x14ac:dyDescent="0.2">
      <c r="A541" s="100">
        <v>395210008</v>
      </c>
    </row>
    <row r="542" spans="1:1" x14ac:dyDescent="0.2">
      <c r="A542" s="100">
        <v>395210009</v>
      </c>
    </row>
    <row r="543" spans="1:1" x14ac:dyDescent="0.2">
      <c r="A543" s="100">
        <v>395210638</v>
      </c>
    </row>
    <row r="544" spans="1:1" x14ac:dyDescent="0.2">
      <c r="A544" s="100">
        <v>395210914</v>
      </c>
    </row>
    <row r="545" spans="1:1" x14ac:dyDescent="0.2">
      <c r="A545" s="100">
        <v>395214351</v>
      </c>
    </row>
    <row r="546" spans="1:1" x14ac:dyDescent="0.2">
      <c r="A546" s="100">
        <v>395215234</v>
      </c>
    </row>
    <row r="547" spans="1:1" x14ac:dyDescent="0.2">
      <c r="A547" s="100">
        <v>395216261</v>
      </c>
    </row>
    <row r="548" spans="1:1" x14ac:dyDescent="0.2">
      <c r="A548" s="100">
        <v>395761238</v>
      </c>
    </row>
    <row r="549" spans="1:1" x14ac:dyDescent="0.2">
      <c r="A549" s="100">
        <v>395221037</v>
      </c>
    </row>
    <row r="550" spans="1:1" x14ac:dyDescent="0.2">
      <c r="A550" s="100">
        <v>395769729</v>
      </c>
    </row>
    <row r="551" spans="1:1" x14ac:dyDescent="0.2">
      <c r="A551" s="100">
        <v>395222653</v>
      </c>
    </row>
    <row r="552" spans="1:1" x14ac:dyDescent="0.2">
      <c r="A552" s="100">
        <v>395226615</v>
      </c>
    </row>
    <row r="553" spans="1:1" x14ac:dyDescent="0.2">
      <c r="A553" s="100">
        <v>395226842</v>
      </c>
    </row>
    <row r="554" spans="1:1" x14ac:dyDescent="0.2">
      <c r="A554" s="100">
        <v>395228112</v>
      </c>
    </row>
    <row r="555" spans="1:1" x14ac:dyDescent="0.2">
      <c r="A555" s="100">
        <v>395230031</v>
      </c>
    </row>
    <row r="556" spans="1:1" x14ac:dyDescent="0.2">
      <c r="A556" s="100">
        <v>395231276</v>
      </c>
    </row>
    <row r="557" spans="1:1" x14ac:dyDescent="0.2">
      <c r="A557" s="100">
        <v>395231959</v>
      </c>
    </row>
    <row r="558" spans="1:1" x14ac:dyDescent="0.2">
      <c r="A558" s="100">
        <v>395232584</v>
      </c>
    </row>
    <row r="559" spans="1:1" x14ac:dyDescent="0.2">
      <c r="A559" s="100">
        <v>395233492</v>
      </c>
    </row>
    <row r="560" spans="1:1" x14ac:dyDescent="0.2">
      <c r="A560" s="100">
        <v>395233558</v>
      </c>
    </row>
    <row r="561" spans="1:1" x14ac:dyDescent="0.2">
      <c r="A561" s="100">
        <v>395232746</v>
      </c>
    </row>
    <row r="562" spans="1:1" x14ac:dyDescent="0.2">
      <c r="A562" s="100">
        <v>395233675</v>
      </c>
    </row>
    <row r="563" spans="1:1" x14ac:dyDescent="0.2">
      <c r="A563" s="100">
        <v>395234630</v>
      </c>
    </row>
    <row r="564" spans="1:1" x14ac:dyDescent="0.2">
      <c r="A564" s="100">
        <v>395220636</v>
      </c>
    </row>
    <row r="565" spans="1:1" x14ac:dyDescent="0.2">
      <c r="A565" s="100">
        <v>395235927</v>
      </c>
    </row>
    <row r="566" spans="1:1" x14ac:dyDescent="0.2">
      <c r="A566" s="100">
        <v>395236879</v>
      </c>
    </row>
    <row r="567" spans="1:1" x14ac:dyDescent="0.2">
      <c r="A567" s="100">
        <v>395237603</v>
      </c>
    </row>
    <row r="568" spans="1:1" x14ac:dyDescent="0.2">
      <c r="A568" s="100">
        <v>395238805</v>
      </c>
    </row>
    <row r="569" spans="1:1" x14ac:dyDescent="0.2">
      <c r="A569" s="100">
        <v>395242361</v>
      </c>
    </row>
    <row r="570" spans="1:1" x14ac:dyDescent="0.2">
      <c r="A570" s="100">
        <v>393970768</v>
      </c>
    </row>
    <row r="571" spans="1:1" x14ac:dyDescent="0.2">
      <c r="A571" s="100">
        <v>395241742</v>
      </c>
    </row>
    <row r="572" spans="1:1" x14ac:dyDescent="0.2">
      <c r="A572" s="100">
        <v>395244592</v>
      </c>
    </row>
    <row r="573" spans="1:1" x14ac:dyDescent="0.2">
      <c r="A573" s="100">
        <v>395245615</v>
      </c>
    </row>
    <row r="574" spans="1:1" x14ac:dyDescent="0.2">
      <c r="A574" s="100">
        <v>395246696</v>
      </c>
    </row>
    <row r="575" spans="1:1" x14ac:dyDescent="0.2">
      <c r="A575" s="100">
        <v>395250065</v>
      </c>
    </row>
    <row r="576" spans="1:1" x14ac:dyDescent="0.2">
      <c r="A576" s="100">
        <v>394968897</v>
      </c>
    </row>
    <row r="577" spans="1:1" x14ac:dyDescent="0.2">
      <c r="A577" s="100">
        <v>394755769</v>
      </c>
    </row>
    <row r="578" spans="1:1" x14ac:dyDescent="0.2">
      <c r="A578" s="100">
        <v>395254928</v>
      </c>
    </row>
    <row r="579" spans="1:1" x14ac:dyDescent="0.2">
      <c r="A579" s="100">
        <v>395256136</v>
      </c>
    </row>
    <row r="580" spans="1:1" x14ac:dyDescent="0.2">
      <c r="A580" s="100">
        <v>395256167</v>
      </c>
    </row>
    <row r="581" spans="1:1" x14ac:dyDescent="0.2">
      <c r="A581" s="100">
        <v>395257140</v>
      </c>
    </row>
    <row r="582" spans="1:1" x14ac:dyDescent="0.2">
      <c r="A582" s="100">
        <v>395256475</v>
      </c>
    </row>
    <row r="583" spans="1:1" x14ac:dyDescent="0.2">
      <c r="A583" s="100">
        <v>395391501</v>
      </c>
    </row>
    <row r="584" spans="1:1" x14ac:dyDescent="0.2">
      <c r="A584" s="100">
        <v>395226322</v>
      </c>
    </row>
    <row r="585" spans="1:1" x14ac:dyDescent="0.2">
      <c r="A585" s="100">
        <v>393045894</v>
      </c>
    </row>
    <row r="586" spans="1:1" x14ac:dyDescent="0.2">
      <c r="A586" s="100">
        <v>395329633</v>
      </c>
    </row>
    <row r="587" spans="1:1" x14ac:dyDescent="0.2">
      <c r="A587" s="100">
        <v>395226741</v>
      </c>
    </row>
    <row r="588" spans="1:1" x14ac:dyDescent="0.2">
      <c r="A588" s="100">
        <v>395265946</v>
      </c>
    </row>
    <row r="589" spans="1:1" x14ac:dyDescent="0.2">
      <c r="A589" s="100">
        <v>395226740</v>
      </c>
    </row>
    <row r="590" spans="1:1" x14ac:dyDescent="0.2">
      <c r="A590" s="100">
        <v>395267159</v>
      </c>
    </row>
    <row r="591" spans="1:1" x14ac:dyDescent="0.2">
      <c r="A591" s="100">
        <v>395266987</v>
      </c>
    </row>
    <row r="592" spans="1:1" x14ac:dyDescent="0.2">
      <c r="A592" s="100">
        <v>395392444</v>
      </c>
    </row>
    <row r="593" spans="1:1" x14ac:dyDescent="0.2">
      <c r="A593" s="100">
        <v>395268856</v>
      </c>
    </row>
    <row r="594" spans="1:1" x14ac:dyDescent="0.2">
      <c r="A594" s="100">
        <v>395191242</v>
      </c>
    </row>
    <row r="595" spans="1:1" x14ac:dyDescent="0.2">
      <c r="A595" s="100">
        <v>394751490</v>
      </c>
    </row>
    <row r="596" spans="1:1" x14ac:dyDescent="0.2">
      <c r="A596" s="100">
        <v>395179236</v>
      </c>
    </row>
    <row r="597" spans="1:1" x14ac:dyDescent="0.2">
      <c r="A597" s="100">
        <v>395104218</v>
      </c>
    </row>
    <row r="598" spans="1:1" x14ac:dyDescent="0.2">
      <c r="A598" s="100">
        <v>395087675</v>
      </c>
    </row>
    <row r="599" spans="1:1" x14ac:dyDescent="0.2">
      <c r="A599" s="100">
        <v>395201223</v>
      </c>
    </row>
    <row r="600" spans="1:1" x14ac:dyDescent="0.2">
      <c r="A600" s="100">
        <v>395124552</v>
      </c>
    </row>
    <row r="601" spans="1:1" x14ac:dyDescent="0.2">
      <c r="A601" s="100">
        <v>395196178</v>
      </c>
    </row>
    <row r="602" spans="1:1" x14ac:dyDescent="0.2">
      <c r="A602" s="100">
        <v>395206811</v>
      </c>
    </row>
    <row r="603" spans="1:1" x14ac:dyDescent="0.2">
      <c r="A603" s="100">
        <v>395048267</v>
      </c>
    </row>
    <row r="604" spans="1:1" x14ac:dyDescent="0.2">
      <c r="A604" s="100">
        <v>395135381</v>
      </c>
    </row>
    <row r="605" spans="1:1" x14ac:dyDescent="0.2">
      <c r="A605" s="100">
        <v>395144773</v>
      </c>
    </row>
    <row r="606" spans="1:1" x14ac:dyDescent="0.2">
      <c r="A606" s="100">
        <v>395161394</v>
      </c>
    </row>
    <row r="607" spans="1:1" x14ac:dyDescent="0.2">
      <c r="A607" s="100">
        <v>395331894</v>
      </c>
    </row>
    <row r="608" spans="1:1" x14ac:dyDescent="0.2">
      <c r="A608" s="100">
        <v>395120974</v>
      </c>
    </row>
    <row r="609" spans="1:1" x14ac:dyDescent="0.2">
      <c r="A609" s="100">
        <v>395127088</v>
      </c>
    </row>
    <row r="610" spans="1:1" x14ac:dyDescent="0.2">
      <c r="A610" s="100">
        <v>393961354</v>
      </c>
    </row>
    <row r="611" spans="1:1" x14ac:dyDescent="0.2">
      <c r="A611" s="100">
        <v>395192241</v>
      </c>
    </row>
    <row r="612" spans="1:1" x14ac:dyDescent="0.2">
      <c r="A612" s="100">
        <v>395099761</v>
      </c>
    </row>
    <row r="613" spans="1:1" x14ac:dyDescent="0.2">
      <c r="A613" s="100">
        <v>395099762</v>
      </c>
    </row>
    <row r="614" spans="1:1" x14ac:dyDescent="0.2">
      <c r="A614" s="100">
        <v>395217129</v>
      </c>
    </row>
    <row r="615" spans="1:1" x14ac:dyDescent="0.2">
      <c r="A615" s="100">
        <v>395247041</v>
      </c>
    </row>
    <row r="616" spans="1:1" x14ac:dyDescent="0.2">
      <c r="A616" s="100">
        <v>395058194</v>
      </c>
    </row>
    <row r="617" spans="1:1" x14ac:dyDescent="0.2">
      <c r="A617" s="100">
        <v>395177520</v>
      </c>
    </row>
    <row r="618" spans="1:1" x14ac:dyDescent="0.2">
      <c r="A618" s="100">
        <v>395179661</v>
      </c>
    </row>
    <row r="619" spans="1:1" x14ac:dyDescent="0.2">
      <c r="A619" s="100">
        <v>395102134</v>
      </c>
    </row>
    <row r="620" spans="1:1" x14ac:dyDescent="0.2">
      <c r="A620" s="100">
        <v>395041272</v>
      </c>
    </row>
    <row r="621" spans="1:1" x14ac:dyDescent="0.2">
      <c r="A621" s="100">
        <v>395834836</v>
      </c>
    </row>
    <row r="622" spans="1:1" x14ac:dyDescent="0.2">
      <c r="A622" s="100">
        <v>395224656</v>
      </c>
    </row>
    <row r="623" spans="1:1" x14ac:dyDescent="0.2">
      <c r="A623" s="100">
        <v>395695966</v>
      </c>
    </row>
    <row r="624" spans="1:1" x14ac:dyDescent="0.2">
      <c r="A624" s="100">
        <v>395334838</v>
      </c>
    </row>
    <row r="625" spans="1:1" x14ac:dyDescent="0.2">
      <c r="A625" s="100">
        <v>395272659</v>
      </c>
    </row>
    <row r="626" spans="1:1" x14ac:dyDescent="0.2">
      <c r="A626" s="100">
        <v>396386016</v>
      </c>
    </row>
    <row r="627" spans="1:1" x14ac:dyDescent="0.2">
      <c r="A627" s="100">
        <v>395400137</v>
      </c>
    </row>
    <row r="628" spans="1:1" x14ac:dyDescent="0.2">
      <c r="A628" s="100">
        <v>395273357</v>
      </c>
    </row>
    <row r="629" spans="1:1" x14ac:dyDescent="0.2">
      <c r="A629" s="100">
        <v>395336366</v>
      </c>
    </row>
    <row r="630" spans="1:1" x14ac:dyDescent="0.2">
      <c r="A630" s="100">
        <v>395335862</v>
      </c>
    </row>
    <row r="631" spans="1:1" x14ac:dyDescent="0.2">
      <c r="A631" s="100">
        <v>395336824</v>
      </c>
    </row>
    <row r="632" spans="1:1" x14ac:dyDescent="0.2">
      <c r="A632" s="100">
        <v>395339211</v>
      </c>
    </row>
    <row r="633" spans="1:1" x14ac:dyDescent="0.2">
      <c r="A633" s="100">
        <v>395408626</v>
      </c>
    </row>
    <row r="634" spans="1:1" x14ac:dyDescent="0.2">
      <c r="A634" s="100">
        <v>395879951</v>
      </c>
    </row>
    <row r="635" spans="1:1" x14ac:dyDescent="0.2">
      <c r="A635" s="100">
        <v>395340272</v>
      </c>
    </row>
    <row r="636" spans="1:1" x14ac:dyDescent="0.2">
      <c r="A636" s="100">
        <v>395340293</v>
      </c>
    </row>
    <row r="637" spans="1:1" x14ac:dyDescent="0.2">
      <c r="A637" s="100">
        <v>395280577</v>
      </c>
    </row>
    <row r="638" spans="1:1" x14ac:dyDescent="0.2">
      <c r="A638" s="100">
        <v>395282196</v>
      </c>
    </row>
    <row r="639" spans="1:1" x14ac:dyDescent="0.2">
      <c r="A639" s="100">
        <v>395345123</v>
      </c>
    </row>
    <row r="640" spans="1:1" x14ac:dyDescent="0.2">
      <c r="A640" s="100">
        <v>395283968</v>
      </c>
    </row>
    <row r="641" spans="1:1" x14ac:dyDescent="0.2">
      <c r="A641" s="100">
        <v>395284629</v>
      </c>
    </row>
    <row r="642" spans="1:1" x14ac:dyDescent="0.2">
      <c r="A642" s="100">
        <v>395345823</v>
      </c>
    </row>
    <row r="643" spans="1:1" x14ac:dyDescent="0.2">
      <c r="A643" s="100">
        <v>395347296</v>
      </c>
    </row>
    <row r="644" spans="1:1" x14ac:dyDescent="0.2">
      <c r="A644" s="100">
        <v>395418724</v>
      </c>
    </row>
    <row r="645" spans="1:1" x14ac:dyDescent="0.2">
      <c r="A645" s="100">
        <v>395287261</v>
      </c>
    </row>
    <row r="646" spans="1:1" x14ac:dyDescent="0.2">
      <c r="A646" s="100">
        <v>395420115</v>
      </c>
    </row>
    <row r="647" spans="1:1" x14ac:dyDescent="0.2">
      <c r="A647" s="100">
        <v>395347689</v>
      </c>
    </row>
    <row r="648" spans="1:1" x14ac:dyDescent="0.2">
      <c r="A648" s="100">
        <v>395419818</v>
      </c>
    </row>
    <row r="649" spans="1:1" x14ac:dyDescent="0.2">
      <c r="A649" s="100">
        <v>395288158</v>
      </c>
    </row>
    <row r="650" spans="1:1" x14ac:dyDescent="0.2">
      <c r="A650" s="100">
        <v>395425020</v>
      </c>
    </row>
    <row r="651" spans="1:1" x14ac:dyDescent="0.2">
      <c r="A651" s="100">
        <v>395290646</v>
      </c>
    </row>
    <row r="652" spans="1:1" x14ac:dyDescent="0.2">
      <c r="A652" s="100">
        <v>395291343</v>
      </c>
    </row>
    <row r="653" spans="1:1" x14ac:dyDescent="0.2">
      <c r="A653" s="100">
        <v>395292127</v>
      </c>
    </row>
    <row r="654" spans="1:1" x14ac:dyDescent="0.2">
      <c r="A654" s="100">
        <v>395292504</v>
      </c>
    </row>
    <row r="655" spans="1:1" x14ac:dyDescent="0.2">
      <c r="A655" s="100">
        <v>395352625</v>
      </c>
    </row>
    <row r="656" spans="1:1" x14ac:dyDescent="0.2">
      <c r="A656" s="100">
        <v>395702547</v>
      </c>
    </row>
    <row r="657" spans="1:1" x14ac:dyDescent="0.2">
      <c r="A657" s="100">
        <v>395424124</v>
      </c>
    </row>
    <row r="658" spans="1:1" x14ac:dyDescent="0.2">
      <c r="A658" s="100">
        <v>395723237</v>
      </c>
    </row>
    <row r="659" spans="1:1" x14ac:dyDescent="0.2">
      <c r="A659" s="100">
        <v>395353585</v>
      </c>
    </row>
    <row r="660" spans="1:1" x14ac:dyDescent="0.2">
      <c r="A660" s="100">
        <v>395293645</v>
      </c>
    </row>
    <row r="661" spans="1:1" x14ac:dyDescent="0.2">
      <c r="A661" s="100">
        <v>395354440</v>
      </c>
    </row>
    <row r="662" spans="1:1" x14ac:dyDescent="0.2">
      <c r="A662" s="100">
        <v>395429172</v>
      </c>
    </row>
    <row r="663" spans="1:1" x14ac:dyDescent="0.2">
      <c r="A663" s="100">
        <v>395353776</v>
      </c>
    </row>
    <row r="664" spans="1:1" x14ac:dyDescent="0.2">
      <c r="A664" s="100">
        <v>395295207</v>
      </c>
    </row>
    <row r="665" spans="1:1" x14ac:dyDescent="0.2">
      <c r="A665" s="100">
        <v>395431184</v>
      </c>
    </row>
    <row r="666" spans="1:1" x14ac:dyDescent="0.2">
      <c r="A666" s="100">
        <v>395299095</v>
      </c>
    </row>
    <row r="667" spans="1:1" x14ac:dyDescent="0.2">
      <c r="A667" s="100">
        <v>395300133</v>
      </c>
    </row>
    <row r="668" spans="1:1" x14ac:dyDescent="0.2">
      <c r="A668" s="100">
        <v>395411712</v>
      </c>
    </row>
    <row r="669" spans="1:1" x14ac:dyDescent="0.2">
      <c r="A669" s="100">
        <v>395649585</v>
      </c>
    </row>
    <row r="670" spans="1:1" x14ac:dyDescent="0.2">
      <c r="A670" s="100">
        <v>395437134</v>
      </c>
    </row>
    <row r="671" spans="1:1" x14ac:dyDescent="0.2">
      <c r="A671" s="100">
        <v>395301279</v>
      </c>
    </row>
    <row r="672" spans="1:1" x14ac:dyDescent="0.2">
      <c r="A672" s="100">
        <v>395361342</v>
      </c>
    </row>
    <row r="673" spans="1:1" x14ac:dyDescent="0.2">
      <c r="A673" s="100">
        <v>395371146</v>
      </c>
    </row>
    <row r="674" spans="1:1" x14ac:dyDescent="0.2">
      <c r="A674" s="100">
        <v>395304138</v>
      </c>
    </row>
    <row r="675" spans="1:1" x14ac:dyDescent="0.2">
      <c r="A675" s="100">
        <v>395303846</v>
      </c>
    </row>
    <row r="676" spans="1:1" x14ac:dyDescent="0.2">
      <c r="A676" s="100">
        <v>395306427</v>
      </c>
    </row>
    <row r="677" spans="1:1" x14ac:dyDescent="0.2">
      <c r="A677" s="100">
        <v>395799998</v>
      </c>
    </row>
    <row r="678" spans="1:1" x14ac:dyDescent="0.2">
      <c r="A678" s="100">
        <v>395448389</v>
      </c>
    </row>
    <row r="679" spans="1:1" x14ac:dyDescent="0.2">
      <c r="A679" s="100">
        <v>395448388</v>
      </c>
    </row>
    <row r="680" spans="1:1" x14ac:dyDescent="0.2">
      <c r="A680" s="100">
        <v>395307462</v>
      </c>
    </row>
    <row r="681" spans="1:1" x14ac:dyDescent="0.2">
      <c r="A681" s="100">
        <v>395306954</v>
      </c>
    </row>
    <row r="682" spans="1:1" x14ac:dyDescent="0.2">
      <c r="A682" s="100">
        <v>395309652</v>
      </c>
    </row>
    <row r="683" spans="1:1" x14ac:dyDescent="0.2">
      <c r="A683" s="100">
        <v>395450651</v>
      </c>
    </row>
    <row r="684" spans="1:1" x14ac:dyDescent="0.2">
      <c r="A684" s="100">
        <v>395450914</v>
      </c>
    </row>
    <row r="685" spans="1:1" x14ac:dyDescent="0.2">
      <c r="A685" s="100">
        <v>395937808</v>
      </c>
    </row>
    <row r="686" spans="1:1" x14ac:dyDescent="0.2">
      <c r="A686" s="100">
        <v>395368625</v>
      </c>
    </row>
    <row r="687" spans="1:1" x14ac:dyDescent="0.2">
      <c r="A687" s="100">
        <v>395369819</v>
      </c>
    </row>
    <row r="688" spans="1:1" x14ac:dyDescent="0.2">
      <c r="A688" s="100">
        <v>395369838</v>
      </c>
    </row>
    <row r="689" spans="1:1" x14ac:dyDescent="0.2">
      <c r="A689" s="100">
        <v>395935020</v>
      </c>
    </row>
    <row r="690" spans="1:1" x14ac:dyDescent="0.2">
      <c r="A690" s="100">
        <v>395310867</v>
      </c>
    </row>
    <row r="691" spans="1:1" x14ac:dyDescent="0.2">
      <c r="A691" s="100">
        <v>395941702</v>
      </c>
    </row>
    <row r="692" spans="1:1" x14ac:dyDescent="0.2">
      <c r="A692" s="100">
        <v>395299489</v>
      </c>
    </row>
    <row r="693" spans="1:1" x14ac:dyDescent="0.2">
      <c r="A693" s="100">
        <v>394987931</v>
      </c>
    </row>
    <row r="694" spans="1:1" x14ac:dyDescent="0.2">
      <c r="A694" s="100">
        <v>395374378</v>
      </c>
    </row>
    <row r="695" spans="1:1" x14ac:dyDescent="0.2">
      <c r="A695" s="100">
        <v>395375356</v>
      </c>
    </row>
    <row r="696" spans="1:1" x14ac:dyDescent="0.2">
      <c r="A696" s="100">
        <v>395315721</v>
      </c>
    </row>
    <row r="697" spans="1:1" x14ac:dyDescent="0.2">
      <c r="A697" s="100">
        <v>395460729</v>
      </c>
    </row>
    <row r="698" spans="1:1" x14ac:dyDescent="0.2">
      <c r="A698" s="100">
        <v>395318052</v>
      </c>
    </row>
    <row r="699" spans="1:1" x14ac:dyDescent="0.2">
      <c r="A699" s="100">
        <v>394994764</v>
      </c>
    </row>
    <row r="700" spans="1:1" x14ac:dyDescent="0.2">
      <c r="A700" s="100">
        <v>395461816</v>
      </c>
    </row>
    <row r="701" spans="1:1" x14ac:dyDescent="0.2">
      <c r="A701" s="100">
        <v>395317408</v>
      </c>
    </row>
    <row r="702" spans="1:1" x14ac:dyDescent="0.2">
      <c r="A702" s="100">
        <v>395464704</v>
      </c>
    </row>
    <row r="703" spans="1:1" x14ac:dyDescent="0.2">
      <c r="A703" s="100">
        <v>395319977</v>
      </c>
    </row>
    <row r="704" spans="1:1" x14ac:dyDescent="0.2">
      <c r="A704" s="100">
        <v>395379638</v>
      </c>
    </row>
    <row r="705" spans="1:1" x14ac:dyDescent="0.2">
      <c r="A705" s="100">
        <v>395320830</v>
      </c>
    </row>
    <row r="706" spans="1:1" x14ac:dyDescent="0.2">
      <c r="A706" s="100">
        <v>395381995</v>
      </c>
    </row>
    <row r="707" spans="1:1" x14ac:dyDescent="0.2">
      <c r="A707" s="100">
        <v>395323421</v>
      </c>
    </row>
    <row r="708" spans="1:1" x14ac:dyDescent="0.2">
      <c r="A708" s="100">
        <v>395384460</v>
      </c>
    </row>
    <row r="709" spans="1:1" x14ac:dyDescent="0.2">
      <c r="A709" s="100">
        <v>395351179</v>
      </c>
    </row>
    <row r="710" spans="1:1" x14ac:dyDescent="0.2">
      <c r="A710" s="100">
        <v>395260751</v>
      </c>
    </row>
    <row r="711" spans="1:1" x14ac:dyDescent="0.2">
      <c r="A711" s="100">
        <v>395262838</v>
      </c>
    </row>
    <row r="712" spans="1:1" x14ac:dyDescent="0.2">
      <c r="A712" s="100">
        <v>395962539</v>
      </c>
    </row>
    <row r="713" spans="1:1" x14ac:dyDescent="0.2">
      <c r="A713" s="100">
        <v>395411890</v>
      </c>
    </row>
    <row r="714" spans="1:1" x14ac:dyDescent="0.2">
      <c r="A714" s="100">
        <v>395484735</v>
      </c>
    </row>
    <row r="715" spans="1:1" x14ac:dyDescent="0.2">
      <c r="A715" s="100">
        <v>394138895</v>
      </c>
    </row>
    <row r="716" spans="1:1" x14ac:dyDescent="0.2">
      <c r="A716" s="100">
        <v>395327957</v>
      </c>
    </row>
    <row r="717" spans="1:1" x14ac:dyDescent="0.2">
      <c r="A717" s="100">
        <v>395345185</v>
      </c>
    </row>
    <row r="718" spans="1:1" x14ac:dyDescent="0.2">
      <c r="A718" s="100">
        <v>395221378</v>
      </c>
    </row>
    <row r="719" spans="1:1" x14ac:dyDescent="0.2">
      <c r="A719" s="100">
        <v>395270118</v>
      </c>
    </row>
    <row r="720" spans="1:1" x14ac:dyDescent="0.2">
      <c r="A720" s="100">
        <v>395404033</v>
      </c>
    </row>
    <row r="721" spans="1:1" x14ac:dyDescent="0.2">
      <c r="A721" s="100">
        <v>395362321</v>
      </c>
    </row>
    <row r="722" spans="1:1" x14ac:dyDescent="0.2">
      <c r="A722" s="100">
        <v>395232950</v>
      </c>
    </row>
    <row r="723" spans="1:1" x14ac:dyDescent="0.2">
      <c r="A723" s="100">
        <v>395339004</v>
      </c>
    </row>
    <row r="724" spans="1:1" x14ac:dyDescent="0.2">
      <c r="A724" s="100">
        <v>395279136</v>
      </c>
    </row>
    <row r="725" spans="1:1" x14ac:dyDescent="0.2">
      <c r="A725" s="100">
        <v>395246714</v>
      </c>
    </row>
    <row r="726" spans="1:1" x14ac:dyDescent="0.2">
      <c r="A726" s="100">
        <v>395278367</v>
      </c>
    </row>
    <row r="727" spans="1:1" x14ac:dyDescent="0.2">
      <c r="A727" s="100">
        <v>395286599</v>
      </c>
    </row>
    <row r="728" spans="1:1" x14ac:dyDescent="0.2">
      <c r="A728" s="100">
        <v>395185343</v>
      </c>
    </row>
    <row r="729" spans="1:1" x14ac:dyDescent="0.2">
      <c r="A729" s="100">
        <v>395297706</v>
      </c>
    </row>
    <row r="730" spans="1:1" x14ac:dyDescent="0.2">
      <c r="A730" s="100">
        <v>395231154</v>
      </c>
    </row>
    <row r="731" spans="1:1" x14ac:dyDescent="0.2">
      <c r="A731" s="100">
        <v>395382393</v>
      </c>
    </row>
    <row r="732" spans="1:1" x14ac:dyDescent="0.2">
      <c r="A732" s="100">
        <v>395226865</v>
      </c>
    </row>
    <row r="733" spans="1:1" x14ac:dyDescent="0.2">
      <c r="A733" s="100">
        <v>395276890</v>
      </c>
    </row>
    <row r="734" spans="1:1" x14ac:dyDescent="0.2">
      <c r="A734" s="100">
        <v>395435924</v>
      </c>
    </row>
    <row r="735" spans="1:1" x14ac:dyDescent="0.2">
      <c r="A735" s="100">
        <v>395403405</v>
      </c>
    </row>
    <row r="736" spans="1:1" x14ac:dyDescent="0.2">
      <c r="A736" s="100">
        <v>395333399</v>
      </c>
    </row>
    <row r="737" spans="1:1" x14ac:dyDescent="0.2">
      <c r="A737" s="100">
        <v>395241298</v>
      </c>
    </row>
    <row r="738" spans="1:1" x14ac:dyDescent="0.2">
      <c r="A738" s="100">
        <v>395394908</v>
      </c>
    </row>
    <row r="739" spans="1:1" x14ac:dyDescent="0.2">
      <c r="A739" s="100">
        <v>395204747</v>
      </c>
    </row>
    <row r="740" spans="1:1" x14ac:dyDescent="0.2">
      <c r="A740" s="100">
        <v>395302179</v>
      </c>
    </row>
    <row r="741" spans="1:1" x14ac:dyDescent="0.2">
      <c r="A741" s="100">
        <v>395288273</v>
      </c>
    </row>
    <row r="742" spans="1:1" x14ac:dyDescent="0.2">
      <c r="A742" s="100">
        <v>395209194</v>
      </c>
    </row>
    <row r="743" spans="1:1" x14ac:dyDescent="0.2">
      <c r="A743" s="100">
        <v>395318755</v>
      </c>
    </row>
    <row r="744" spans="1:1" x14ac:dyDescent="0.2">
      <c r="A744" s="100">
        <v>395294102</v>
      </c>
    </row>
    <row r="745" spans="1:1" x14ac:dyDescent="0.2">
      <c r="A745" s="100">
        <v>395488938</v>
      </c>
    </row>
    <row r="746" spans="1:1" x14ac:dyDescent="0.2">
      <c r="A746" s="100">
        <v>395493977</v>
      </c>
    </row>
    <row r="747" spans="1:1" x14ac:dyDescent="0.2">
      <c r="A747" s="100">
        <v>395496448</v>
      </c>
    </row>
    <row r="748" spans="1:1" x14ac:dyDescent="0.2">
      <c r="A748" s="100">
        <v>395499161</v>
      </c>
    </row>
    <row r="749" spans="1:1" x14ac:dyDescent="0.2">
      <c r="A749" s="100">
        <v>395500449</v>
      </c>
    </row>
    <row r="750" spans="1:1" x14ac:dyDescent="0.2">
      <c r="A750" s="100">
        <v>395506951</v>
      </c>
    </row>
    <row r="751" spans="1:1" x14ac:dyDescent="0.2">
      <c r="A751" s="100">
        <v>395743002</v>
      </c>
    </row>
    <row r="752" spans="1:1" x14ac:dyDescent="0.2">
      <c r="A752" s="100">
        <v>395744262</v>
      </c>
    </row>
    <row r="753" spans="1:1" x14ac:dyDescent="0.2">
      <c r="A753" s="100">
        <v>395736024</v>
      </c>
    </row>
    <row r="754" spans="1:1" x14ac:dyDescent="0.2">
      <c r="A754" s="100">
        <v>395744347</v>
      </c>
    </row>
    <row r="755" spans="1:1" x14ac:dyDescent="0.2">
      <c r="A755" s="100">
        <v>395745011</v>
      </c>
    </row>
    <row r="756" spans="1:1" x14ac:dyDescent="0.2">
      <c r="A756" s="100">
        <v>395745998</v>
      </c>
    </row>
    <row r="757" spans="1:1" x14ac:dyDescent="0.2">
      <c r="A757" s="100">
        <v>395746532</v>
      </c>
    </row>
    <row r="758" spans="1:1" x14ac:dyDescent="0.2">
      <c r="A758" s="100">
        <v>395748203</v>
      </c>
    </row>
    <row r="759" spans="1:1" x14ac:dyDescent="0.2">
      <c r="A759" s="100">
        <v>395750093</v>
      </c>
    </row>
    <row r="760" spans="1:1" x14ac:dyDescent="0.2">
      <c r="A760" s="100">
        <v>395748607</v>
      </c>
    </row>
    <row r="761" spans="1:1" x14ac:dyDescent="0.2">
      <c r="A761" s="100">
        <v>395512557</v>
      </c>
    </row>
    <row r="762" spans="1:1" x14ac:dyDescent="0.2">
      <c r="A762" s="100">
        <v>395750733</v>
      </c>
    </row>
    <row r="763" spans="1:1" x14ac:dyDescent="0.2">
      <c r="A763" s="100">
        <v>395750812</v>
      </c>
    </row>
    <row r="764" spans="1:1" x14ac:dyDescent="0.2">
      <c r="A764" s="100">
        <v>395750948</v>
      </c>
    </row>
    <row r="765" spans="1:1" x14ac:dyDescent="0.2">
      <c r="A765" s="100">
        <v>395751237</v>
      </c>
    </row>
    <row r="766" spans="1:1" x14ac:dyDescent="0.2">
      <c r="A766" s="100">
        <v>395754206</v>
      </c>
    </row>
    <row r="767" spans="1:1" x14ac:dyDescent="0.2">
      <c r="A767" s="100">
        <v>395753576</v>
      </c>
    </row>
    <row r="768" spans="1:1" x14ac:dyDescent="0.2">
      <c r="A768" s="100">
        <v>395753953</v>
      </c>
    </row>
    <row r="769" spans="1:1" x14ac:dyDescent="0.2">
      <c r="A769" s="100">
        <v>395517348</v>
      </c>
    </row>
    <row r="770" spans="1:1" x14ac:dyDescent="0.2">
      <c r="A770" s="100">
        <v>395756683</v>
      </c>
    </row>
    <row r="771" spans="1:1" x14ac:dyDescent="0.2">
      <c r="A771" s="100">
        <v>395756878</v>
      </c>
    </row>
    <row r="772" spans="1:1" x14ac:dyDescent="0.2">
      <c r="A772" s="100">
        <v>395757303</v>
      </c>
    </row>
    <row r="773" spans="1:1" x14ac:dyDescent="0.2">
      <c r="A773" s="100">
        <v>395758047</v>
      </c>
    </row>
    <row r="774" spans="1:1" x14ac:dyDescent="0.2">
      <c r="A774" s="100">
        <v>395758121</v>
      </c>
    </row>
    <row r="775" spans="1:1" x14ac:dyDescent="0.2">
      <c r="A775" s="100">
        <v>395472197</v>
      </c>
    </row>
    <row r="776" spans="1:1" x14ac:dyDescent="0.2">
      <c r="A776" s="100">
        <v>395760255</v>
      </c>
    </row>
    <row r="777" spans="1:1" x14ac:dyDescent="0.2">
      <c r="A777" s="100">
        <v>395759887</v>
      </c>
    </row>
    <row r="778" spans="1:1" x14ac:dyDescent="0.2">
      <c r="A778" s="100">
        <v>395522014</v>
      </c>
    </row>
    <row r="779" spans="1:1" x14ac:dyDescent="0.2">
      <c r="A779" s="100">
        <v>395727948</v>
      </c>
    </row>
    <row r="780" spans="1:1" x14ac:dyDescent="0.2">
      <c r="A780" s="100">
        <v>395763110</v>
      </c>
    </row>
    <row r="781" spans="1:1" x14ac:dyDescent="0.2">
      <c r="A781" s="100">
        <v>395522589</v>
      </c>
    </row>
    <row r="782" spans="1:1" x14ac:dyDescent="0.2">
      <c r="A782" s="100">
        <v>395762785</v>
      </c>
    </row>
    <row r="783" spans="1:1" x14ac:dyDescent="0.2">
      <c r="A783" s="100">
        <v>395523449</v>
      </c>
    </row>
    <row r="784" spans="1:1" x14ac:dyDescent="0.2">
      <c r="A784" s="100">
        <v>395522821</v>
      </c>
    </row>
    <row r="785" spans="1:1" x14ac:dyDescent="0.2">
      <c r="A785" s="100">
        <v>395523795</v>
      </c>
    </row>
    <row r="786" spans="1:1" x14ac:dyDescent="0.2">
      <c r="A786" s="100">
        <v>395164259</v>
      </c>
    </row>
    <row r="787" spans="1:1" x14ac:dyDescent="0.2">
      <c r="A787" s="100">
        <v>395217221</v>
      </c>
    </row>
    <row r="788" spans="1:1" x14ac:dyDescent="0.2">
      <c r="A788" s="100">
        <v>395525200</v>
      </c>
    </row>
    <row r="789" spans="1:1" x14ac:dyDescent="0.2">
      <c r="A789" s="100">
        <v>395524304</v>
      </c>
    </row>
    <row r="790" spans="1:1" x14ac:dyDescent="0.2">
      <c r="A790" s="100">
        <v>395766100</v>
      </c>
    </row>
    <row r="791" spans="1:1" x14ac:dyDescent="0.2">
      <c r="A791" s="100">
        <v>395767437</v>
      </c>
    </row>
    <row r="792" spans="1:1" x14ac:dyDescent="0.2">
      <c r="A792" s="100">
        <v>395526693</v>
      </c>
    </row>
    <row r="793" spans="1:1" x14ac:dyDescent="0.2">
      <c r="A793" s="100">
        <v>395769160</v>
      </c>
    </row>
    <row r="794" spans="1:1" x14ac:dyDescent="0.2">
      <c r="A794" s="100">
        <v>395769197</v>
      </c>
    </row>
    <row r="795" spans="1:1" x14ac:dyDescent="0.2">
      <c r="A795" s="100">
        <v>395769707</v>
      </c>
    </row>
    <row r="796" spans="1:1" x14ac:dyDescent="0.2">
      <c r="A796" s="100">
        <v>395771014</v>
      </c>
    </row>
    <row r="797" spans="1:1" x14ac:dyDescent="0.2">
      <c r="A797" s="100">
        <v>395715439</v>
      </c>
    </row>
    <row r="798" spans="1:1" x14ac:dyDescent="0.2">
      <c r="A798" s="100">
        <v>395770773</v>
      </c>
    </row>
    <row r="799" spans="1:1" x14ac:dyDescent="0.2">
      <c r="A799" s="100">
        <v>395772180</v>
      </c>
    </row>
    <row r="800" spans="1:1" x14ac:dyDescent="0.2">
      <c r="A800" s="100">
        <v>395773567</v>
      </c>
    </row>
    <row r="801" spans="1:1" x14ac:dyDescent="0.2">
      <c r="A801" s="100">
        <v>395772947</v>
      </c>
    </row>
    <row r="802" spans="1:1" x14ac:dyDescent="0.2">
      <c r="A802" s="100">
        <v>395533025</v>
      </c>
    </row>
    <row r="803" spans="1:1" x14ac:dyDescent="0.2">
      <c r="A803" s="100">
        <v>395776182</v>
      </c>
    </row>
    <row r="804" spans="1:1" x14ac:dyDescent="0.2">
      <c r="A804" s="100">
        <v>395775567</v>
      </c>
    </row>
    <row r="805" spans="1:1" x14ac:dyDescent="0.2">
      <c r="A805" s="100">
        <v>395775952</v>
      </c>
    </row>
    <row r="806" spans="1:1" x14ac:dyDescent="0.2">
      <c r="A806" s="100">
        <v>395777011</v>
      </c>
    </row>
    <row r="807" spans="1:1" x14ac:dyDescent="0.2">
      <c r="A807" s="100">
        <v>395778627</v>
      </c>
    </row>
    <row r="808" spans="1:1" x14ac:dyDescent="0.2">
      <c r="A808" s="100">
        <v>395533713</v>
      </c>
    </row>
    <row r="809" spans="1:1" x14ac:dyDescent="0.2">
      <c r="A809" s="100">
        <v>395778726</v>
      </c>
    </row>
    <row r="810" spans="1:1" x14ac:dyDescent="0.2">
      <c r="A810" s="100">
        <v>395766333</v>
      </c>
    </row>
    <row r="811" spans="1:1" x14ac:dyDescent="0.2">
      <c r="A811" s="100">
        <v>395779616</v>
      </c>
    </row>
    <row r="812" spans="1:1" x14ac:dyDescent="0.2">
      <c r="A812" s="100">
        <v>395781081</v>
      </c>
    </row>
    <row r="813" spans="1:1" x14ac:dyDescent="0.2">
      <c r="A813" s="100">
        <v>395781158</v>
      </c>
    </row>
    <row r="814" spans="1:1" x14ac:dyDescent="0.2">
      <c r="A814" s="100">
        <v>395781159</v>
      </c>
    </row>
    <row r="815" spans="1:1" x14ac:dyDescent="0.2">
      <c r="A815" s="100">
        <v>395782763</v>
      </c>
    </row>
    <row r="816" spans="1:1" x14ac:dyDescent="0.2">
      <c r="A816" s="100">
        <v>395785237</v>
      </c>
    </row>
    <row r="817" spans="1:1" x14ac:dyDescent="0.2">
      <c r="A817" s="100">
        <v>395539662</v>
      </c>
    </row>
    <row r="818" spans="1:1" x14ac:dyDescent="0.2">
      <c r="A818" s="100">
        <v>395784843</v>
      </c>
    </row>
    <row r="819" spans="1:1" x14ac:dyDescent="0.2">
      <c r="A819" s="100">
        <v>395786001</v>
      </c>
    </row>
    <row r="820" spans="1:1" x14ac:dyDescent="0.2">
      <c r="A820" s="100">
        <v>395594739</v>
      </c>
    </row>
    <row r="821" spans="1:1" x14ac:dyDescent="0.2">
      <c r="A821" s="100">
        <v>395787092</v>
      </c>
    </row>
    <row r="822" spans="1:1" x14ac:dyDescent="0.2">
      <c r="A822" s="100">
        <v>395787189</v>
      </c>
    </row>
    <row r="823" spans="1:1" x14ac:dyDescent="0.2">
      <c r="A823" s="100">
        <v>395787969</v>
      </c>
    </row>
    <row r="824" spans="1:1" x14ac:dyDescent="0.2">
      <c r="A824" s="100">
        <v>395793372</v>
      </c>
    </row>
    <row r="825" spans="1:1" x14ac:dyDescent="0.2">
      <c r="A825" s="100">
        <v>395793374</v>
      </c>
    </row>
    <row r="826" spans="1:1" x14ac:dyDescent="0.2">
      <c r="A826" s="100">
        <v>395793410</v>
      </c>
    </row>
    <row r="827" spans="1:1" x14ac:dyDescent="0.2">
      <c r="A827" s="100">
        <v>395793680</v>
      </c>
    </row>
    <row r="828" spans="1:1" x14ac:dyDescent="0.2">
      <c r="A828" s="100">
        <v>395793825</v>
      </c>
    </row>
    <row r="829" spans="1:1" x14ac:dyDescent="0.2">
      <c r="A829" s="100">
        <v>395793903</v>
      </c>
    </row>
    <row r="830" spans="1:1" x14ac:dyDescent="0.2">
      <c r="A830" s="100">
        <v>395794116</v>
      </c>
    </row>
    <row r="831" spans="1:1" x14ac:dyDescent="0.2">
      <c r="A831" s="100">
        <v>395795037</v>
      </c>
    </row>
    <row r="832" spans="1:1" x14ac:dyDescent="0.2">
      <c r="A832" s="100">
        <v>395795172</v>
      </c>
    </row>
    <row r="833" spans="1:1" x14ac:dyDescent="0.2">
      <c r="A833" s="100">
        <v>395794783</v>
      </c>
    </row>
    <row r="834" spans="1:1" x14ac:dyDescent="0.2">
      <c r="A834" s="100">
        <v>395539943</v>
      </c>
    </row>
    <row r="835" spans="1:1" x14ac:dyDescent="0.2">
      <c r="A835" s="100">
        <v>395795045</v>
      </c>
    </row>
    <row r="836" spans="1:1" x14ac:dyDescent="0.2">
      <c r="A836" s="100">
        <v>395796476</v>
      </c>
    </row>
    <row r="837" spans="1:1" x14ac:dyDescent="0.2">
      <c r="A837" s="100">
        <v>395550379</v>
      </c>
    </row>
    <row r="838" spans="1:1" x14ac:dyDescent="0.2">
      <c r="A838" s="100">
        <v>395796778</v>
      </c>
    </row>
    <row r="839" spans="1:1" x14ac:dyDescent="0.2">
      <c r="A839" s="100">
        <v>395797381</v>
      </c>
    </row>
    <row r="840" spans="1:1" x14ac:dyDescent="0.2">
      <c r="A840" s="100">
        <v>395789192</v>
      </c>
    </row>
    <row r="841" spans="1:1" x14ac:dyDescent="0.2">
      <c r="A841" s="100">
        <v>395791433</v>
      </c>
    </row>
    <row r="842" spans="1:1" x14ac:dyDescent="0.2">
      <c r="A842" s="100">
        <v>395526499</v>
      </c>
    </row>
    <row r="843" spans="1:1" x14ac:dyDescent="0.2">
      <c r="A843" s="100">
        <v>395551120</v>
      </c>
    </row>
    <row r="844" spans="1:1" x14ac:dyDescent="0.2">
      <c r="A844" s="100">
        <v>395798710</v>
      </c>
    </row>
    <row r="845" spans="1:1" x14ac:dyDescent="0.2">
      <c r="A845" s="100">
        <v>395647647</v>
      </c>
    </row>
    <row r="846" spans="1:1" x14ac:dyDescent="0.2">
      <c r="A846" s="100">
        <v>395551652</v>
      </c>
    </row>
    <row r="847" spans="1:1" x14ac:dyDescent="0.2">
      <c r="A847" s="100">
        <v>395800266</v>
      </c>
    </row>
    <row r="848" spans="1:1" x14ac:dyDescent="0.2">
      <c r="A848" s="100">
        <v>395799316</v>
      </c>
    </row>
    <row r="849" spans="1:1" x14ac:dyDescent="0.2">
      <c r="A849" s="100">
        <v>395800438</v>
      </c>
    </row>
    <row r="850" spans="1:1" x14ac:dyDescent="0.2">
      <c r="A850" s="100">
        <v>395801046</v>
      </c>
    </row>
    <row r="851" spans="1:1" x14ac:dyDescent="0.2">
      <c r="A851" s="100">
        <v>395802341</v>
      </c>
    </row>
    <row r="852" spans="1:1" x14ac:dyDescent="0.2">
      <c r="A852" s="100">
        <v>395802342</v>
      </c>
    </row>
    <row r="853" spans="1:1" x14ac:dyDescent="0.2">
      <c r="A853" s="100">
        <v>395547249</v>
      </c>
    </row>
    <row r="854" spans="1:1" x14ac:dyDescent="0.2">
      <c r="A854" s="100">
        <v>395803171</v>
      </c>
    </row>
    <row r="855" spans="1:1" x14ac:dyDescent="0.2">
      <c r="A855" s="100">
        <v>395802991</v>
      </c>
    </row>
    <row r="856" spans="1:1" x14ac:dyDescent="0.2">
      <c r="A856" s="100">
        <v>395803844</v>
      </c>
    </row>
    <row r="857" spans="1:1" x14ac:dyDescent="0.2">
      <c r="A857" s="100">
        <v>395804383</v>
      </c>
    </row>
    <row r="858" spans="1:1" x14ac:dyDescent="0.2">
      <c r="A858" s="100">
        <v>395806490</v>
      </c>
    </row>
    <row r="859" spans="1:1" x14ac:dyDescent="0.2">
      <c r="A859" s="100">
        <v>395808038</v>
      </c>
    </row>
    <row r="860" spans="1:1" x14ac:dyDescent="0.2">
      <c r="A860" s="100">
        <v>395561047</v>
      </c>
    </row>
    <row r="861" spans="1:1" x14ac:dyDescent="0.2">
      <c r="A861" s="100">
        <v>395809610</v>
      </c>
    </row>
    <row r="862" spans="1:1" x14ac:dyDescent="0.2">
      <c r="A862" s="100">
        <v>395810411</v>
      </c>
    </row>
    <row r="863" spans="1:1" x14ac:dyDescent="0.2">
      <c r="A863" s="100">
        <v>395811378</v>
      </c>
    </row>
    <row r="864" spans="1:1" x14ac:dyDescent="0.2">
      <c r="A864" s="100">
        <v>395812153</v>
      </c>
    </row>
    <row r="865" spans="1:1" x14ac:dyDescent="0.2">
      <c r="A865" s="100">
        <v>395564323</v>
      </c>
    </row>
    <row r="866" spans="1:1" x14ac:dyDescent="0.2">
      <c r="A866" s="100">
        <v>395564326</v>
      </c>
    </row>
    <row r="867" spans="1:1" x14ac:dyDescent="0.2">
      <c r="A867" s="100">
        <v>395812394</v>
      </c>
    </row>
    <row r="868" spans="1:1" x14ac:dyDescent="0.2">
      <c r="A868" s="100">
        <v>395813116</v>
      </c>
    </row>
    <row r="869" spans="1:1" x14ac:dyDescent="0.2">
      <c r="A869" s="100">
        <v>395567818</v>
      </c>
    </row>
    <row r="870" spans="1:1" x14ac:dyDescent="0.2">
      <c r="A870" s="100">
        <v>395816677</v>
      </c>
    </row>
    <row r="871" spans="1:1" x14ac:dyDescent="0.2">
      <c r="A871" s="100">
        <v>395816443</v>
      </c>
    </row>
    <row r="872" spans="1:1" x14ac:dyDescent="0.2">
      <c r="A872" s="100">
        <v>395815484</v>
      </c>
    </row>
    <row r="873" spans="1:1" x14ac:dyDescent="0.2">
      <c r="A873" s="100">
        <v>395815286</v>
      </c>
    </row>
    <row r="874" spans="1:1" x14ac:dyDescent="0.2">
      <c r="A874" s="100">
        <v>395816238</v>
      </c>
    </row>
    <row r="875" spans="1:1" x14ac:dyDescent="0.2">
      <c r="A875" s="100">
        <v>394864728</v>
      </c>
    </row>
    <row r="876" spans="1:1" x14ac:dyDescent="0.2">
      <c r="A876" s="100">
        <v>394933459</v>
      </c>
    </row>
    <row r="877" spans="1:1" x14ac:dyDescent="0.2">
      <c r="A877" s="100">
        <v>395045359</v>
      </c>
    </row>
    <row r="878" spans="1:1" x14ac:dyDescent="0.2">
      <c r="A878" s="100">
        <v>395818480</v>
      </c>
    </row>
    <row r="879" spans="1:1" x14ac:dyDescent="0.2">
      <c r="A879" s="100">
        <v>395817938</v>
      </c>
    </row>
    <row r="880" spans="1:1" x14ac:dyDescent="0.2">
      <c r="A880" s="100">
        <v>395569827</v>
      </c>
    </row>
    <row r="881" spans="1:1" x14ac:dyDescent="0.2">
      <c r="A881" s="100">
        <v>395128617</v>
      </c>
    </row>
    <row r="882" spans="1:1" x14ac:dyDescent="0.2">
      <c r="A882" s="100">
        <v>395819081</v>
      </c>
    </row>
    <row r="883" spans="1:1" x14ac:dyDescent="0.2">
      <c r="A883" s="100">
        <v>395820791</v>
      </c>
    </row>
    <row r="884" spans="1:1" x14ac:dyDescent="0.2">
      <c r="A884" s="100">
        <v>394894943</v>
      </c>
    </row>
    <row r="885" spans="1:1" x14ac:dyDescent="0.2">
      <c r="A885" s="100">
        <v>395820525</v>
      </c>
    </row>
    <row r="886" spans="1:1" x14ac:dyDescent="0.2">
      <c r="A886" s="100">
        <v>395820876</v>
      </c>
    </row>
    <row r="887" spans="1:1" x14ac:dyDescent="0.2">
      <c r="A887" s="100">
        <v>395821222</v>
      </c>
    </row>
    <row r="888" spans="1:1" x14ac:dyDescent="0.2">
      <c r="A888" s="100">
        <v>395824119</v>
      </c>
    </row>
    <row r="889" spans="1:1" x14ac:dyDescent="0.2">
      <c r="A889" s="100">
        <v>395823530</v>
      </c>
    </row>
    <row r="890" spans="1:1" x14ac:dyDescent="0.2">
      <c r="A890" s="100">
        <v>395823271</v>
      </c>
    </row>
    <row r="891" spans="1:1" x14ac:dyDescent="0.2">
      <c r="A891" s="100">
        <v>395823667</v>
      </c>
    </row>
    <row r="892" spans="1:1" x14ac:dyDescent="0.2">
      <c r="A892" s="100">
        <v>395823906</v>
      </c>
    </row>
    <row r="893" spans="1:1" x14ac:dyDescent="0.2">
      <c r="A893" s="100">
        <v>395574021</v>
      </c>
    </row>
    <row r="894" spans="1:1" x14ac:dyDescent="0.2">
      <c r="A894" s="100">
        <v>395823539</v>
      </c>
    </row>
    <row r="895" spans="1:1" x14ac:dyDescent="0.2">
      <c r="A895" s="100">
        <v>395826054</v>
      </c>
    </row>
    <row r="896" spans="1:1" x14ac:dyDescent="0.2">
      <c r="A896" s="100">
        <v>395824229</v>
      </c>
    </row>
    <row r="897" spans="1:1" x14ac:dyDescent="0.2">
      <c r="A897" s="100">
        <v>395828388</v>
      </c>
    </row>
    <row r="898" spans="1:1" x14ac:dyDescent="0.2">
      <c r="A898" s="100">
        <v>395828389</v>
      </c>
    </row>
    <row r="899" spans="1:1" x14ac:dyDescent="0.2">
      <c r="A899" s="100">
        <v>395828772</v>
      </c>
    </row>
    <row r="900" spans="1:1" x14ac:dyDescent="0.2">
      <c r="A900" s="100">
        <v>395828421</v>
      </c>
    </row>
    <row r="901" spans="1:1" x14ac:dyDescent="0.2">
      <c r="A901" s="100">
        <v>395828864</v>
      </c>
    </row>
    <row r="902" spans="1:1" x14ac:dyDescent="0.2">
      <c r="A902" s="100">
        <v>395829416</v>
      </c>
    </row>
    <row r="903" spans="1:1" x14ac:dyDescent="0.2">
      <c r="A903" s="100">
        <v>394894942</v>
      </c>
    </row>
    <row r="904" spans="1:1" x14ac:dyDescent="0.2">
      <c r="A904" s="100">
        <v>395831655</v>
      </c>
    </row>
    <row r="905" spans="1:1" x14ac:dyDescent="0.2">
      <c r="A905" s="100">
        <v>395832195</v>
      </c>
    </row>
    <row r="906" spans="1:1" x14ac:dyDescent="0.2">
      <c r="A906" s="100">
        <v>395833101</v>
      </c>
    </row>
    <row r="907" spans="1:1" x14ac:dyDescent="0.2">
      <c r="A907" s="100">
        <v>395579538</v>
      </c>
    </row>
    <row r="908" spans="1:1" x14ac:dyDescent="0.2">
      <c r="A908" s="100">
        <v>395832864</v>
      </c>
    </row>
    <row r="909" spans="1:1" x14ac:dyDescent="0.2">
      <c r="A909" s="100">
        <v>395834087</v>
      </c>
    </row>
    <row r="910" spans="1:1" x14ac:dyDescent="0.2">
      <c r="A910" s="100">
        <v>395835015</v>
      </c>
    </row>
    <row r="911" spans="1:1" x14ac:dyDescent="0.2">
      <c r="A911" s="100">
        <v>395835050</v>
      </c>
    </row>
    <row r="912" spans="1:1" x14ac:dyDescent="0.2">
      <c r="A912" s="100">
        <v>395835449</v>
      </c>
    </row>
    <row r="913" spans="1:1" x14ac:dyDescent="0.2">
      <c r="A913" s="100">
        <v>395834900</v>
      </c>
    </row>
    <row r="914" spans="1:1" x14ac:dyDescent="0.2">
      <c r="A914" s="100">
        <v>395835709</v>
      </c>
    </row>
    <row r="915" spans="1:1" x14ac:dyDescent="0.2">
      <c r="A915" s="100">
        <v>395582209</v>
      </c>
    </row>
    <row r="916" spans="1:1" x14ac:dyDescent="0.2">
      <c r="A916" s="100">
        <v>395837193</v>
      </c>
    </row>
    <row r="917" spans="1:1" x14ac:dyDescent="0.2">
      <c r="A917" s="100">
        <v>395837645</v>
      </c>
    </row>
    <row r="918" spans="1:1" x14ac:dyDescent="0.2">
      <c r="A918" s="100">
        <v>394972837</v>
      </c>
    </row>
    <row r="919" spans="1:1" x14ac:dyDescent="0.2">
      <c r="A919" s="100">
        <v>394853615</v>
      </c>
    </row>
    <row r="920" spans="1:1" x14ac:dyDescent="0.2">
      <c r="A920" s="100">
        <v>395475022</v>
      </c>
    </row>
    <row r="921" spans="1:1" x14ac:dyDescent="0.2">
      <c r="A921" s="100">
        <v>395724462</v>
      </c>
    </row>
    <row r="922" spans="1:1" x14ac:dyDescent="0.2">
      <c r="A922" s="100">
        <v>395477572</v>
      </c>
    </row>
    <row r="923" spans="1:1" x14ac:dyDescent="0.2">
      <c r="A923" s="100">
        <v>395327142</v>
      </c>
    </row>
    <row r="924" spans="1:1" x14ac:dyDescent="0.2">
      <c r="A924" s="100">
        <v>395388345</v>
      </c>
    </row>
    <row r="925" spans="1:1" x14ac:dyDescent="0.2">
      <c r="A925" s="100">
        <v>395389727</v>
      </c>
    </row>
    <row r="926" spans="1:1" x14ac:dyDescent="0.2">
      <c r="A926" s="100">
        <v>395853454</v>
      </c>
    </row>
    <row r="927" spans="1:1" x14ac:dyDescent="0.2">
      <c r="A927" s="100">
        <v>395853929</v>
      </c>
    </row>
    <row r="928" spans="1:1" x14ac:dyDescent="0.2">
      <c r="A928" s="100">
        <v>394894940</v>
      </c>
    </row>
    <row r="929" spans="1:1" x14ac:dyDescent="0.2">
      <c r="A929" s="100">
        <v>393921851</v>
      </c>
    </row>
    <row r="930" spans="1:1" x14ac:dyDescent="0.2">
      <c r="A930" s="100">
        <v>395064706</v>
      </c>
    </row>
    <row r="931" spans="1:1" x14ac:dyDescent="0.2">
      <c r="A931" s="100">
        <v>395856921</v>
      </c>
    </row>
    <row r="932" spans="1:1" x14ac:dyDescent="0.2">
      <c r="A932" s="100">
        <v>395856565</v>
      </c>
    </row>
    <row r="933" spans="1:1" x14ac:dyDescent="0.2">
      <c r="A933" s="100">
        <v>395666438</v>
      </c>
    </row>
    <row r="934" spans="1:1" x14ac:dyDescent="0.2">
      <c r="A934" s="100">
        <v>395681053</v>
      </c>
    </row>
    <row r="935" spans="1:1" x14ac:dyDescent="0.2">
      <c r="A935" s="100">
        <v>395773033</v>
      </c>
    </row>
    <row r="936" spans="1:1" x14ac:dyDescent="0.2">
      <c r="A936" s="100">
        <v>395738928</v>
      </c>
    </row>
    <row r="937" spans="1:1" x14ac:dyDescent="0.2">
      <c r="A937" s="100">
        <v>395651217</v>
      </c>
    </row>
    <row r="938" spans="1:1" x14ac:dyDescent="0.2">
      <c r="A938" s="100">
        <v>395745593</v>
      </c>
    </row>
    <row r="939" spans="1:1" x14ac:dyDescent="0.2">
      <c r="A939" s="100">
        <v>395665296</v>
      </c>
    </row>
    <row r="940" spans="1:1" x14ac:dyDescent="0.2">
      <c r="A940" s="100">
        <v>395693007</v>
      </c>
    </row>
    <row r="941" spans="1:1" x14ac:dyDescent="0.2">
      <c r="A941" s="100">
        <v>395753343</v>
      </c>
    </row>
    <row r="942" spans="1:1" x14ac:dyDescent="0.2">
      <c r="A942" s="100">
        <v>395763809</v>
      </c>
    </row>
    <row r="943" spans="1:1" x14ac:dyDescent="0.2">
      <c r="A943" s="100">
        <v>395641204</v>
      </c>
    </row>
    <row r="944" spans="1:1" x14ac:dyDescent="0.2">
      <c r="A944" s="100">
        <v>395685641</v>
      </c>
    </row>
    <row r="945" spans="1:1" x14ac:dyDescent="0.2">
      <c r="A945" s="100">
        <v>395723427</v>
      </c>
    </row>
    <row r="946" spans="1:1" x14ac:dyDescent="0.2">
      <c r="A946" s="100">
        <v>395774335</v>
      </c>
    </row>
    <row r="947" spans="1:1" x14ac:dyDescent="0.2">
      <c r="A947" s="100">
        <v>395820551</v>
      </c>
    </row>
    <row r="948" spans="1:1" x14ac:dyDescent="0.2">
      <c r="A948" s="100">
        <v>395817122</v>
      </c>
    </row>
    <row r="949" spans="1:1" x14ac:dyDescent="0.2">
      <c r="A949" s="100">
        <v>395723852</v>
      </c>
    </row>
    <row r="950" spans="1:1" x14ac:dyDescent="0.2">
      <c r="A950" s="100">
        <v>395723714</v>
      </c>
    </row>
    <row r="951" spans="1:1" x14ac:dyDescent="0.2">
      <c r="A951" s="100">
        <v>395692258</v>
      </c>
    </row>
    <row r="952" spans="1:1" x14ac:dyDescent="0.2">
      <c r="A952" s="100">
        <v>395621484</v>
      </c>
    </row>
    <row r="953" spans="1:1" x14ac:dyDescent="0.2">
      <c r="A953" s="100">
        <v>395757212</v>
      </c>
    </row>
    <row r="954" spans="1:1" x14ac:dyDescent="0.2">
      <c r="A954" s="100">
        <v>395828068</v>
      </c>
    </row>
    <row r="955" spans="1:1" x14ac:dyDescent="0.2">
      <c r="A955" s="100">
        <v>395747331</v>
      </c>
    </row>
    <row r="956" spans="1:1" x14ac:dyDescent="0.2">
      <c r="A956" s="100">
        <v>395716644</v>
      </c>
    </row>
    <row r="957" spans="1:1" x14ac:dyDescent="0.2">
      <c r="A957" s="100">
        <v>395737399</v>
      </c>
    </row>
    <row r="958" spans="1:1" x14ac:dyDescent="0.2">
      <c r="A958" s="100">
        <v>395820386</v>
      </c>
    </row>
    <row r="959" spans="1:1" x14ac:dyDescent="0.2">
      <c r="A959" s="100">
        <v>395674786</v>
      </c>
    </row>
    <row r="960" spans="1:1" x14ac:dyDescent="0.2">
      <c r="A960" s="100">
        <v>395823101</v>
      </c>
    </row>
    <row r="961" spans="1:1" x14ac:dyDescent="0.2">
      <c r="A961" s="100">
        <v>395788395</v>
      </c>
    </row>
    <row r="962" spans="1:1" x14ac:dyDescent="0.2">
      <c r="A962" s="100">
        <v>395619905</v>
      </c>
    </row>
    <row r="963" spans="1:1" x14ac:dyDescent="0.2">
      <c r="A963" s="100">
        <v>395628739</v>
      </c>
    </row>
    <row r="964" spans="1:1" x14ac:dyDescent="0.2">
      <c r="A964" s="100">
        <v>395615889</v>
      </c>
    </row>
    <row r="965" spans="1:1" x14ac:dyDescent="0.2">
      <c r="A965" s="100">
        <v>395611648</v>
      </c>
    </row>
    <row r="966" spans="1:1" x14ac:dyDescent="0.2">
      <c r="A966" s="100">
        <v>395726395</v>
      </c>
    </row>
    <row r="967" spans="1:1" x14ac:dyDescent="0.2">
      <c r="A967" s="100">
        <v>395741224</v>
      </c>
    </row>
    <row r="968" spans="1:1" x14ac:dyDescent="0.2">
      <c r="A968" s="100">
        <v>395692302</v>
      </c>
    </row>
    <row r="969" spans="1:1" x14ac:dyDescent="0.2">
      <c r="A969" s="100">
        <v>395645891</v>
      </c>
    </row>
    <row r="970" spans="1:1" x14ac:dyDescent="0.2">
      <c r="A970" s="100">
        <v>395716297</v>
      </c>
    </row>
    <row r="971" spans="1:1" x14ac:dyDescent="0.2">
      <c r="A971" s="100">
        <v>395666229</v>
      </c>
    </row>
    <row r="972" spans="1:1" x14ac:dyDescent="0.2">
      <c r="A972" s="100">
        <v>395680489</v>
      </c>
    </row>
    <row r="973" spans="1:1" x14ac:dyDescent="0.2">
      <c r="A973" s="100">
        <v>395693502</v>
      </c>
    </row>
    <row r="974" spans="1:1" x14ac:dyDescent="0.2">
      <c r="A974" s="100">
        <v>395806615</v>
      </c>
    </row>
    <row r="975" spans="1:1" x14ac:dyDescent="0.2">
      <c r="A975" s="100">
        <v>395682157</v>
      </c>
    </row>
    <row r="976" spans="1:1" x14ac:dyDescent="0.2">
      <c r="A976" s="100">
        <v>395761897</v>
      </c>
    </row>
    <row r="977" spans="1:1" x14ac:dyDescent="0.2">
      <c r="A977" s="100">
        <v>395726587</v>
      </c>
    </row>
    <row r="978" spans="1:1" x14ac:dyDescent="0.2">
      <c r="A978" s="100">
        <v>395601462</v>
      </c>
    </row>
    <row r="979" spans="1:1" x14ac:dyDescent="0.2">
      <c r="A979" s="100">
        <v>395751360</v>
      </c>
    </row>
    <row r="980" spans="1:1" x14ac:dyDescent="0.2">
      <c r="A980" s="100">
        <v>395743269</v>
      </c>
    </row>
    <row r="981" spans="1:1" x14ac:dyDescent="0.2">
      <c r="A981" s="100">
        <v>395606717</v>
      </c>
    </row>
    <row r="982" spans="1:1" x14ac:dyDescent="0.2">
      <c r="A982" s="100">
        <v>395686917</v>
      </c>
    </row>
    <row r="983" spans="1:1" x14ac:dyDescent="0.2">
      <c r="A983" s="100">
        <v>395800234</v>
      </c>
    </row>
    <row r="984" spans="1:1" x14ac:dyDescent="0.2">
      <c r="A984" s="100">
        <v>395780377</v>
      </c>
    </row>
    <row r="985" spans="1:1" x14ac:dyDescent="0.2">
      <c r="A985" s="100">
        <v>395607563</v>
      </c>
    </row>
    <row r="986" spans="1:1" x14ac:dyDescent="0.2">
      <c r="A986" s="100">
        <v>395594254</v>
      </c>
    </row>
    <row r="987" spans="1:1" x14ac:dyDescent="0.2">
      <c r="A987" s="100">
        <v>395816450</v>
      </c>
    </row>
    <row r="988" spans="1:1" x14ac:dyDescent="0.2">
      <c r="A988" s="100">
        <v>395685646</v>
      </c>
    </row>
    <row r="989" spans="1:1" x14ac:dyDescent="0.2">
      <c r="A989" s="100">
        <v>395596002</v>
      </c>
    </row>
    <row r="990" spans="1:1" x14ac:dyDescent="0.2">
      <c r="A990" s="100">
        <v>395665220</v>
      </c>
    </row>
    <row r="991" spans="1:1" x14ac:dyDescent="0.2">
      <c r="A991" s="100">
        <v>395811715</v>
      </c>
    </row>
    <row r="992" spans="1:1" x14ac:dyDescent="0.2">
      <c r="A992" s="100">
        <v>395693071</v>
      </c>
    </row>
    <row r="993" spans="1:1" x14ac:dyDescent="0.2">
      <c r="A993" s="100">
        <v>395742502</v>
      </c>
    </row>
    <row r="994" spans="1:1" x14ac:dyDescent="0.2">
      <c r="A994" s="100">
        <v>395770804</v>
      </c>
    </row>
    <row r="995" spans="1:1" x14ac:dyDescent="0.2">
      <c r="A995" s="100">
        <v>395599175</v>
      </c>
    </row>
    <row r="996" spans="1:1" x14ac:dyDescent="0.2">
      <c r="A996" s="100">
        <v>395779841</v>
      </c>
    </row>
    <row r="997" spans="1:1" x14ac:dyDescent="0.2">
      <c r="A997" s="100">
        <v>395669672</v>
      </c>
    </row>
    <row r="998" spans="1:1" x14ac:dyDescent="0.2">
      <c r="A998" s="100">
        <v>395634722</v>
      </c>
    </row>
    <row r="999" spans="1:1" x14ac:dyDescent="0.2">
      <c r="A999" s="100">
        <v>395685650</v>
      </c>
    </row>
    <row r="1000" spans="1:1" x14ac:dyDescent="0.2">
      <c r="A1000" s="100">
        <v>395692567</v>
      </c>
    </row>
    <row r="1001" spans="1:1" x14ac:dyDescent="0.2">
      <c r="A1001" s="100">
        <v>395719993</v>
      </c>
    </row>
    <row r="1002" spans="1:1" x14ac:dyDescent="0.2">
      <c r="A1002" s="100">
        <v>395831175</v>
      </c>
    </row>
    <row r="1003" spans="1:1" x14ac:dyDescent="0.2">
      <c r="A1003" s="100">
        <v>395725822</v>
      </c>
    </row>
    <row r="1004" spans="1:1" x14ac:dyDescent="0.2">
      <c r="A1004" s="100">
        <v>395775778</v>
      </c>
    </row>
    <row r="1005" spans="1:1" x14ac:dyDescent="0.2">
      <c r="A1005" s="100">
        <v>395715086</v>
      </c>
    </row>
    <row r="1006" spans="1:1" x14ac:dyDescent="0.2">
      <c r="A1006" s="100">
        <v>395594371</v>
      </c>
    </row>
    <row r="1007" spans="1:1" x14ac:dyDescent="0.2">
      <c r="A1007" s="100">
        <v>395695859</v>
      </c>
    </row>
    <row r="1008" spans="1:1" x14ac:dyDescent="0.2">
      <c r="A1008" s="100">
        <v>395858749</v>
      </c>
    </row>
    <row r="1009" spans="1:1" x14ac:dyDescent="0.2">
      <c r="A1009" s="100">
        <v>395858761</v>
      </c>
    </row>
    <row r="1010" spans="1:1" x14ac:dyDescent="0.2">
      <c r="A1010" s="100">
        <v>395798651</v>
      </c>
    </row>
    <row r="1011" spans="1:1" x14ac:dyDescent="0.2">
      <c r="A1011" s="100">
        <v>395860084</v>
      </c>
    </row>
    <row r="1012" spans="1:1" x14ac:dyDescent="0.2">
      <c r="A1012" s="100">
        <v>395527473</v>
      </c>
    </row>
    <row r="1013" spans="1:1" x14ac:dyDescent="0.2">
      <c r="A1013" s="100">
        <v>395415308</v>
      </c>
    </row>
    <row r="1014" spans="1:1" x14ac:dyDescent="0.2">
      <c r="A1014" s="100">
        <v>395500687</v>
      </c>
    </row>
    <row r="1015" spans="1:1" x14ac:dyDescent="0.2">
      <c r="A1015" s="100">
        <v>395471233</v>
      </c>
    </row>
    <row r="1016" spans="1:1" x14ac:dyDescent="0.2">
      <c r="A1016" s="100">
        <v>395514488</v>
      </c>
    </row>
    <row r="1017" spans="1:1" x14ac:dyDescent="0.2">
      <c r="A1017" s="100">
        <v>395454608</v>
      </c>
    </row>
    <row r="1018" spans="1:1" x14ac:dyDescent="0.2">
      <c r="A1018" s="100">
        <v>395563467</v>
      </c>
    </row>
    <row r="1019" spans="1:1" x14ac:dyDescent="0.2">
      <c r="A1019" s="100">
        <v>395488619</v>
      </c>
    </row>
    <row r="1020" spans="1:1" x14ac:dyDescent="0.2">
      <c r="A1020" s="100">
        <v>395434481</v>
      </c>
    </row>
    <row r="1021" spans="1:1" x14ac:dyDescent="0.2">
      <c r="A1021" s="100">
        <v>395524786</v>
      </c>
    </row>
    <row r="1022" spans="1:1" x14ac:dyDescent="0.2">
      <c r="A1022" s="100">
        <v>395529165</v>
      </c>
    </row>
    <row r="1023" spans="1:1" x14ac:dyDescent="0.2">
      <c r="A1023" s="100">
        <v>395490427</v>
      </c>
    </row>
    <row r="1024" spans="1:1" x14ac:dyDescent="0.2">
      <c r="A1024" s="100">
        <v>395583189</v>
      </c>
    </row>
    <row r="1025" spans="1:1" x14ac:dyDescent="0.2">
      <c r="A1025" s="100">
        <v>395859499</v>
      </c>
    </row>
    <row r="1026" spans="1:1" x14ac:dyDescent="0.2">
      <c r="A1026" s="100">
        <v>395862183</v>
      </c>
    </row>
    <row r="1027" spans="1:1" x14ac:dyDescent="0.2">
      <c r="A1027" s="100">
        <v>395862465</v>
      </c>
    </row>
    <row r="1028" spans="1:1" x14ac:dyDescent="0.2">
      <c r="A1028" s="100">
        <v>395862519</v>
      </c>
    </row>
    <row r="1029" spans="1:1" x14ac:dyDescent="0.2">
      <c r="A1029" s="100">
        <v>395622066</v>
      </c>
    </row>
    <row r="1030" spans="1:1" x14ac:dyDescent="0.2">
      <c r="A1030" s="100">
        <v>395863747</v>
      </c>
    </row>
    <row r="1031" spans="1:1" x14ac:dyDescent="0.2">
      <c r="A1031" s="100">
        <v>395828538</v>
      </c>
    </row>
    <row r="1032" spans="1:1" x14ac:dyDescent="0.2">
      <c r="A1032" s="100">
        <v>395864732</v>
      </c>
    </row>
    <row r="1033" spans="1:1" x14ac:dyDescent="0.2">
      <c r="A1033" s="100">
        <v>395865496</v>
      </c>
    </row>
    <row r="1034" spans="1:1" x14ac:dyDescent="0.2">
      <c r="A1034" s="100">
        <v>395867036</v>
      </c>
    </row>
    <row r="1035" spans="1:1" x14ac:dyDescent="0.2">
      <c r="A1035" s="100">
        <v>395602299</v>
      </c>
    </row>
    <row r="1036" spans="1:1" x14ac:dyDescent="0.2">
      <c r="A1036" s="100">
        <v>395603344</v>
      </c>
    </row>
    <row r="1037" spans="1:1" x14ac:dyDescent="0.2">
      <c r="A1037" s="100">
        <v>395867363</v>
      </c>
    </row>
    <row r="1038" spans="1:1" x14ac:dyDescent="0.2">
      <c r="A1038" s="100">
        <v>395866677</v>
      </c>
    </row>
    <row r="1039" spans="1:1" x14ac:dyDescent="0.2">
      <c r="A1039" s="100">
        <v>395870336</v>
      </c>
    </row>
    <row r="1040" spans="1:1" x14ac:dyDescent="0.2">
      <c r="A1040" s="100">
        <v>395871661</v>
      </c>
    </row>
    <row r="1041" spans="1:1" x14ac:dyDescent="0.2">
      <c r="A1041" s="100">
        <v>395756757</v>
      </c>
    </row>
    <row r="1042" spans="1:1" x14ac:dyDescent="0.2">
      <c r="A1042" s="100">
        <v>396418893</v>
      </c>
    </row>
    <row r="1043" spans="1:1" x14ac:dyDescent="0.2">
      <c r="A1043" s="100">
        <v>395608243</v>
      </c>
    </row>
    <row r="1044" spans="1:1" x14ac:dyDescent="0.2">
      <c r="A1044" s="100">
        <v>395594886</v>
      </c>
    </row>
    <row r="1045" spans="1:1" x14ac:dyDescent="0.2">
      <c r="A1045" s="100">
        <v>395874099</v>
      </c>
    </row>
    <row r="1046" spans="1:1" x14ac:dyDescent="0.2">
      <c r="A1046" s="100">
        <v>395875164</v>
      </c>
    </row>
    <row r="1047" spans="1:1" x14ac:dyDescent="0.2">
      <c r="A1047" s="100">
        <v>395875590</v>
      </c>
    </row>
    <row r="1048" spans="1:1" x14ac:dyDescent="0.2">
      <c r="A1048" s="100">
        <v>395875732</v>
      </c>
    </row>
    <row r="1049" spans="1:1" x14ac:dyDescent="0.2">
      <c r="A1049" s="100">
        <v>395875761</v>
      </c>
    </row>
    <row r="1050" spans="1:1" x14ac:dyDescent="0.2">
      <c r="A1050" s="100">
        <v>395876032</v>
      </c>
    </row>
    <row r="1051" spans="1:1" x14ac:dyDescent="0.2">
      <c r="A1051" s="100">
        <v>395335156</v>
      </c>
    </row>
    <row r="1052" spans="1:1" x14ac:dyDescent="0.2">
      <c r="A1052" s="100">
        <v>395876101</v>
      </c>
    </row>
    <row r="1053" spans="1:1" x14ac:dyDescent="0.2">
      <c r="A1053" s="100">
        <v>395877337</v>
      </c>
    </row>
    <row r="1054" spans="1:1" x14ac:dyDescent="0.2">
      <c r="A1054" s="100">
        <v>395877416</v>
      </c>
    </row>
    <row r="1055" spans="1:1" x14ac:dyDescent="0.2">
      <c r="A1055" s="100">
        <v>395876446</v>
      </c>
    </row>
    <row r="1056" spans="1:1" x14ac:dyDescent="0.2">
      <c r="A1056" s="100">
        <v>395877542</v>
      </c>
    </row>
    <row r="1057" spans="1:1" x14ac:dyDescent="0.2">
      <c r="A1057" s="100">
        <v>395876872</v>
      </c>
    </row>
    <row r="1058" spans="1:1" x14ac:dyDescent="0.2">
      <c r="A1058" s="100">
        <v>395769441</v>
      </c>
    </row>
    <row r="1059" spans="1:1" x14ac:dyDescent="0.2">
      <c r="A1059" s="100">
        <v>396864983</v>
      </c>
    </row>
    <row r="1060" spans="1:1" x14ac:dyDescent="0.2">
      <c r="A1060" s="100">
        <v>395877000</v>
      </c>
    </row>
    <row r="1061" spans="1:1" x14ac:dyDescent="0.2">
      <c r="A1061" s="100">
        <v>395881143</v>
      </c>
    </row>
    <row r="1062" spans="1:1" x14ac:dyDescent="0.2">
      <c r="A1062" s="100">
        <v>395880944</v>
      </c>
    </row>
    <row r="1063" spans="1:1" x14ac:dyDescent="0.2">
      <c r="A1063" s="100">
        <v>395880945</v>
      </c>
    </row>
    <row r="1064" spans="1:1" x14ac:dyDescent="0.2">
      <c r="A1064" s="100">
        <v>395881445</v>
      </c>
    </row>
    <row r="1065" spans="1:1" x14ac:dyDescent="0.2">
      <c r="A1065" s="100">
        <v>395881646</v>
      </c>
    </row>
    <row r="1066" spans="1:1" x14ac:dyDescent="0.2">
      <c r="A1066" s="100">
        <v>395755101</v>
      </c>
    </row>
    <row r="1067" spans="1:1" x14ac:dyDescent="0.2">
      <c r="A1067" s="100">
        <v>395881834</v>
      </c>
    </row>
    <row r="1068" spans="1:1" x14ac:dyDescent="0.2">
      <c r="A1068" s="100">
        <v>395883034</v>
      </c>
    </row>
    <row r="1069" spans="1:1" x14ac:dyDescent="0.2">
      <c r="A1069" s="100">
        <v>395883231</v>
      </c>
    </row>
    <row r="1070" spans="1:1" x14ac:dyDescent="0.2">
      <c r="A1070" s="100">
        <v>395617129</v>
      </c>
    </row>
    <row r="1071" spans="1:1" x14ac:dyDescent="0.2">
      <c r="A1071" s="100">
        <v>395617149</v>
      </c>
    </row>
    <row r="1072" spans="1:1" x14ac:dyDescent="0.2">
      <c r="A1072" s="100">
        <v>395884108</v>
      </c>
    </row>
    <row r="1073" spans="1:1" x14ac:dyDescent="0.2">
      <c r="A1073" s="100">
        <v>395618167</v>
      </c>
    </row>
    <row r="1074" spans="1:1" x14ac:dyDescent="0.2">
      <c r="A1074" s="100">
        <v>394526011</v>
      </c>
    </row>
    <row r="1075" spans="1:1" x14ac:dyDescent="0.2">
      <c r="A1075" s="100">
        <v>395884551</v>
      </c>
    </row>
    <row r="1076" spans="1:1" x14ac:dyDescent="0.2">
      <c r="A1076" s="100">
        <v>395410416</v>
      </c>
    </row>
    <row r="1077" spans="1:1" x14ac:dyDescent="0.2">
      <c r="A1077" s="100">
        <v>395884761</v>
      </c>
    </row>
    <row r="1078" spans="1:1" x14ac:dyDescent="0.2">
      <c r="A1078" s="100">
        <v>395618837</v>
      </c>
    </row>
    <row r="1079" spans="1:1" x14ac:dyDescent="0.2">
      <c r="A1079" s="100">
        <v>395694354</v>
      </c>
    </row>
    <row r="1080" spans="1:1" x14ac:dyDescent="0.2">
      <c r="A1080" s="100">
        <v>395885778</v>
      </c>
    </row>
    <row r="1081" spans="1:1" x14ac:dyDescent="0.2">
      <c r="A1081" s="100">
        <v>395620021</v>
      </c>
    </row>
    <row r="1082" spans="1:1" x14ac:dyDescent="0.2">
      <c r="A1082" s="100">
        <v>395887265</v>
      </c>
    </row>
    <row r="1083" spans="1:1" x14ac:dyDescent="0.2">
      <c r="A1083" s="100">
        <v>395887954</v>
      </c>
    </row>
    <row r="1084" spans="1:1" x14ac:dyDescent="0.2">
      <c r="A1084" s="100">
        <v>395621404</v>
      </c>
    </row>
    <row r="1085" spans="1:1" x14ac:dyDescent="0.2">
      <c r="A1085" s="100">
        <v>395623104</v>
      </c>
    </row>
    <row r="1086" spans="1:1" x14ac:dyDescent="0.2">
      <c r="A1086" s="100">
        <v>395892414</v>
      </c>
    </row>
    <row r="1087" spans="1:1" x14ac:dyDescent="0.2">
      <c r="A1087" s="100">
        <v>395891711</v>
      </c>
    </row>
    <row r="1088" spans="1:1" x14ac:dyDescent="0.2">
      <c r="A1088" s="100">
        <v>395890760</v>
      </c>
    </row>
    <row r="1089" spans="1:1" x14ac:dyDescent="0.2">
      <c r="A1089" s="100">
        <v>395894331</v>
      </c>
    </row>
    <row r="1090" spans="1:1" x14ac:dyDescent="0.2">
      <c r="A1090" s="100">
        <v>395894615</v>
      </c>
    </row>
    <row r="1091" spans="1:1" x14ac:dyDescent="0.2">
      <c r="A1091" s="100">
        <v>395893659</v>
      </c>
    </row>
    <row r="1092" spans="1:1" x14ac:dyDescent="0.2">
      <c r="A1092" s="100">
        <v>395894943</v>
      </c>
    </row>
    <row r="1093" spans="1:1" x14ac:dyDescent="0.2">
      <c r="A1093" s="100">
        <v>395895484</v>
      </c>
    </row>
    <row r="1094" spans="1:1" x14ac:dyDescent="0.2">
      <c r="A1094" s="100">
        <v>395478880</v>
      </c>
    </row>
    <row r="1095" spans="1:1" x14ac:dyDescent="0.2">
      <c r="A1095" s="100">
        <v>395772698</v>
      </c>
    </row>
    <row r="1096" spans="1:1" x14ac:dyDescent="0.2">
      <c r="A1096" s="100">
        <v>395895077</v>
      </c>
    </row>
    <row r="1097" spans="1:1" x14ac:dyDescent="0.2">
      <c r="A1097" s="100">
        <v>395898191</v>
      </c>
    </row>
    <row r="1098" spans="1:1" x14ac:dyDescent="0.2">
      <c r="A1098" s="100">
        <v>395897505</v>
      </c>
    </row>
    <row r="1099" spans="1:1" x14ac:dyDescent="0.2">
      <c r="A1099" s="100">
        <v>395898354</v>
      </c>
    </row>
    <row r="1100" spans="1:1" x14ac:dyDescent="0.2">
      <c r="A1100" s="100">
        <v>395897722</v>
      </c>
    </row>
    <row r="1101" spans="1:1" x14ac:dyDescent="0.2">
      <c r="A1101" s="100">
        <v>395898512</v>
      </c>
    </row>
    <row r="1102" spans="1:1" x14ac:dyDescent="0.2">
      <c r="A1102" s="100">
        <v>395897891</v>
      </c>
    </row>
    <row r="1103" spans="1:1" x14ac:dyDescent="0.2">
      <c r="A1103" s="100">
        <v>395899197</v>
      </c>
    </row>
    <row r="1104" spans="1:1" x14ac:dyDescent="0.2">
      <c r="A1104" s="100">
        <v>395897739</v>
      </c>
    </row>
    <row r="1105" spans="1:1" x14ac:dyDescent="0.2">
      <c r="A1105" s="100">
        <v>395899535</v>
      </c>
    </row>
    <row r="1106" spans="1:1" x14ac:dyDescent="0.2">
      <c r="A1106" s="100">
        <v>395899603</v>
      </c>
    </row>
    <row r="1107" spans="1:1" x14ac:dyDescent="0.2">
      <c r="A1107" s="100">
        <v>395901147</v>
      </c>
    </row>
    <row r="1108" spans="1:1" x14ac:dyDescent="0.2">
      <c r="A1108" s="100">
        <v>395902175</v>
      </c>
    </row>
    <row r="1109" spans="1:1" x14ac:dyDescent="0.2">
      <c r="A1109" s="100">
        <v>395902545</v>
      </c>
    </row>
    <row r="1110" spans="1:1" x14ac:dyDescent="0.2">
      <c r="A1110" s="100">
        <v>395903402</v>
      </c>
    </row>
    <row r="1111" spans="1:1" x14ac:dyDescent="0.2">
      <c r="A1111" s="100">
        <v>395904261</v>
      </c>
    </row>
    <row r="1112" spans="1:1" x14ac:dyDescent="0.2">
      <c r="A1112" s="100">
        <v>395903672</v>
      </c>
    </row>
    <row r="1113" spans="1:1" x14ac:dyDescent="0.2">
      <c r="A1113" s="100">
        <v>395903563</v>
      </c>
    </row>
    <row r="1114" spans="1:1" x14ac:dyDescent="0.2">
      <c r="A1114" s="100">
        <v>395903558</v>
      </c>
    </row>
    <row r="1115" spans="1:1" x14ac:dyDescent="0.2">
      <c r="A1115" s="100">
        <v>395903940</v>
      </c>
    </row>
    <row r="1116" spans="1:1" x14ac:dyDescent="0.2">
      <c r="A1116" s="100">
        <v>395906437</v>
      </c>
    </row>
    <row r="1117" spans="1:1" x14ac:dyDescent="0.2">
      <c r="A1117" s="100">
        <v>395806368</v>
      </c>
    </row>
    <row r="1118" spans="1:1" x14ac:dyDescent="0.2">
      <c r="A1118" s="100">
        <v>395907278</v>
      </c>
    </row>
    <row r="1119" spans="1:1" x14ac:dyDescent="0.2">
      <c r="A1119" s="100">
        <v>395908330</v>
      </c>
    </row>
    <row r="1120" spans="1:1" x14ac:dyDescent="0.2">
      <c r="A1120" s="100">
        <v>395909188</v>
      </c>
    </row>
    <row r="1121" spans="1:1" x14ac:dyDescent="0.2">
      <c r="A1121" s="100">
        <v>395908457</v>
      </c>
    </row>
    <row r="1122" spans="1:1" x14ac:dyDescent="0.2">
      <c r="A1122" s="100">
        <v>395639842</v>
      </c>
    </row>
    <row r="1123" spans="1:1" x14ac:dyDescent="0.2">
      <c r="A1123" s="100">
        <v>395909784</v>
      </c>
    </row>
    <row r="1124" spans="1:1" x14ac:dyDescent="0.2">
      <c r="A1124" s="100">
        <v>395908867</v>
      </c>
    </row>
    <row r="1125" spans="1:1" x14ac:dyDescent="0.2">
      <c r="A1125" s="100">
        <v>395911362</v>
      </c>
    </row>
    <row r="1126" spans="1:1" x14ac:dyDescent="0.2">
      <c r="A1126" s="100">
        <v>395913185</v>
      </c>
    </row>
    <row r="1127" spans="1:1" x14ac:dyDescent="0.2">
      <c r="A1127" s="100">
        <v>395912214</v>
      </c>
    </row>
    <row r="1128" spans="1:1" x14ac:dyDescent="0.2">
      <c r="A1128" s="100">
        <v>395913229</v>
      </c>
    </row>
    <row r="1129" spans="1:1" x14ac:dyDescent="0.2">
      <c r="A1129" s="100">
        <v>395914047</v>
      </c>
    </row>
    <row r="1130" spans="1:1" x14ac:dyDescent="0.2">
      <c r="A1130" s="100">
        <v>395913728</v>
      </c>
    </row>
    <row r="1131" spans="1:1" x14ac:dyDescent="0.2">
      <c r="A1131" s="100">
        <v>395915715</v>
      </c>
    </row>
    <row r="1132" spans="1:1" x14ac:dyDescent="0.2">
      <c r="A1132" s="100">
        <v>395914832</v>
      </c>
    </row>
    <row r="1133" spans="1:1" x14ac:dyDescent="0.2">
      <c r="A1133" s="100">
        <v>395915803</v>
      </c>
    </row>
    <row r="1134" spans="1:1" x14ac:dyDescent="0.2">
      <c r="A1134" s="100">
        <v>395914997</v>
      </c>
    </row>
    <row r="1135" spans="1:1" x14ac:dyDescent="0.2">
      <c r="A1135" s="100">
        <v>395916064</v>
      </c>
    </row>
    <row r="1136" spans="1:1" x14ac:dyDescent="0.2">
      <c r="A1136" s="100">
        <v>395919226</v>
      </c>
    </row>
    <row r="1137" spans="1:1" x14ac:dyDescent="0.2">
      <c r="A1137" s="100">
        <v>395919346</v>
      </c>
    </row>
    <row r="1138" spans="1:1" x14ac:dyDescent="0.2">
      <c r="A1138" s="100">
        <v>395918595</v>
      </c>
    </row>
    <row r="1139" spans="1:1" x14ac:dyDescent="0.2">
      <c r="A1139" s="100">
        <v>395921102</v>
      </c>
    </row>
    <row r="1140" spans="1:1" x14ac:dyDescent="0.2">
      <c r="A1140" s="100">
        <v>395650450</v>
      </c>
    </row>
    <row r="1141" spans="1:1" x14ac:dyDescent="0.2">
      <c r="A1141" s="100">
        <v>392446751</v>
      </c>
    </row>
    <row r="1142" spans="1:1" x14ac:dyDescent="0.2">
      <c r="A1142" s="100">
        <v>392659207</v>
      </c>
    </row>
    <row r="1143" spans="1:1" x14ac:dyDescent="0.2">
      <c r="A1143" s="100">
        <v>395921656</v>
      </c>
    </row>
    <row r="1144" spans="1:1" x14ac:dyDescent="0.2">
      <c r="A1144" s="100">
        <v>395923160</v>
      </c>
    </row>
    <row r="1145" spans="1:1" x14ac:dyDescent="0.2">
      <c r="A1145" s="100">
        <v>395924294</v>
      </c>
    </row>
    <row r="1146" spans="1:1" x14ac:dyDescent="0.2">
      <c r="A1146" s="100">
        <v>395923829</v>
      </c>
    </row>
    <row r="1147" spans="1:1" x14ac:dyDescent="0.2">
      <c r="A1147" s="100">
        <v>395924415</v>
      </c>
    </row>
    <row r="1148" spans="1:1" x14ac:dyDescent="0.2">
      <c r="A1148" s="100">
        <v>395924442</v>
      </c>
    </row>
    <row r="1149" spans="1:1" x14ac:dyDescent="0.2">
      <c r="A1149" s="100">
        <v>395924683</v>
      </c>
    </row>
    <row r="1150" spans="1:1" x14ac:dyDescent="0.2">
      <c r="A1150" s="100">
        <v>395926517</v>
      </c>
    </row>
    <row r="1151" spans="1:1" x14ac:dyDescent="0.2">
      <c r="A1151" s="100">
        <v>395926894</v>
      </c>
    </row>
    <row r="1152" spans="1:1" x14ac:dyDescent="0.2">
      <c r="A1152" s="100">
        <v>395928794</v>
      </c>
    </row>
    <row r="1153" spans="1:1" x14ac:dyDescent="0.2">
      <c r="A1153" s="100">
        <v>396613995</v>
      </c>
    </row>
    <row r="1154" spans="1:1" x14ac:dyDescent="0.2">
      <c r="A1154" s="100">
        <v>395878193</v>
      </c>
    </row>
    <row r="1155" spans="1:1" x14ac:dyDescent="0.2">
      <c r="A1155" s="100">
        <v>395929807</v>
      </c>
    </row>
    <row r="1156" spans="1:1" x14ac:dyDescent="0.2">
      <c r="A1156" s="100">
        <v>395882133</v>
      </c>
    </row>
    <row r="1157" spans="1:1" x14ac:dyDescent="0.2">
      <c r="A1157" s="100">
        <v>395932044</v>
      </c>
    </row>
    <row r="1158" spans="1:1" x14ac:dyDescent="0.2">
      <c r="A1158" s="100">
        <v>395929508</v>
      </c>
    </row>
    <row r="1159" spans="1:1" x14ac:dyDescent="0.2">
      <c r="A1159" s="100">
        <v>395931250</v>
      </c>
    </row>
    <row r="1160" spans="1:1" x14ac:dyDescent="0.2">
      <c r="A1160" s="100">
        <v>395932354</v>
      </c>
    </row>
    <row r="1161" spans="1:1" x14ac:dyDescent="0.2">
      <c r="A1161" s="100">
        <v>395906996</v>
      </c>
    </row>
    <row r="1162" spans="1:1" x14ac:dyDescent="0.2">
      <c r="A1162" s="100">
        <v>395485468</v>
      </c>
    </row>
    <row r="1163" spans="1:1" x14ac:dyDescent="0.2">
      <c r="A1163" s="100">
        <v>395932773</v>
      </c>
    </row>
    <row r="1164" spans="1:1" x14ac:dyDescent="0.2">
      <c r="A1164" s="100">
        <v>395916294</v>
      </c>
    </row>
    <row r="1165" spans="1:1" x14ac:dyDescent="0.2">
      <c r="A1165" s="100">
        <v>395933261</v>
      </c>
    </row>
    <row r="1166" spans="1:1" x14ac:dyDescent="0.2">
      <c r="A1166" s="100">
        <v>395934571</v>
      </c>
    </row>
    <row r="1167" spans="1:1" x14ac:dyDescent="0.2">
      <c r="A1167" s="100">
        <v>395909726</v>
      </c>
    </row>
    <row r="1168" spans="1:1" x14ac:dyDescent="0.2">
      <c r="A1168" s="100">
        <v>395934662</v>
      </c>
    </row>
    <row r="1169" spans="1:1" x14ac:dyDescent="0.2">
      <c r="A1169" s="100">
        <v>395894265</v>
      </c>
    </row>
    <row r="1170" spans="1:1" x14ac:dyDescent="0.2">
      <c r="A1170" s="100">
        <v>395934832</v>
      </c>
    </row>
    <row r="1171" spans="1:1" x14ac:dyDescent="0.2">
      <c r="A1171" s="100">
        <v>395936377</v>
      </c>
    </row>
    <row r="1172" spans="1:1" x14ac:dyDescent="0.2">
      <c r="A1172" s="100">
        <v>394167915</v>
      </c>
    </row>
    <row r="1173" spans="1:1" x14ac:dyDescent="0.2">
      <c r="A1173" s="100">
        <v>395935911</v>
      </c>
    </row>
    <row r="1174" spans="1:1" x14ac:dyDescent="0.2">
      <c r="A1174" s="100">
        <v>395935788</v>
      </c>
    </row>
    <row r="1175" spans="1:1" x14ac:dyDescent="0.2">
      <c r="A1175" s="100">
        <v>395936788</v>
      </c>
    </row>
    <row r="1176" spans="1:1" x14ac:dyDescent="0.2">
      <c r="A1176" s="100">
        <v>395937166</v>
      </c>
    </row>
    <row r="1177" spans="1:1" x14ac:dyDescent="0.2">
      <c r="A1177" s="100">
        <v>395938242</v>
      </c>
    </row>
    <row r="1178" spans="1:1" x14ac:dyDescent="0.2">
      <c r="A1178" s="100">
        <v>395294415</v>
      </c>
    </row>
    <row r="1179" spans="1:1" x14ac:dyDescent="0.2">
      <c r="A1179" s="100">
        <v>395670771</v>
      </c>
    </row>
    <row r="1180" spans="1:1" x14ac:dyDescent="0.2">
      <c r="A1180" s="100">
        <v>395939136</v>
      </c>
    </row>
    <row r="1181" spans="1:1" x14ac:dyDescent="0.2">
      <c r="A1181" s="100">
        <v>395940095</v>
      </c>
    </row>
    <row r="1182" spans="1:1" x14ac:dyDescent="0.2">
      <c r="A1182" s="100">
        <v>395939298</v>
      </c>
    </row>
    <row r="1183" spans="1:1" x14ac:dyDescent="0.2">
      <c r="A1183" s="100">
        <v>395940474</v>
      </c>
    </row>
    <row r="1184" spans="1:1" x14ac:dyDescent="0.2">
      <c r="A1184" s="100">
        <v>395674251</v>
      </c>
    </row>
    <row r="1185" spans="1:1" x14ac:dyDescent="0.2">
      <c r="A1185" s="100">
        <v>395942866</v>
      </c>
    </row>
    <row r="1186" spans="1:1" x14ac:dyDescent="0.2">
      <c r="A1186" s="100">
        <v>395943398</v>
      </c>
    </row>
    <row r="1187" spans="1:1" x14ac:dyDescent="0.2">
      <c r="A1187" s="100">
        <v>395944846</v>
      </c>
    </row>
    <row r="1188" spans="1:1" x14ac:dyDescent="0.2">
      <c r="A1188" s="100">
        <v>395554822</v>
      </c>
    </row>
    <row r="1189" spans="1:1" x14ac:dyDescent="0.2">
      <c r="A1189" s="100">
        <v>395335157</v>
      </c>
    </row>
    <row r="1190" spans="1:1" x14ac:dyDescent="0.2">
      <c r="A1190" s="100">
        <v>394788401</v>
      </c>
    </row>
    <row r="1191" spans="1:1" x14ac:dyDescent="0.2">
      <c r="A1191" s="100">
        <v>395947947</v>
      </c>
    </row>
    <row r="1192" spans="1:1" x14ac:dyDescent="0.2">
      <c r="A1192" s="100">
        <v>395948700</v>
      </c>
    </row>
    <row r="1193" spans="1:1" x14ac:dyDescent="0.2">
      <c r="A1193" s="100">
        <v>395949660</v>
      </c>
    </row>
    <row r="1194" spans="1:1" x14ac:dyDescent="0.2">
      <c r="A1194" s="100">
        <v>395673661</v>
      </c>
    </row>
    <row r="1195" spans="1:1" x14ac:dyDescent="0.2">
      <c r="A1195" s="100">
        <v>395950306</v>
      </c>
    </row>
    <row r="1196" spans="1:1" x14ac:dyDescent="0.2">
      <c r="A1196" s="100">
        <v>395949836</v>
      </c>
    </row>
    <row r="1197" spans="1:1" x14ac:dyDescent="0.2">
      <c r="A1197" s="100">
        <v>395950355</v>
      </c>
    </row>
    <row r="1198" spans="1:1" x14ac:dyDescent="0.2">
      <c r="A1198" s="100">
        <v>395950620</v>
      </c>
    </row>
    <row r="1199" spans="1:1" x14ac:dyDescent="0.2">
      <c r="A1199" s="100">
        <v>395947845</v>
      </c>
    </row>
    <row r="1200" spans="1:1" x14ac:dyDescent="0.2">
      <c r="A1200" s="100">
        <v>395950576</v>
      </c>
    </row>
    <row r="1201" spans="1:1" x14ac:dyDescent="0.2">
      <c r="A1201" s="100">
        <v>395951832</v>
      </c>
    </row>
    <row r="1202" spans="1:1" x14ac:dyDescent="0.2">
      <c r="A1202" s="100">
        <v>395953011</v>
      </c>
    </row>
    <row r="1203" spans="1:1" x14ac:dyDescent="0.2">
      <c r="A1203" s="100">
        <v>395833896</v>
      </c>
    </row>
    <row r="1204" spans="1:1" x14ac:dyDescent="0.2">
      <c r="A1204" s="100">
        <v>395953624</v>
      </c>
    </row>
    <row r="1205" spans="1:1" x14ac:dyDescent="0.2">
      <c r="A1205" s="100">
        <v>395954282</v>
      </c>
    </row>
    <row r="1206" spans="1:1" x14ac:dyDescent="0.2">
      <c r="A1206" s="100">
        <v>395953978</v>
      </c>
    </row>
    <row r="1207" spans="1:1" x14ac:dyDescent="0.2">
      <c r="A1207" s="100">
        <v>394661162</v>
      </c>
    </row>
    <row r="1208" spans="1:1" x14ac:dyDescent="0.2">
      <c r="A1208" s="100">
        <v>395955321</v>
      </c>
    </row>
    <row r="1209" spans="1:1" x14ac:dyDescent="0.2">
      <c r="A1209" s="100">
        <v>395955331</v>
      </c>
    </row>
    <row r="1210" spans="1:1" x14ac:dyDescent="0.2">
      <c r="A1210" s="100">
        <v>395956005</v>
      </c>
    </row>
    <row r="1211" spans="1:1" x14ac:dyDescent="0.2">
      <c r="A1211" s="100">
        <v>395693779</v>
      </c>
    </row>
    <row r="1212" spans="1:1" x14ac:dyDescent="0.2">
      <c r="A1212" s="100">
        <v>395956198</v>
      </c>
    </row>
    <row r="1213" spans="1:1" x14ac:dyDescent="0.2">
      <c r="A1213" s="100">
        <v>395956568</v>
      </c>
    </row>
    <row r="1214" spans="1:1" x14ac:dyDescent="0.2">
      <c r="A1214" s="100">
        <v>395721214</v>
      </c>
    </row>
    <row r="1215" spans="1:1" x14ac:dyDescent="0.2">
      <c r="A1215" s="100">
        <v>395723851</v>
      </c>
    </row>
    <row r="1216" spans="1:1" x14ac:dyDescent="0.2">
      <c r="A1216" s="100">
        <v>395594501</v>
      </c>
    </row>
    <row r="1217" spans="1:1" x14ac:dyDescent="0.2">
      <c r="A1217" s="100">
        <v>395602763</v>
      </c>
    </row>
    <row r="1218" spans="1:1" x14ac:dyDescent="0.2">
      <c r="A1218" s="100">
        <v>395959004</v>
      </c>
    </row>
    <row r="1219" spans="1:1" x14ac:dyDescent="0.2">
      <c r="A1219" s="100">
        <v>395837733</v>
      </c>
    </row>
    <row r="1220" spans="1:1" x14ac:dyDescent="0.2">
      <c r="A1220" s="100">
        <v>395838610</v>
      </c>
    </row>
    <row r="1221" spans="1:1" x14ac:dyDescent="0.2">
      <c r="A1221" s="100">
        <v>395838622</v>
      </c>
    </row>
    <row r="1222" spans="1:1" x14ac:dyDescent="0.2">
      <c r="A1222" s="100">
        <v>395839639</v>
      </c>
    </row>
    <row r="1223" spans="1:1" x14ac:dyDescent="0.2">
      <c r="A1223" s="100">
        <v>395838672</v>
      </c>
    </row>
    <row r="1224" spans="1:1" x14ac:dyDescent="0.2">
      <c r="A1224" s="100">
        <v>395838790</v>
      </c>
    </row>
    <row r="1225" spans="1:1" x14ac:dyDescent="0.2">
      <c r="A1225" s="100">
        <v>395841029</v>
      </c>
    </row>
    <row r="1226" spans="1:1" x14ac:dyDescent="0.2">
      <c r="A1226" s="100">
        <v>395841277</v>
      </c>
    </row>
    <row r="1227" spans="1:1" x14ac:dyDescent="0.2">
      <c r="A1227" s="100">
        <v>395840828</v>
      </c>
    </row>
    <row r="1228" spans="1:1" x14ac:dyDescent="0.2">
      <c r="A1228" s="100">
        <v>395841682</v>
      </c>
    </row>
    <row r="1229" spans="1:1" x14ac:dyDescent="0.2">
      <c r="A1229" s="100">
        <v>395843079</v>
      </c>
    </row>
    <row r="1230" spans="1:1" x14ac:dyDescent="0.2">
      <c r="A1230" s="100">
        <v>395842526</v>
      </c>
    </row>
    <row r="1231" spans="1:1" x14ac:dyDescent="0.2">
      <c r="A1231" s="100">
        <v>395843372</v>
      </c>
    </row>
    <row r="1232" spans="1:1" x14ac:dyDescent="0.2">
      <c r="A1232" s="100">
        <v>395844574</v>
      </c>
    </row>
    <row r="1233" spans="1:1" x14ac:dyDescent="0.2">
      <c r="A1233" s="100">
        <v>395587985</v>
      </c>
    </row>
    <row r="1234" spans="1:1" x14ac:dyDescent="0.2">
      <c r="A1234" s="100">
        <v>395262677</v>
      </c>
    </row>
    <row r="1235" spans="1:1" x14ac:dyDescent="0.2">
      <c r="A1235" s="100">
        <v>395590430</v>
      </c>
    </row>
    <row r="1236" spans="1:1" x14ac:dyDescent="0.2">
      <c r="A1236" s="100">
        <v>395846499</v>
      </c>
    </row>
    <row r="1237" spans="1:1" x14ac:dyDescent="0.2">
      <c r="A1237" s="100">
        <v>395845751</v>
      </c>
    </row>
    <row r="1238" spans="1:1" x14ac:dyDescent="0.2">
      <c r="A1238" s="100">
        <v>395592055</v>
      </c>
    </row>
    <row r="1239" spans="1:1" x14ac:dyDescent="0.2">
      <c r="A1239" s="100">
        <v>395849087</v>
      </c>
    </row>
    <row r="1240" spans="1:1" x14ac:dyDescent="0.2">
      <c r="A1240" s="100">
        <v>395848419</v>
      </c>
    </row>
    <row r="1241" spans="1:1" x14ac:dyDescent="0.2">
      <c r="A1241" s="100">
        <v>395591381</v>
      </c>
    </row>
    <row r="1242" spans="1:1" x14ac:dyDescent="0.2">
      <c r="A1242" s="100">
        <v>395848944</v>
      </c>
    </row>
    <row r="1243" spans="1:1" x14ac:dyDescent="0.2">
      <c r="A1243" s="100">
        <v>395848037</v>
      </c>
    </row>
    <row r="1244" spans="1:1" x14ac:dyDescent="0.2">
      <c r="A1244" s="100">
        <v>395591513</v>
      </c>
    </row>
    <row r="1245" spans="1:1" x14ac:dyDescent="0.2">
      <c r="A1245" s="100">
        <v>395848428</v>
      </c>
    </row>
    <row r="1246" spans="1:1" x14ac:dyDescent="0.2">
      <c r="A1246" s="100">
        <v>395591586</v>
      </c>
    </row>
    <row r="1247" spans="1:1" x14ac:dyDescent="0.2">
      <c r="A1247" s="100">
        <v>395849487</v>
      </c>
    </row>
    <row r="1248" spans="1:1" x14ac:dyDescent="0.2">
      <c r="A1248" s="100">
        <v>395968851</v>
      </c>
    </row>
    <row r="1249" spans="1:1" x14ac:dyDescent="0.2">
      <c r="A1249" s="100">
        <v>395969852</v>
      </c>
    </row>
    <row r="1250" spans="1:1" x14ac:dyDescent="0.2">
      <c r="A1250" s="100">
        <v>395592943</v>
      </c>
    </row>
    <row r="1251" spans="1:1" x14ac:dyDescent="0.2">
      <c r="A1251" s="100">
        <v>395849514</v>
      </c>
    </row>
    <row r="1252" spans="1:1" x14ac:dyDescent="0.2">
      <c r="A1252" s="100">
        <v>395850554</v>
      </c>
    </row>
    <row r="1253" spans="1:1" x14ac:dyDescent="0.2">
      <c r="A1253" s="100">
        <v>395849679</v>
      </c>
    </row>
    <row r="1254" spans="1:1" x14ac:dyDescent="0.2">
      <c r="A1254" s="100">
        <v>395716314</v>
      </c>
    </row>
    <row r="1255" spans="1:1" x14ac:dyDescent="0.2">
      <c r="A1255" s="100">
        <v>395717066</v>
      </c>
    </row>
    <row r="1256" spans="1:1" x14ac:dyDescent="0.2">
      <c r="A1256" s="100">
        <v>395485729</v>
      </c>
    </row>
    <row r="1257" spans="1:1" x14ac:dyDescent="0.2">
      <c r="A1257" s="100">
        <v>395852214</v>
      </c>
    </row>
    <row r="1258" spans="1:1" x14ac:dyDescent="0.2">
      <c r="A1258" s="100">
        <v>395971419</v>
      </c>
    </row>
    <row r="1259" spans="1:1" x14ac:dyDescent="0.2">
      <c r="A1259" s="100">
        <v>395852126</v>
      </c>
    </row>
    <row r="1260" spans="1:1" x14ac:dyDescent="0.2">
      <c r="A1260" s="100">
        <v>395971658</v>
      </c>
    </row>
    <row r="1261" spans="1:1" x14ac:dyDescent="0.2">
      <c r="A1261" s="100">
        <v>395705967</v>
      </c>
    </row>
    <row r="1262" spans="1:1" x14ac:dyDescent="0.2">
      <c r="A1262" s="100">
        <v>395702077</v>
      </c>
    </row>
    <row r="1263" spans="1:1" x14ac:dyDescent="0.2">
      <c r="A1263" s="100">
        <v>395706999</v>
      </c>
    </row>
    <row r="1264" spans="1:1" x14ac:dyDescent="0.2">
      <c r="A1264" s="100">
        <v>395703623</v>
      </c>
    </row>
    <row r="1265" spans="1:1" x14ac:dyDescent="0.2">
      <c r="A1265" s="100">
        <v>395706988</v>
      </c>
    </row>
    <row r="1266" spans="1:1" x14ac:dyDescent="0.2">
      <c r="A1266" s="100">
        <v>395706628</v>
      </c>
    </row>
    <row r="1267" spans="1:1" x14ac:dyDescent="0.2">
      <c r="A1267" s="100">
        <v>395704410</v>
      </c>
    </row>
    <row r="1268" spans="1:1" x14ac:dyDescent="0.2">
      <c r="A1268" s="100">
        <v>395861387</v>
      </c>
    </row>
    <row r="1269" spans="1:1" x14ac:dyDescent="0.2">
      <c r="A1269" s="100">
        <v>395925364</v>
      </c>
    </row>
    <row r="1270" spans="1:1" x14ac:dyDescent="0.2">
      <c r="A1270" s="100">
        <v>395746557</v>
      </c>
    </row>
    <row r="1271" spans="1:1" x14ac:dyDescent="0.2">
      <c r="A1271" s="100">
        <v>395863519</v>
      </c>
    </row>
    <row r="1272" spans="1:1" x14ac:dyDescent="0.2">
      <c r="A1272" s="100">
        <v>395818257</v>
      </c>
    </row>
    <row r="1273" spans="1:1" x14ac:dyDescent="0.2">
      <c r="A1273" s="100">
        <v>395803624</v>
      </c>
    </row>
    <row r="1274" spans="1:1" x14ac:dyDescent="0.2">
      <c r="A1274" s="100">
        <v>395932148</v>
      </c>
    </row>
    <row r="1275" spans="1:1" x14ac:dyDescent="0.2">
      <c r="A1275" s="100">
        <v>395858859</v>
      </c>
    </row>
    <row r="1276" spans="1:1" x14ac:dyDescent="0.2">
      <c r="A1276" s="100">
        <v>395946818</v>
      </c>
    </row>
    <row r="1277" spans="1:1" x14ac:dyDescent="0.2">
      <c r="A1277" s="100">
        <v>395721844</v>
      </c>
    </row>
    <row r="1278" spans="1:1" x14ac:dyDescent="0.2">
      <c r="A1278" s="100">
        <v>395733943</v>
      </c>
    </row>
    <row r="1279" spans="1:1" x14ac:dyDescent="0.2">
      <c r="A1279" s="100">
        <v>395871204</v>
      </c>
    </row>
    <row r="1280" spans="1:1" x14ac:dyDescent="0.2">
      <c r="A1280" s="100">
        <v>395891946</v>
      </c>
    </row>
    <row r="1281" spans="1:1" x14ac:dyDescent="0.2">
      <c r="A1281" s="100">
        <v>395895728</v>
      </c>
    </row>
    <row r="1282" spans="1:1" x14ac:dyDescent="0.2">
      <c r="A1282" s="100">
        <v>395820845</v>
      </c>
    </row>
    <row r="1283" spans="1:1" x14ac:dyDescent="0.2">
      <c r="A1283" s="100">
        <v>395869634</v>
      </c>
    </row>
    <row r="1284" spans="1:1" x14ac:dyDescent="0.2">
      <c r="A1284" s="100">
        <v>395828685</v>
      </c>
    </row>
    <row r="1285" spans="1:1" x14ac:dyDescent="0.2">
      <c r="A1285" s="100">
        <v>395870777</v>
      </c>
    </row>
    <row r="1286" spans="1:1" x14ac:dyDescent="0.2">
      <c r="A1286" s="100">
        <v>395746523</v>
      </c>
    </row>
    <row r="1287" spans="1:1" x14ac:dyDescent="0.2">
      <c r="A1287" s="100">
        <v>395791599</v>
      </c>
    </row>
    <row r="1288" spans="1:1" x14ac:dyDescent="0.2">
      <c r="A1288" s="100">
        <v>395792486</v>
      </c>
    </row>
    <row r="1289" spans="1:1" x14ac:dyDescent="0.2">
      <c r="A1289" s="100">
        <v>395780638</v>
      </c>
    </row>
    <row r="1290" spans="1:1" x14ac:dyDescent="0.2">
      <c r="A1290" s="100">
        <v>395670392</v>
      </c>
    </row>
    <row r="1291" spans="1:1" x14ac:dyDescent="0.2">
      <c r="A1291" s="100">
        <v>395501524</v>
      </c>
    </row>
    <row r="1292" spans="1:1" x14ac:dyDescent="0.2">
      <c r="A1292" s="100">
        <v>395771227</v>
      </c>
    </row>
    <row r="1293" spans="1:1" x14ac:dyDescent="0.2">
      <c r="A1293" s="100">
        <v>395833180</v>
      </c>
    </row>
    <row r="1294" spans="1:1" x14ac:dyDescent="0.2">
      <c r="A1294" s="100">
        <v>395887538</v>
      </c>
    </row>
    <row r="1295" spans="1:1" x14ac:dyDescent="0.2">
      <c r="A1295" s="100">
        <v>395927916</v>
      </c>
    </row>
    <row r="1296" spans="1:1" x14ac:dyDescent="0.2">
      <c r="A1296" s="100">
        <v>395768684</v>
      </c>
    </row>
    <row r="1297" spans="1:1" x14ac:dyDescent="0.2">
      <c r="A1297" s="100">
        <v>395743938</v>
      </c>
    </row>
    <row r="1298" spans="1:1" x14ac:dyDescent="0.2">
      <c r="A1298" s="100">
        <v>395761817</v>
      </c>
    </row>
    <row r="1299" spans="1:1" x14ac:dyDescent="0.2">
      <c r="A1299" s="100">
        <v>395880990</v>
      </c>
    </row>
    <row r="1300" spans="1:1" x14ac:dyDescent="0.2">
      <c r="A1300" s="100">
        <v>395765552</v>
      </c>
    </row>
    <row r="1301" spans="1:1" x14ac:dyDescent="0.2">
      <c r="A1301" s="100">
        <v>395917409</v>
      </c>
    </row>
    <row r="1302" spans="1:1" x14ac:dyDescent="0.2">
      <c r="A1302" s="100">
        <v>395830620</v>
      </c>
    </row>
    <row r="1303" spans="1:1" x14ac:dyDescent="0.2">
      <c r="A1303" s="100">
        <v>395822884</v>
      </c>
    </row>
    <row r="1304" spans="1:1" x14ac:dyDescent="0.2">
      <c r="A1304" s="100">
        <v>395760670</v>
      </c>
    </row>
    <row r="1305" spans="1:1" x14ac:dyDescent="0.2">
      <c r="A1305" s="100">
        <v>395764879</v>
      </c>
    </row>
    <row r="1306" spans="1:1" x14ac:dyDescent="0.2">
      <c r="A1306" s="100">
        <v>395772033</v>
      </c>
    </row>
    <row r="1307" spans="1:1" x14ac:dyDescent="0.2">
      <c r="A1307" s="100">
        <v>395817727</v>
      </c>
    </row>
    <row r="1308" spans="1:1" x14ac:dyDescent="0.2">
      <c r="A1308" s="100">
        <v>395913712</v>
      </c>
    </row>
    <row r="1309" spans="1:1" x14ac:dyDescent="0.2">
      <c r="A1309" s="100">
        <v>395719155</v>
      </c>
    </row>
    <row r="1310" spans="1:1" x14ac:dyDescent="0.2">
      <c r="A1310" s="100">
        <v>395801236</v>
      </c>
    </row>
    <row r="1311" spans="1:1" x14ac:dyDescent="0.2">
      <c r="A1311" s="100">
        <v>395752621</v>
      </c>
    </row>
    <row r="1312" spans="1:1" x14ac:dyDescent="0.2">
      <c r="A1312" s="100">
        <v>395431982</v>
      </c>
    </row>
    <row r="1313" spans="1:1" x14ac:dyDescent="0.2">
      <c r="A1313" s="100">
        <v>395847404</v>
      </c>
    </row>
    <row r="1314" spans="1:1" x14ac:dyDescent="0.2">
      <c r="A1314" s="100">
        <v>395838667</v>
      </c>
    </row>
    <row r="1315" spans="1:1" x14ac:dyDescent="0.2">
      <c r="A1315" s="100">
        <v>395846879</v>
      </c>
    </row>
    <row r="1316" spans="1:1" x14ac:dyDescent="0.2">
      <c r="A1316" s="100">
        <v>395655565</v>
      </c>
    </row>
    <row r="1317" spans="1:1" x14ac:dyDescent="0.2">
      <c r="A1317" s="100">
        <v>395720525</v>
      </c>
    </row>
    <row r="1318" spans="1:1" x14ac:dyDescent="0.2">
      <c r="A1318" s="100">
        <v>395975758</v>
      </c>
    </row>
    <row r="1319" spans="1:1" x14ac:dyDescent="0.2">
      <c r="A1319" s="100">
        <v>395729193</v>
      </c>
    </row>
    <row r="1320" spans="1:1" x14ac:dyDescent="0.2">
      <c r="A1320" s="100">
        <v>395735355</v>
      </c>
    </row>
    <row r="1321" spans="1:1" x14ac:dyDescent="0.2">
      <c r="A1321" s="100">
        <v>395738931</v>
      </c>
    </row>
    <row r="1322" spans="1:1" x14ac:dyDescent="0.2">
      <c r="A1322" s="100">
        <v>395740359</v>
      </c>
    </row>
    <row r="1323" spans="1:1" x14ac:dyDescent="0.2">
      <c r="A1323" s="100">
        <v>395739272</v>
      </c>
    </row>
    <row r="1324" spans="1:1" x14ac:dyDescent="0.2">
      <c r="A1324" s="100">
        <v>395744728</v>
      </c>
    </row>
    <row r="1325" spans="1:1" x14ac:dyDescent="0.2">
      <c r="A1325" s="100">
        <v>395667254</v>
      </c>
    </row>
    <row r="1326" spans="1:1" x14ac:dyDescent="0.2">
      <c r="A1326" s="100">
        <v>395750480</v>
      </c>
    </row>
    <row r="1327" spans="1:1" x14ac:dyDescent="0.2">
      <c r="A1327" s="100">
        <v>395750655</v>
      </c>
    </row>
    <row r="1328" spans="1:1" x14ac:dyDescent="0.2">
      <c r="A1328" s="100">
        <v>395751853</v>
      </c>
    </row>
    <row r="1329" spans="1:1" x14ac:dyDescent="0.2">
      <c r="A1329" s="100">
        <v>395753034</v>
      </c>
    </row>
    <row r="1330" spans="1:1" x14ac:dyDescent="0.2">
      <c r="A1330" s="100">
        <v>395754840</v>
      </c>
    </row>
    <row r="1331" spans="1:1" x14ac:dyDescent="0.2">
      <c r="A1331" s="100">
        <v>395757028</v>
      </c>
    </row>
    <row r="1332" spans="1:1" x14ac:dyDescent="0.2">
      <c r="A1332" s="100">
        <v>395716242</v>
      </c>
    </row>
    <row r="1333" spans="1:1" x14ac:dyDescent="0.2">
      <c r="A1333" s="100">
        <v>395625313</v>
      </c>
    </row>
    <row r="1334" spans="1:1" x14ac:dyDescent="0.2">
      <c r="A1334" s="100">
        <v>395762184</v>
      </c>
    </row>
    <row r="1335" spans="1:1" x14ac:dyDescent="0.2">
      <c r="A1335" s="100">
        <v>395763473</v>
      </c>
    </row>
    <row r="1336" spans="1:1" x14ac:dyDescent="0.2">
      <c r="A1336" s="100">
        <v>395763909</v>
      </c>
    </row>
    <row r="1337" spans="1:1" x14ac:dyDescent="0.2">
      <c r="A1337" s="100">
        <v>395765986</v>
      </c>
    </row>
    <row r="1338" spans="1:1" x14ac:dyDescent="0.2">
      <c r="A1338" s="100">
        <v>395766649</v>
      </c>
    </row>
    <row r="1339" spans="1:1" x14ac:dyDescent="0.2">
      <c r="A1339" s="100">
        <v>395769407</v>
      </c>
    </row>
    <row r="1340" spans="1:1" x14ac:dyDescent="0.2">
      <c r="A1340" s="100">
        <v>395715910</v>
      </c>
    </row>
    <row r="1341" spans="1:1" x14ac:dyDescent="0.2">
      <c r="A1341" s="100">
        <v>395774236</v>
      </c>
    </row>
    <row r="1342" spans="1:1" x14ac:dyDescent="0.2">
      <c r="A1342" s="100">
        <v>395767850</v>
      </c>
    </row>
    <row r="1343" spans="1:1" x14ac:dyDescent="0.2">
      <c r="A1343" s="100">
        <v>395782755</v>
      </c>
    </row>
    <row r="1344" spans="1:1" x14ac:dyDescent="0.2">
      <c r="A1344" s="100">
        <v>395785435</v>
      </c>
    </row>
    <row r="1345" spans="1:1" x14ac:dyDescent="0.2">
      <c r="A1345" s="100">
        <v>395787139</v>
      </c>
    </row>
    <row r="1346" spans="1:1" x14ac:dyDescent="0.2">
      <c r="A1346" s="100">
        <v>395709821</v>
      </c>
    </row>
    <row r="1347" spans="1:1" x14ac:dyDescent="0.2">
      <c r="A1347" s="100">
        <v>395788722</v>
      </c>
    </row>
    <row r="1348" spans="1:1" x14ac:dyDescent="0.2">
      <c r="A1348" s="100">
        <v>395790757</v>
      </c>
    </row>
    <row r="1349" spans="1:1" x14ac:dyDescent="0.2">
      <c r="A1349" s="100">
        <v>396518950</v>
      </c>
    </row>
    <row r="1350" spans="1:1" x14ac:dyDescent="0.2">
      <c r="A1350" s="100">
        <v>395792123</v>
      </c>
    </row>
    <row r="1351" spans="1:1" x14ac:dyDescent="0.2">
      <c r="A1351" s="100">
        <v>395799123</v>
      </c>
    </row>
    <row r="1352" spans="1:1" x14ac:dyDescent="0.2">
      <c r="A1352" s="100">
        <v>395789505</v>
      </c>
    </row>
    <row r="1353" spans="1:1" x14ac:dyDescent="0.2">
      <c r="A1353" s="100">
        <v>395800247</v>
      </c>
    </row>
    <row r="1354" spans="1:1" x14ac:dyDescent="0.2">
      <c r="A1354" s="100">
        <v>395799859</v>
      </c>
    </row>
    <row r="1355" spans="1:1" x14ac:dyDescent="0.2">
      <c r="A1355" s="100">
        <v>395807091</v>
      </c>
    </row>
    <row r="1356" spans="1:1" x14ac:dyDescent="0.2">
      <c r="A1356" s="100">
        <v>395807114</v>
      </c>
    </row>
    <row r="1357" spans="1:1" x14ac:dyDescent="0.2">
      <c r="A1357" s="100">
        <v>395807650</v>
      </c>
    </row>
    <row r="1358" spans="1:1" x14ac:dyDescent="0.2">
      <c r="A1358" s="100">
        <v>395813323</v>
      </c>
    </row>
    <row r="1359" spans="1:1" x14ac:dyDescent="0.2">
      <c r="A1359" s="100">
        <v>395813438</v>
      </c>
    </row>
    <row r="1360" spans="1:1" x14ac:dyDescent="0.2">
      <c r="A1360" s="100">
        <v>395817644</v>
      </c>
    </row>
    <row r="1361" spans="1:1" x14ac:dyDescent="0.2">
      <c r="A1361" s="100">
        <v>395472544</v>
      </c>
    </row>
    <row r="1362" spans="1:1" x14ac:dyDescent="0.2">
      <c r="A1362" s="100">
        <v>395819602</v>
      </c>
    </row>
    <row r="1363" spans="1:1" x14ac:dyDescent="0.2">
      <c r="A1363" s="100">
        <v>395822525</v>
      </c>
    </row>
    <row r="1364" spans="1:1" x14ac:dyDescent="0.2">
      <c r="A1364" s="100">
        <v>395821782</v>
      </c>
    </row>
    <row r="1365" spans="1:1" x14ac:dyDescent="0.2">
      <c r="A1365" s="100">
        <v>395825190</v>
      </c>
    </row>
    <row r="1366" spans="1:1" x14ac:dyDescent="0.2">
      <c r="A1366" s="100">
        <v>395827861</v>
      </c>
    </row>
    <row r="1367" spans="1:1" x14ac:dyDescent="0.2">
      <c r="A1367" s="100">
        <v>395827676</v>
      </c>
    </row>
    <row r="1368" spans="1:1" x14ac:dyDescent="0.2">
      <c r="A1368" s="100">
        <v>395830157</v>
      </c>
    </row>
    <row r="1369" spans="1:1" x14ac:dyDescent="0.2">
      <c r="A1369" s="100">
        <v>395831039</v>
      </c>
    </row>
    <row r="1370" spans="1:1" x14ac:dyDescent="0.2">
      <c r="A1370" s="100">
        <v>395822524</v>
      </c>
    </row>
    <row r="1371" spans="1:1" x14ac:dyDescent="0.2">
      <c r="A1371" s="100">
        <v>395831486</v>
      </c>
    </row>
    <row r="1372" spans="1:1" x14ac:dyDescent="0.2">
      <c r="A1372" s="100">
        <v>395835122</v>
      </c>
    </row>
    <row r="1373" spans="1:1" x14ac:dyDescent="0.2">
      <c r="A1373" s="100">
        <v>395834546</v>
      </c>
    </row>
    <row r="1374" spans="1:1" x14ac:dyDescent="0.2">
      <c r="A1374" s="100">
        <v>395586646</v>
      </c>
    </row>
    <row r="1375" spans="1:1" x14ac:dyDescent="0.2">
      <c r="A1375" s="100">
        <v>395837062</v>
      </c>
    </row>
    <row r="1376" spans="1:1" x14ac:dyDescent="0.2">
      <c r="A1376" s="100">
        <v>395837343</v>
      </c>
    </row>
    <row r="1377" spans="1:1" x14ac:dyDescent="0.2">
      <c r="A1377" s="100">
        <v>395277791</v>
      </c>
    </row>
    <row r="1378" spans="1:1" x14ac:dyDescent="0.2">
      <c r="A1378" s="100">
        <v>395959965</v>
      </c>
    </row>
    <row r="1379" spans="1:1" x14ac:dyDescent="0.2">
      <c r="A1379" s="100">
        <v>395960924</v>
      </c>
    </row>
    <row r="1380" spans="1:1" x14ac:dyDescent="0.2">
      <c r="A1380" s="100">
        <v>395961208</v>
      </c>
    </row>
    <row r="1381" spans="1:1" x14ac:dyDescent="0.2">
      <c r="A1381" s="100">
        <v>395962074</v>
      </c>
    </row>
    <row r="1382" spans="1:1" x14ac:dyDescent="0.2">
      <c r="A1382" s="100">
        <v>395962348</v>
      </c>
    </row>
    <row r="1383" spans="1:1" x14ac:dyDescent="0.2">
      <c r="A1383" s="100">
        <v>395961591</v>
      </c>
    </row>
    <row r="1384" spans="1:1" x14ac:dyDescent="0.2">
      <c r="A1384" s="100">
        <v>395962712</v>
      </c>
    </row>
    <row r="1385" spans="1:1" x14ac:dyDescent="0.2">
      <c r="A1385" s="100">
        <v>395964481</v>
      </c>
    </row>
    <row r="1386" spans="1:1" x14ac:dyDescent="0.2">
      <c r="A1386" s="100">
        <v>395963815</v>
      </c>
    </row>
    <row r="1387" spans="1:1" x14ac:dyDescent="0.2">
      <c r="A1387" s="100">
        <v>395965044</v>
      </c>
    </row>
    <row r="1388" spans="1:1" x14ac:dyDescent="0.2">
      <c r="A1388" s="100">
        <v>395964796</v>
      </c>
    </row>
    <row r="1389" spans="1:1" x14ac:dyDescent="0.2">
      <c r="A1389" s="100">
        <v>395965407</v>
      </c>
    </row>
    <row r="1390" spans="1:1" x14ac:dyDescent="0.2">
      <c r="A1390" s="100">
        <v>395712015</v>
      </c>
    </row>
    <row r="1391" spans="1:1" x14ac:dyDescent="0.2">
      <c r="A1391" s="100">
        <v>395966736</v>
      </c>
    </row>
    <row r="1392" spans="1:1" x14ac:dyDescent="0.2">
      <c r="A1392" s="100">
        <v>395711918</v>
      </c>
    </row>
    <row r="1393" spans="1:1" x14ac:dyDescent="0.2">
      <c r="A1393" s="100">
        <v>395711919</v>
      </c>
    </row>
    <row r="1394" spans="1:1" x14ac:dyDescent="0.2">
      <c r="A1394" s="100">
        <v>395968154</v>
      </c>
    </row>
    <row r="1395" spans="1:1" x14ac:dyDescent="0.2">
      <c r="A1395" s="100">
        <v>395607345</v>
      </c>
    </row>
    <row r="1396" spans="1:1" x14ac:dyDescent="0.2">
      <c r="A1396" s="100">
        <v>395767012</v>
      </c>
    </row>
    <row r="1397" spans="1:1" x14ac:dyDescent="0.2">
      <c r="A1397" s="100">
        <v>395665222</v>
      </c>
    </row>
    <row r="1398" spans="1:1" x14ac:dyDescent="0.2">
      <c r="A1398" s="100">
        <v>395734587</v>
      </c>
    </row>
    <row r="1399" spans="1:1" x14ac:dyDescent="0.2">
      <c r="A1399" s="100">
        <v>395669811</v>
      </c>
    </row>
    <row r="1400" spans="1:1" x14ac:dyDescent="0.2">
      <c r="A1400" s="100">
        <v>395692415</v>
      </c>
    </row>
    <row r="1401" spans="1:1" x14ac:dyDescent="0.2">
      <c r="A1401" s="100">
        <v>395692286</v>
      </c>
    </row>
    <row r="1402" spans="1:1" x14ac:dyDescent="0.2">
      <c r="A1402" s="100">
        <v>395748601</v>
      </c>
    </row>
    <row r="1403" spans="1:1" x14ac:dyDescent="0.2">
      <c r="A1403" s="100">
        <v>394307241</v>
      </c>
    </row>
    <row r="1404" spans="1:1" x14ac:dyDescent="0.2">
      <c r="A1404" s="100">
        <v>395676410</v>
      </c>
    </row>
    <row r="1405" spans="1:1" x14ac:dyDescent="0.2">
      <c r="A1405" s="100">
        <v>395780459</v>
      </c>
    </row>
    <row r="1406" spans="1:1" x14ac:dyDescent="0.2">
      <c r="A1406" s="100">
        <v>395698246</v>
      </c>
    </row>
    <row r="1407" spans="1:1" x14ac:dyDescent="0.2">
      <c r="A1407" s="100">
        <v>395770815</v>
      </c>
    </row>
    <row r="1408" spans="1:1" x14ac:dyDescent="0.2">
      <c r="A1408" s="100">
        <v>395630784</v>
      </c>
    </row>
    <row r="1409" spans="1:1" x14ac:dyDescent="0.2">
      <c r="A1409" s="100">
        <v>395784227</v>
      </c>
    </row>
    <row r="1410" spans="1:1" x14ac:dyDescent="0.2">
      <c r="A1410" s="100">
        <v>395682940</v>
      </c>
    </row>
    <row r="1411" spans="1:1" x14ac:dyDescent="0.2">
      <c r="A1411" s="100">
        <v>395767928</v>
      </c>
    </row>
    <row r="1412" spans="1:1" x14ac:dyDescent="0.2">
      <c r="A1412" s="100">
        <v>395745385</v>
      </c>
    </row>
    <row r="1413" spans="1:1" x14ac:dyDescent="0.2">
      <c r="A1413" s="100">
        <v>395714751</v>
      </c>
    </row>
    <row r="1414" spans="1:1" x14ac:dyDescent="0.2">
      <c r="A1414" s="100">
        <v>395679475</v>
      </c>
    </row>
    <row r="1415" spans="1:1" x14ac:dyDescent="0.2">
      <c r="A1415" s="100">
        <v>395628292</v>
      </c>
    </row>
    <row r="1416" spans="1:1" x14ac:dyDescent="0.2">
      <c r="A1416" s="100">
        <v>395725279</v>
      </c>
    </row>
    <row r="1417" spans="1:1" x14ac:dyDescent="0.2">
      <c r="A1417" s="100">
        <v>395693667</v>
      </c>
    </row>
    <row r="1418" spans="1:1" x14ac:dyDescent="0.2">
      <c r="A1418" s="100">
        <v>395679599</v>
      </c>
    </row>
    <row r="1419" spans="1:1" x14ac:dyDescent="0.2">
      <c r="A1419" s="100">
        <v>395768233</v>
      </c>
    </row>
    <row r="1420" spans="1:1" x14ac:dyDescent="0.2">
      <c r="A1420" s="100">
        <v>395596179</v>
      </c>
    </row>
    <row r="1421" spans="1:1" x14ac:dyDescent="0.2">
      <c r="A1421" s="100">
        <v>395792945</v>
      </c>
    </row>
    <row r="1422" spans="1:1" x14ac:dyDescent="0.2">
      <c r="A1422" s="100">
        <v>395677314</v>
      </c>
    </row>
    <row r="1423" spans="1:1" x14ac:dyDescent="0.2">
      <c r="A1423" s="100">
        <v>395844000</v>
      </c>
    </row>
    <row r="1424" spans="1:1" x14ac:dyDescent="0.2">
      <c r="A1424" s="100">
        <v>395847532</v>
      </c>
    </row>
    <row r="1425" spans="1:1" x14ac:dyDescent="0.2">
      <c r="A1425" s="100">
        <v>395842166</v>
      </c>
    </row>
    <row r="1426" spans="1:1" x14ac:dyDescent="0.2">
      <c r="A1426" s="100">
        <v>395846921</v>
      </c>
    </row>
    <row r="1427" spans="1:1" x14ac:dyDescent="0.2">
      <c r="A1427" s="100">
        <v>395839435</v>
      </c>
    </row>
    <row r="1428" spans="1:1" x14ac:dyDescent="0.2">
      <c r="A1428" s="100">
        <v>395847408</v>
      </c>
    </row>
    <row r="1429" spans="1:1" x14ac:dyDescent="0.2">
      <c r="A1429" s="100">
        <v>395250765</v>
      </c>
    </row>
    <row r="1430" spans="1:1" x14ac:dyDescent="0.2">
      <c r="A1430" s="100">
        <v>395866273</v>
      </c>
    </row>
    <row r="1431" spans="1:1" x14ac:dyDescent="0.2">
      <c r="A1431" s="100">
        <v>395867567</v>
      </c>
    </row>
    <row r="1432" spans="1:1" x14ac:dyDescent="0.2">
      <c r="A1432" s="100">
        <v>395867713</v>
      </c>
    </row>
    <row r="1433" spans="1:1" x14ac:dyDescent="0.2">
      <c r="A1433" s="100">
        <v>395870227</v>
      </c>
    </row>
    <row r="1434" spans="1:1" x14ac:dyDescent="0.2">
      <c r="A1434" s="100">
        <v>395870554</v>
      </c>
    </row>
    <row r="1435" spans="1:1" x14ac:dyDescent="0.2">
      <c r="A1435" s="100">
        <v>395873915</v>
      </c>
    </row>
    <row r="1436" spans="1:1" x14ac:dyDescent="0.2">
      <c r="A1436" s="100">
        <v>395877532</v>
      </c>
    </row>
    <row r="1437" spans="1:1" x14ac:dyDescent="0.2">
      <c r="A1437" s="100">
        <v>395879766</v>
      </c>
    </row>
    <row r="1438" spans="1:1" x14ac:dyDescent="0.2">
      <c r="A1438" s="100">
        <v>395880584</v>
      </c>
    </row>
    <row r="1439" spans="1:1" x14ac:dyDescent="0.2">
      <c r="A1439" s="100">
        <v>395885936</v>
      </c>
    </row>
    <row r="1440" spans="1:1" x14ac:dyDescent="0.2">
      <c r="A1440" s="100">
        <v>395886678</v>
      </c>
    </row>
    <row r="1441" spans="1:1" x14ac:dyDescent="0.2">
      <c r="A1441" s="100">
        <v>395886743</v>
      </c>
    </row>
    <row r="1442" spans="1:1" x14ac:dyDescent="0.2">
      <c r="A1442" s="100">
        <v>395888651</v>
      </c>
    </row>
    <row r="1443" spans="1:1" x14ac:dyDescent="0.2">
      <c r="A1443" s="100">
        <v>395889469</v>
      </c>
    </row>
    <row r="1444" spans="1:1" x14ac:dyDescent="0.2">
      <c r="A1444" s="100">
        <v>395889833</v>
      </c>
    </row>
    <row r="1445" spans="1:1" x14ac:dyDescent="0.2">
      <c r="A1445" s="100">
        <v>395893492</v>
      </c>
    </row>
    <row r="1446" spans="1:1" x14ac:dyDescent="0.2">
      <c r="A1446" s="100">
        <v>395900260</v>
      </c>
    </row>
    <row r="1447" spans="1:1" x14ac:dyDescent="0.2">
      <c r="A1447" s="100">
        <v>395794564</v>
      </c>
    </row>
    <row r="1448" spans="1:1" x14ac:dyDescent="0.2">
      <c r="A1448" s="100">
        <v>395899853</v>
      </c>
    </row>
    <row r="1449" spans="1:1" x14ac:dyDescent="0.2">
      <c r="A1449" s="100">
        <v>395901059</v>
      </c>
    </row>
    <row r="1450" spans="1:1" x14ac:dyDescent="0.2">
      <c r="A1450" s="100">
        <v>395901140</v>
      </c>
    </row>
    <row r="1451" spans="1:1" x14ac:dyDescent="0.2">
      <c r="A1451" s="100">
        <v>395901581</v>
      </c>
    </row>
    <row r="1452" spans="1:1" x14ac:dyDescent="0.2">
      <c r="A1452" s="100">
        <v>395902727</v>
      </c>
    </row>
    <row r="1453" spans="1:1" x14ac:dyDescent="0.2">
      <c r="A1453" s="100">
        <v>395907299</v>
      </c>
    </row>
    <row r="1454" spans="1:1" x14ac:dyDescent="0.2">
      <c r="A1454" s="100">
        <v>395909303</v>
      </c>
    </row>
    <row r="1455" spans="1:1" x14ac:dyDescent="0.2">
      <c r="A1455" s="100">
        <v>395908976</v>
      </c>
    </row>
    <row r="1456" spans="1:1" x14ac:dyDescent="0.2">
      <c r="A1456" s="100">
        <v>395917733</v>
      </c>
    </row>
    <row r="1457" spans="1:1" x14ac:dyDescent="0.2">
      <c r="A1457" s="100">
        <v>395918440</v>
      </c>
    </row>
    <row r="1458" spans="1:1" x14ac:dyDescent="0.2">
      <c r="A1458" s="100">
        <v>395921531</v>
      </c>
    </row>
    <row r="1459" spans="1:1" x14ac:dyDescent="0.2">
      <c r="A1459" s="100">
        <v>395934876</v>
      </c>
    </row>
    <row r="1460" spans="1:1" x14ac:dyDescent="0.2">
      <c r="A1460" s="100">
        <v>395178091</v>
      </c>
    </row>
    <row r="1461" spans="1:1" x14ac:dyDescent="0.2">
      <c r="A1461" s="100">
        <v>395941189</v>
      </c>
    </row>
    <row r="1462" spans="1:1" x14ac:dyDescent="0.2">
      <c r="A1462" s="100">
        <v>395943549</v>
      </c>
    </row>
    <row r="1463" spans="1:1" x14ac:dyDescent="0.2">
      <c r="A1463" s="100">
        <v>395899207</v>
      </c>
    </row>
    <row r="1464" spans="1:1" x14ac:dyDescent="0.2">
      <c r="A1464" s="100">
        <v>395945072</v>
      </c>
    </row>
    <row r="1465" spans="1:1" x14ac:dyDescent="0.2">
      <c r="A1465" s="100">
        <v>395944748</v>
      </c>
    </row>
    <row r="1466" spans="1:1" x14ac:dyDescent="0.2">
      <c r="A1466" s="100">
        <v>395942711</v>
      </c>
    </row>
    <row r="1467" spans="1:1" x14ac:dyDescent="0.2">
      <c r="A1467" s="100">
        <v>395948168</v>
      </c>
    </row>
    <row r="1468" spans="1:1" x14ac:dyDescent="0.2">
      <c r="A1468" s="100">
        <v>395949576</v>
      </c>
    </row>
    <row r="1469" spans="1:1" x14ac:dyDescent="0.2">
      <c r="A1469" s="100">
        <v>395949686</v>
      </c>
    </row>
    <row r="1470" spans="1:1" x14ac:dyDescent="0.2">
      <c r="A1470" s="100">
        <v>395949843</v>
      </c>
    </row>
    <row r="1471" spans="1:1" x14ac:dyDescent="0.2">
      <c r="A1471" s="100">
        <v>395948391</v>
      </c>
    </row>
    <row r="1472" spans="1:1" x14ac:dyDescent="0.2">
      <c r="A1472" s="100">
        <v>395951474</v>
      </c>
    </row>
    <row r="1473" spans="1:1" x14ac:dyDescent="0.2">
      <c r="A1473" s="100">
        <v>395952644</v>
      </c>
    </row>
    <row r="1474" spans="1:1" x14ac:dyDescent="0.2">
      <c r="A1474" s="100">
        <v>395955073</v>
      </c>
    </row>
    <row r="1475" spans="1:1" x14ac:dyDescent="0.2">
      <c r="A1475" s="100">
        <v>395954778</v>
      </c>
    </row>
    <row r="1476" spans="1:1" x14ac:dyDescent="0.2">
      <c r="A1476" s="100">
        <v>395956076</v>
      </c>
    </row>
    <row r="1477" spans="1:1" x14ac:dyDescent="0.2">
      <c r="A1477" s="100">
        <v>395603128</v>
      </c>
    </row>
    <row r="1478" spans="1:1" x14ac:dyDescent="0.2">
      <c r="A1478" s="100">
        <v>395838607</v>
      </c>
    </row>
    <row r="1479" spans="1:1" x14ac:dyDescent="0.2">
      <c r="A1479" s="100">
        <v>395838920</v>
      </c>
    </row>
    <row r="1480" spans="1:1" x14ac:dyDescent="0.2">
      <c r="A1480" s="100">
        <v>395841742</v>
      </c>
    </row>
    <row r="1481" spans="1:1" x14ac:dyDescent="0.2">
      <c r="A1481" s="100">
        <v>395843003</v>
      </c>
    </row>
    <row r="1482" spans="1:1" x14ac:dyDescent="0.2">
      <c r="A1482" s="100">
        <v>395844875</v>
      </c>
    </row>
    <row r="1483" spans="1:1" x14ac:dyDescent="0.2">
      <c r="A1483" s="100">
        <v>395848328</v>
      </c>
    </row>
    <row r="1484" spans="1:1" x14ac:dyDescent="0.2">
      <c r="A1484" s="100">
        <v>395848327</v>
      </c>
    </row>
    <row r="1485" spans="1:1" x14ac:dyDescent="0.2">
      <c r="A1485" s="100">
        <v>395968969</v>
      </c>
    </row>
    <row r="1486" spans="1:1" x14ac:dyDescent="0.2">
      <c r="A1486" s="100">
        <v>395850559</v>
      </c>
    </row>
    <row r="1487" spans="1:1" x14ac:dyDescent="0.2">
      <c r="A1487" s="100">
        <v>395851022</v>
      </c>
    </row>
    <row r="1488" spans="1:1" x14ac:dyDescent="0.2">
      <c r="A1488" s="100">
        <v>395851153</v>
      </c>
    </row>
    <row r="1489" spans="1:1" x14ac:dyDescent="0.2">
      <c r="A1489" s="100">
        <v>395971221</v>
      </c>
    </row>
    <row r="1490" spans="1:1" x14ac:dyDescent="0.2">
      <c r="A1490" s="100">
        <v>395706073</v>
      </c>
    </row>
    <row r="1491" spans="1:1" x14ac:dyDescent="0.2">
      <c r="A1491" s="100">
        <v>395712663</v>
      </c>
    </row>
    <row r="1492" spans="1:1" x14ac:dyDescent="0.2">
      <c r="A1492" s="100">
        <v>395702519</v>
      </c>
    </row>
    <row r="1493" spans="1:1" x14ac:dyDescent="0.2">
      <c r="A1493" s="100">
        <v>395709538</v>
      </c>
    </row>
    <row r="1494" spans="1:1" x14ac:dyDescent="0.2">
      <c r="A1494" s="100">
        <v>395854981</v>
      </c>
    </row>
    <row r="1495" spans="1:1" x14ac:dyDescent="0.2">
      <c r="A1495" s="100">
        <v>395822631</v>
      </c>
    </row>
    <row r="1496" spans="1:1" x14ac:dyDescent="0.2">
      <c r="A1496" s="100">
        <v>395911410</v>
      </c>
    </row>
    <row r="1497" spans="1:1" x14ac:dyDescent="0.2">
      <c r="A1497" s="100">
        <v>395810834</v>
      </c>
    </row>
    <row r="1498" spans="1:1" x14ac:dyDescent="0.2">
      <c r="A1498" s="100">
        <v>395891065</v>
      </c>
    </row>
    <row r="1499" spans="1:1" x14ac:dyDescent="0.2">
      <c r="A1499" s="100">
        <v>395931073</v>
      </c>
    </row>
    <row r="1500" spans="1:1" x14ac:dyDescent="0.2">
      <c r="A1500" s="100">
        <v>395741307</v>
      </c>
    </row>
    <row r="1501" spans="1:1" x14ac:dyDescent="0.2">
      <c r="A1501" s="100">
        <v>395770274</v>
      </c>
    </row>
    <row r="1502" spans="1:1" x14ac:dyDescent="0.2">
      <c r="A1502" s="100">
        <v>395903851</v>
      </c>
    </row>
    <row r="1503" spans="1:1" x14ac:dyDescent="0.2">
      <c r="A1503" s="100">
        <v>395807644</v>
      </c>
    </row>
    <row r="1504" spans="1:1" x14ac:dyDescent="0.2">
      <c r="A1504" s="100">
        <v>395868793</v>
      </c>
    </row>
    <row r="1505" spans="1:1" x14ac:dyDescent="0.2">
      <c r="A1505" s="100">
        <v>395918189</v>
      </c>
    </row>
    <row r="1506" spans="1:1" x14ac:dyDescent="0.2">
      <c r="A1506" s="100">
        <v>395911096</v>
      </c>
    </row>
    <row r="1507" spans="1:1" x14ac:dyDescent="0.2">
      <c r="A1507" s="100">
        <v>395762520</v>
      </c>
    </row>
    <row r="1508" spans="1:1" x14ac:dyDescent="0.2">
      <c r="A1508" s="100">
        <v>395679640</v>
      </c>
    </row>
    <row r="1509" spans="1:1" x14ac:dyDescent="0.2">
      <c r="A1509" s="100">
        <v>397127363</v>
      </c>
    </row>
    <row r="1510" spans="1:1" x14ac:dyDescent="0.2">
      <c r="A1510" s="100">
        <v>394783964</v>
      </c>
    </row>
    <row r="1511" spans="1:1" x14ac:dyDescent="0.2">
      <c r="A1511" s="100">
        <v>395959918</v>
      </c>
    </row>
    <row r="1512" spans="1:1" x14ac:dyDescent="0.2">
      <c r="A1512" s="100">
        <v>395962664</v>
      </c>
    </row>
    <row r="1513" spans="1:1" x14ac:dyDescent="0.2">
      <c r="A1513" s="100">
        <v>395965581</v>
      </c>
    </row>
    <row r="1514" spans="1:1" x14ac:dyDescent="0.2">
      <c r="A1514" s="100">
        <v>395841409</v>
      </c>
    </row>
    <row r="1515" spans="1:1" x14ac:dyDescent="0.2">
      <c r="A1515" s="100">
        <v>395838011</v>
      </c>
    </row>
    <row r="1516" spans="1:1" x14ac:dyDescent="0.2">
      <c r="A1516" s="100">
        <v>395846307</v>
      </c>
    </row>
    <row r="1517" spans="1:1" x14ac:dyDescent="0.2">
      <c r="A1517" s="100">
        <v>395848127</v>
      </c>
    </row>
    <row r="1518" spans="1:1" x14ac:dyDescent="0.2">
      <c r="A1518" s="100">
        <v>397322403</v>
      </c>
    </row>
    <row r="1519" spans="1:1" x14ac:dyDescent="0.2">
      <c r="A1519" s="100">
        <v>397337007</v>
      </c>
    </row>
    <row r="1520" spans="1:1" x14ac:dyDescent="0.2">
      <c r="A1520" s="100">
        <v>397005066</v>
      </c>
    </row>
    <row r="1521" spans="1:1" x14ac:dyDescent="0.2">
      <c r="A1521" s="100">
        <v>397149209</v>
      </c>
    </row>
    <row r="1522" spans="1:1" x14ac:dyDescent="0.2">
      <c r="A1522" s="100">
        <v>397162794</v>
      </c>
    </row>
    <row r="1523" spans="1:1" x14ac:dyDescent="0.2">
      <c r="A1523" s="100">
        <v>397748704</v>
      </c>
    </row>
    <row r="1524" spans="1:1" x14ac:dyDescent="0.2">
      <c r="A1524" s="100">
        <v>397099379</v>
      </c>
    </row>
    <row r="1525" spans="1:1" x14ac:dyDescent="0.2">
      <c r="A1525" s="100">
        <v>397864276</v>
      </c>
    </row>
    <row r="1526" spans="1:1" x14ac:dyDescent="0.2">
      <c r="A1526" s="100">
        <v>397859341</v>
      </c>
    </row>
    <row r="1527" spans="1:1" x14ac:dyDescent="0.2">
      <c r="A1527" s="100">
        <v>700391830602</v>
      </c>
    </row>
    <row r="1528" spans="1:1" x14ac:dyDescent="0.2">
      <c r="A1528" s="100">
        <v>261776622701</v>
      </c>
    </row>
    <row r="1529" spans="1:1" x14ac:dyDescent="0.2">
      <c r="A1529" s="100">
        <v>261874480401</v>
      </c>
    </row>
    <row r="1530" spans="1:1" x14ac:dyDescent="0.2">
      <c r="A1530" s="100">
        <v>261893524301</v>
      </c>
    </row>
    <row r="1531" spans="1:1" x14ac:dyDescent="0.2">
      <c r="A1531" s="100">
        <v>261839711601</v>
      </c>
    </row>
    <row r="1532" spans="1:1" x14ac:dyDescent="0.2">
      <c r="A1532" s="100">
        <v>261878737602</v>
      </c>
    </row>
    <row r="1533" spans="1:1" x14ac:dyDescent="0.2">
      <c r="A1533" s="100">
        <v>348169730601</v>
      </c>
    </row>
    <row r="1534" spans="1:1" x14ac:dyDescent="0.2">
      <c r="A1534" s="100">
        <v>348184988001</v>
      </c>
    </row>
    <row r="1535" spans="1:1" x14ac:dyDescent="0.2">
      <c r="A1535" s="100">
        <v>261849849201</v>
      </c>
    </row>
    <row r="1536" spans="1:1" x14ac:dyDescent="0.2">
      <c r="A1536" s="100">
        <v>261837389301</v>
      </c>
    </row>
    <row r="1537" spans="1:1" x14ac:dyDescent="0.2">
      <c r="A1537" s="100">
        <v>348171178901</v>
      </c>
    </row>
    <row r="1538" spans="1:1" x14ac:dyDescent="0.2">
      <c r="A1538" s="100">
        <v>348176368401</v>
      </c>
    </row>
    <row r="1539" spans="1:1" x14ac:dyDescent="0.2">
      <c r="A1539" s="100">
        <v>261892762301</v>
      </c>
    </row>
    <row r="1540" spans="1:1" x14ac:dyDescent="0.2">
      <c r="A1540" s="100">
        <v>348272227901</v>
      </c>
    </row>
    <row r="1541" spans="1:1" x14ac:dyDescent="0.2">
      <c r="A1541" s="100">
        <v>262045929501</v>
      </c>
    </row>
    <row r="1542" spans="1:1" x14ac:dyDescent="0.2">
      <c r="A1542" s="100">
        <v>348272312501</v>
      </c>
    </row>
    <row r="1543" spans="1:1" x14ac:dyDescent="0.2">
      <c r="A1543" s="100">
        <v>262036819001</v>
      </c>
    </row>
    <row r="1544" spans="1:1" x14ac:dyDescent="0.2">
      <c r="A1544" s="100">
        <v>398914713</v>
      </c>
    </row>
    <row r="1545" spans="1:1" x14ac:dyDescent="0.2">
      <c r="A1545" s="100">
        <v>348267540701</v>
      </c>
    </row>
    <row r="1546" spans="1:1" x14ac:dyDescent="0.2">
      <c r="A1546" s="100">
        <v>262040488401</v>
      </c>
    </row>
    <row r="1547" spans="1:1" x14ac:dyDescent="0.2">
      <c r="A1547" s="100">
        <v>262037035101</v>
      </c>
    </row>
    <row r="1548" spans="1:1" x14ac:dyDescent="0.2">
      <c r="A1548" s="100">
        <v>262043493701</v>
      </c>
    </row>
    <row r="1549" spans="1:1" x14ac:dyDescent="0.2">
      <c r="A1549" s="100">
        <v>262044146601</v>
      </c>
    </row>
    <row r="1550" spans="1:1" x14ac:dyDescent="0.2">
      <c r="A1550" s="100">
        <v>348272703301</v>
      </c>
    </row>
    <row r="1551" spans="1:1" x14ac:dyDescent="0.2">
      <c r="A1551" s="100">
        <v>262044852801</v>
      </c>
    </row>
    <row r="1552" spans="1:1" x14ac:dyDescent="0.2">
      <c r="A1552" s="100">
        <v>262045143601</v>
      </c>
    </row>
    <row r="1553" spans="1:1" x14ac:dyDescent="0.2">
      <c r="A1553" s="100">
        <v>262045306301</v>
      </c>
    </row>
    <row r="1554" spans="1:1" x14ac:dyDescent="0.2">
      <c r="A1554" s="100">
        <v>398918006</v>
      </c>
    </row>
    <row r="1555" spans="1:1" x14ac:dyDescent="0.2">
      <c r="A1555" s="100">
        <v>348273298801</v>
      </c>
    </row>
    <row r="1556" spans="1:1" x14ac:dyDescent="0.2">
      <c r="A1556" s="100">
        <v>348272796301</v>
      </c>
    </row>
    <row r="1557" spans="1:1" x14ac:dyDescent="0.2">
      <c r="A1557" s="100">
        <v>262026706301</v>
      </c>
    </row>
    <row r="1558" spans="1:1" x14ac:dyDescent="0.2">
      <c r="A1558" s="100">
        <v>348272527701</v>
      </c>
    </row>
    <row r="1559" spans="1:1" x14ac:dyDescent="0.2">
      <c r="A1559" s="100">
        <v>348271581201</v>
      </c>
    </row>
    <row r="1560" spans="1:1" x14ac:dyDescent="0.2">
      <c r="A1560" s="100">
        <v>348272468301</v>
      </c>
    </row>
    <row r="1561" spans="1:1" x14ac:dyDescent="0.2">
      <c r="A1561" s="100">
        <v>261970003101</v>
      </c>
    </row>
    <row r="1562" spans="1:1" x14ac:dyDescent="0.2">
      <c r="A1562" s="100">
        <v>105633533201</v>
      </c>
    </row>
    <row r="1563" spans="1:1" x14ac:dyDescent="0.2">
      <c r="A1563" s="100">
        <v>398837503</v>
      </c>
    </row>
    <row r="1564" spans="1:1" x14ac:dyDescent="0.2">
      <c r="A1564" s="100">
        <v>261535877001</v>
      </c>
    </row>
    <row r="1565" spans="1:1" x14ac:dyDescent="0.2">
      <c r="A1565" s="100">
        <v>261538634601</v>
      </c>
    </row>
    <row r="1566" spans="1:1" x14ac:dyDescent="0.2">
      <c r="A1566" s="100">
        <v>398915104</v>
      </c>
    </row>
    <row r="1567" spans="1:1" x14ac:dyDescent="0.2">
      <c r="A1567" s="100">
        <v>348240684001</v>
      </c>
    </row>
    <row r="1568" spans="1:1" x14ac:dyDescent="0.2">
      <c r="A1568" s="100">
        <v>262039653001</v>
      </c>
    </row>
    <row r="1569" spans="1:1" x14ac:dyDescent="0.2">
      <c r="A1569" s="100">
        <v>262042534301</v>
      </c>
    </row>
    <row r="1570" spans="1:1" x14ac:dyDescent="0.2">
      <c r="A1570" s="100">
        <v>262043344602</v>
      </c>
    </row>
    <row r="1571" spans="1:1" x14ac:dyDescent="0.2">
      <c r="A1571" s="100">
        <v>262043664301</v>
      </c>
    </row>
    <row r="1572" spans="1:1" x14ac:dyDescent="0.2">
      <c r="A1572" s="100">
        <v>262043703201</v>
      </c>
    </row>
    <row r="1573" spans="1:1" x14ac:dyDescent="0.2">
      <c r="A1573" s="100">
        <v>262043746201</v>
      </c>
    </row>
    <row r="1574" spans="1:1" x14ac:dyDescent="0.2">
      <c r="A1574" s="100">
        <v>262043776002</v>
      </c>
    </row>
    <row r="1575" spans="1:1" x14ac:dyDescent="0.2">
      <c r="A1575" s="100">
        <v>262043844501</v>
      </c>
    </row>
    <row r="1576" spans="1:1" x14ac:dyDescent="0.2">
      <c r="A1576" s="100">
        <v>262043863802</v>
      </c>
    </row>
    <row r="1577" spans="1:1" x14ac:dyDescent="0.2">
      <c r="A1577" s="100">
        <v>262043878901</v>
      </c>
    </row>
    <row r="1578" spans="1:1" x14ac:dyDescent="0.2">
      <c r="A1578" s="100">
        <v>262044030401</v>
      </c>
    </row>
    <row r="1579" spans="1:1" x14ac:dyDescent="0.2">
      <c r="A1579" s="100">
        <v>262044200401</v>
      </c>
    </row>
    <row r="1580" spans="1:1" x14ac:dyDescent="0.2">
      <c r="A1580" s="100">
        <v>262044233801</v>
      </c>
    </row>
    <row r="1581" spans="1:1" x14ac:dyDescent="0.2">
      <c r="A1581" s="100">
        <v>262044281401</v>
      </c>
    </row>
    <row r="1582" spans="1:1" x14ac:dyDescent="0.2">
      <c r="A1582" s="100">
        <v>262044514802</v>
      </c>
    </row>
    <row r="1583" spans="1:1" x14ac:dyDescent="0.2">
      <c r="A1583" s="100">
        <v>262044644701</v>
      </c>
    </row>
    <row r="1584" spans="1:1" x14ac:dyDescent="0.2">
      <c r="A1584" s="100">
        <v>262044839401</v>
      </c>
    </row>
    <row r="1585" spans="1:1" x14ac:dyDescent="0.2">
      <c r="A1585" s="100">
        <v>262045185001</v>
      </c>
    </row>
    <row r="1586" spans="1:1" x14ac:dyDescent="0.2">
      <c r="A1586" s="100">
        <v>348272160701</v>
      </c>
    </row>
    <row r="1587" spans="1:1" x14ac:dyDescent="0.2">
      <c r="A1587" s="100">
        <v>348272178001</v>
      </c>
    </row>
    <row r="1588" spans="1:1" x14ac:dyDescent="0.2">
      <c r="A1588" s="100">
        <v>348272208801</v>
      </c>
    </row>
    <row r="1589" spans="1:1" x14ac:dyDescent="0.2">
      <c r="A1589" s="100">
        <v>348272242101</v>
      </c>
    </row>
    <row r="1590" spans="1:1" x14ac:dyDescent="0.2">
      <c r="A1590" s="100">
        <v>348272256701</v>
      </c>
    </row>
    <row r="1591" spans="1:1" x14ac:dyDescent="0.2">
      <c r="A1591" s="100">
        <v>348272258501</v>
      </c>
    </row>
    <row r="1592" spans="1:1" x14ac:dyDescent="0.2">
      <c r="A1592" s="100">
        <v>348272325801</v>
      </c>
    </row>
    <row r="1593" spans="1:1" x14ac:dyDescent="0.2">
      <c r="A1593" s="100">
        <v>348272376601</v>
      </c>
    </row>
    <row r="1594" spans="1:1" x14ac:dyDescent="0.2">
      <c r="A1594" s="100">
        <v>348272389501</v>
      </c>
    </row>
    <row r="1595" spans="1:1" x14ac:dyDescent="0.2">
      <c r="A1595" s="100">
        <v>348272438401</v>
      </c>
    </row>
    <row r="1596" spans="1:1" x14ac:dyDescent="0.2">
      <c r="A1596" s="100">
        <v>348272455701</v>
      </c>
    </row>
    <row r="1597" spans="1:1" x14ac:dyDescent="0.2">
      <c r="A1597" s="100">
        <v>348272519501</v>
      </c>
    </row>
    <row r="1598" spans="1:1" x14ac:dyDescent="0.2">
      <c r="A1598" s="100">
        <v>348272556501</v>
      </c>
    </row>
    <row r="1599" spans="1:1" x14ac:dyDescent="0.2">
      <c r="A1599" s="100">
        <v>348272587401</v>
      </c>
    </row>
    <row r="1600" spans="1:1" x14ac:dyDescent="0.2">
      <c r="A1600" s="100">
        <v>348272593301</v>
      </c>
    </row>
    <row r="1601" spans="1:1" x14ac:dyDescent="0.2">
      <c r="A1601" s="100">
        <v>348272596701</v>
      </c>
    </row>
    <row r="1602" spans="1:1" x14ac:dyDescent="0.2">
      <c r="A1602" s="100">
        <v>348272617001</v>
      </c>
    </row>
    <row r="1603" spans="1:1" x14ac:dyDescent="0.2">
      <c r="A1603" s="100">
        <v>348272671801</v>
      </c>
    </row>
    <row r="1604" spans="1:1" x14ac:dyDescent="0.2">
      <c r="A1604" s="100">
        <v>348272687801</v>
      </c>
    </row>
    <row r="1605" spans="1:1" x14ac:dyDescent="0.2">
      <c r="A1605" s="100">
        <v>348272699901</v>
      </c>
    </row>
    <row r="1606" spans="1:1" x14ac:dyDescent="0.2">
      <c r="A1606" s="100">
        <v>348272777701</v>
      </c>
    </row>
    <row r="1607" spans="1:1" x14ac:dyDescent="0.2">
      <c r="A1607" s="100">
        <v>348272782001</v>
      </c>
    </row>
    <row r="1608" spans="1:1" x14ac:dyDescent="0.2">
      <c r="A1608" s="100">
        <v>348272831301</v>
      </c>
    </row>
    <row r="1609" spans="1:1" x14ac:dyDescent="0.2">
      <c r="A1609" s="100">
        <v>348272952101</v>
      </c>
    </row>
    <row r="1610" spans="1:1" x14ac:dyDescent="0.2">
      <c r="A1610" s="100">
        <v>348273021001</v>
      </c>
    </row>
    <row r="1611" spans="1:1" x14ac:dyDescent="0.2">
      <c r="A1611" s="100">
        <v>700415517902</v>
      </c>
    </row>
    <row r="1612" spans="1:1" x14ac:dyDescent="0.2">
      <c r="A1612" s="100">
        <v>700415522901</v>
      </c>
    </row>
    <row r="1613" spans="1:1" x14ac:dyDescent="0.2">
      <c r="A1613" s="100">
        <v>105648694801</v>
      </c>
    </row>
    <row r="1614" spans="1:1" x14ac:dyDescent="0.2">
      <c r="A1614" s="100">
        <v>262026193501</v>
      </c>
    </row>
    <row r="1615" spans="1:1" x14ac:dyDescent="0.2">
      <c r="A1615" s="100">
        <v>348262925301</v>
      </c>
    </row>
    <row r="1616" spans="1:1" x14ac:dyDescent="0.2">
      <c r="A1616" s="100">
        <v>105654707601</v>
      </c>
    </row>
    <row r="1617" spans="1:1" x14ac:dyDescent="0.2">
      <c r="A1617" s="100">
        <v>262042531001</v>
      </c>
    </row>
    <row r="1618" spans="1:1" x14ac:dyDescent="0.2">
      <c r="A1618" s="100">
        <v>105654729301</v>
      </c>
    </row>
    <row r="1619" spans="1:1" x14ac:dyDescent="0.2">
      <c r="A1619" s="100">
        <v>348271738801</v>
      </c>
    </row>
    <row r="1620" spans="1:1" x14ac:dyDescent="0.2">
      <c r="A1620" s="100">
        <v>105654762901</v>
      </c>
    </row>
    <row r="1621" spans="1:1" x14ac:dyDescent="0.2">
      <c r="A1621" s="100">
        <v>105654804501</v>
      </c>
    </row>
    <row r="1622" spans="1:1" x14ac:dyDescent="0.2">
      <c r="A1622" s="100">
        <v>105654805301</v>
      </c>
    </row>
    <row r="1623" spans="1:1" x14ac:dyDescent="0.2">
      <c r="A1623" s="100">
        <v>105654806801</v>
      </c>
    </row>
    <row r="1624" spans="1:1" x14ac:dyDescent="0.2">
      <c r="A1624" s="100">
        <v>262042833201</v>
      </c>
    </row>
    <row r="1625" spans="1:1" x14ac:dyDescent="0.2">
      <c r="A1625" s="100">
        <v>105654826401</v>
      </c>
    </row>
    <row r="1626" spans="1:1" x14ac:dyDescent="0.2">
      <c r="A1626" s="100">
        <v>262042931801</v>
      </c>
    </row>
    <row r="1627" spans="1:1" x14ac:dyDescent="0.2">
      <c r="A1627" s="100">
        <v>262042995301</v>
      </c>
    </row>
    <row r="1628" spans="1:1" x14ac:dyDescent="0.2">
      <c r="A1628" s="100">
        <v>105653814701</v>
      </c>
    </row>
    <row r="1629" spans="1:1" x14ac:dyDescent="0.2">
      <c r="A1629" s="100">
        <v>105654861701</v>
      </c>
    </row>
    <row r="1630" spans="1:1" x14ac:dyDescent="0.2">
      <c r="A1630" s="100">
        <v>105654877901</v>
      </c>
    </row>
    <row r="1631" spans="1:1" x14ac:dyDescent="0.2">
      <c r="A1631" s="100">
        <v>105654889901</v>
      </c>
    </row>
    <row r="1632" spans="1:1" x14ac:dyDescent="0.2">
      <c r="A1632" s="100">
        <v>262043264601</v>
      </c>
    </row>
    <row r="1633" spans="1:1" x14ac:dyDescent="0.2">
      <c r="A1633" s="100">
        <v>105654928901</v>
      </c>
    </row>
    <row r="1634" spans="1:1" x14ac:dyDescent="0.2">
      <c r="A1634" s="100">
        <v>262043357901</v>
      </c>
    </row>
    <row r="1635" spans="1:1" x14ac:dyDescent="0.2">
      <c r="A1635" s="100">
        <v>348272097001</v>
      </c>
    </row>
    <row r="1636" spans="1:1" x14ac:dyDescent="0.2">
      <c r="A1636" s="100">
        <v>262043269701</v>
      </c>
    </row>
    <row r="1637" spans="1:1" x14ac:dyDescent="0.2">
      <c r="A1637" s="100">
        <v>262043437402</v>
      </c>
    </row>
    <row r="1638" spans="1:1" x14ac:dyDescent="0.2">
      <c r="A1638" s="100">
        <v>262043546001</v>
      </c>
    </row>
    <row r="1639" spans="1:1" x14ac:dyDescent="0.2">
      <c r="A1639" s="100">
        <v>398911692</v>
      </c>
    </row>
    <row r="1640" spans="1:1" x14ac:dyDescent="0.2">
      <c r="A1640" s="100">
        <v>262043554801</v>
      </c>
    </row>
    <row r="1641" spans="1:1" x14ac:dyDescent="0.2">
      <c r="A1641" s="100">
        <v>348272157801</v>
      </c>
    </row>
    <row r="1642" spans="1:1" x14ac:dyDescent="0.2">
      <c r="A1642" s="100">
        <v>700415587502</v>
      </c>
    </row>
    <row r="1643" spans="1:1" x14ac:dyDescent="0.2">
      <c r="A1643" s="100">
        <v>262043600002</v>
      </c>
    </row>
    <row r="1644" spans="1:1" x14ac:dyDescent="0.2">
      <c r="A1644" s="100">
        <v>700415588601</v>
      </c>
    </row>
    <row r="1645" spans="1:1" x14ac:dyDescent="0.2">
      <c r="A1645" s="100">
        <v>105654994602</v>
      </c>
    </row>
    <row r="1646" spans="1:1" x14ac:dyDescent="0.2">
      <c r="A1646" s="100">
        <v>262043653601</v>
      </c>
    </row>
    <row r="1647" spans="1:1" x14ac:dyDescent="0.2">
      <c r="A1647" s="100">
        <v>348272213901</v>
      </c>
    </row>
    <row r="1648" spans="1:1" x14ac:dyDescent="0.2">
      <c r="A1648" s="100">
        <v>348272238101</v>
      </c>
    </row>
    <row r="1649" spans="1:1" x14ac:dyDescent="0.2">
      <c r="A1649" s="100">
        <v>262043687401</v>
      </c>
    </row>
    <row r="1650" spans="1:1" x14ac:dyDescent="0.2">
      <c r="A1650" s="100">
        <v>398913018</v>
      </c>
    </row>
    <row r="1651" spans="1:1" x14ac:dyDescent="0.2">
      <c r="A1651" s="100">
        <v>262043702901</v>
      </c>
    </row>
    <row r="1652" spans="1:1" x14ac:dyDescent="0.2">
      <c r="A1652" s="100">
        <v>348272260201</v>
      </c>
    </row>
    <row r="1653" spans="1:1" x14ac:dyDescent="0.2">
      <c r="A1653" s="100">
        <v>105655026501</v>
      </c>
    </row>
    <row r="1654" spans="1:1" x14ac:dyDescent="0.2">
      <c r="A1654" s="100">
        <v>262043744301</v>
      </c>
    </row>
    <row r="1655" spans="1:1" x14ac:dyDescent="0.2">
      <c r="A1655" s="100">
        <v>262043642301</v>
      </c>
    </row>
    <row r="1656" spans="1:1" x14ac:dyDescent="0.2">
      <c r="A1656" s="100">
        <v>348272274201</v>
      </c>
    </row>
    <row r="1657" spans="1:1" x14ac:dyDescent="0.2">
      <c r="A1657" s="100">
        <v>262043641801</v>
      </c>
    </row>
    <row r="1658" spans="1:1" x14ac:dyDescent="0.2">
      <c r="A1658" s="100">
        <v>348272282301</v>
      </c>
    </row>
    <row r="1659" spans="1:1" x14ac:dyDescent="0.2">
      <c r="A1659" s="100">
        <v>262043741001</v>
      </c>
    </row>
    <row r="1660" spans="1:1" x14ac:dyDescent="0.2">
      <c r="A1660" s="100">
        <v>262043702501</v>
      </c>
    </row>
    <row r="1661" spans="1:1" x14ac:dyDescent="0.2">
      <c r="A1661" s="100">
        <v>262043725101</v>
      </c>
    </row>
    <row r="1662" spans="1:1" x14ac:dyDescent="0.2">
      <c r="A1662" s="100">
        <v>398912250</v>
      </c>
    </row>
    <row r="1663" spans="1:1" x14ac:dyDescent="0.2">
      <c r="A1663" s="100">
        <v>700415597101</v>
      </c>
    </row>
    <row r="1664" spans="1:1" x14ac:dyDescent="0.2">
      <c r="A1664" s="100">
        <v>348272305201</v>
      </c>
    </row>
    <row r="1665" spans="1:1" x14ac:dyDescent="0.2">
      <c r="A1665" s="100">
        <v>398913394</v>
      </c>
    </row>
    <row r="1666" spans="1:1" x14ac:dyDescent="0.2">
      <c r="A1666" s="100">
        <v>348272314001</v>
      </c>
    </row>
    <row r="1667" spans="1:1" x14ac:dyDescent="0.2">
      <c r="A1667" s="100">
        <v>262043848801</v>
      </c>
    </row>
    <row r="1668" spans="1:1" x14ac:dyDescent="0.2">
      <c r="A1668" s="100">
        <v>262043863801</v>
      </c>
    </row>
    <row r="1669" spans="1:1" x14ac:dyDescent="0.2">
      <c r="A1669" s="100">
        <v>348272338601</v>
      </c>
    </row>
    <row r="1670" spans="1:1" x14ac:dyDescent="0.2">
      <c r="A1670" s="100">
        <v>348272340702</v>
      </c>
    </row>
    <row r="1671" spans="1:1" x14ac:dyDescent="0.2">
      <c r="A1671" s="100">
        <v>105655069701</v>
      </c>
    </row>
    <row r="1672" spans="1:1" x14ac:dyDescent="0.2">
      <c r="A1672" s="100">
        <v>262043623701</v>
      </c>
    </row>
    <row r="1673" spans="1:1" x14ac:dyDescent="0.2">
      <c r="A1673" s="100">
        <v>700415601501</v>
      </c>
    </row>
    <row r="1674" spans="1:1" x14ac:dyDescent="0.2">
      <c r="A1674" s="100">
        <v>105655081101</v>
      </c>
    </row>
    <row r="1675" spans="1:1" x14ac:dyDescent="0.2">
      <c r="A1675" s="100">
        <v>262043937501</v>
      </c>
    </row>
    <row r="1676" spans="1:1" x14ac:dyDescent="0.2">
      <c r="A1676" s="100">
        <v>262043954101</v>
      </c>
    </row>
    <row r="1677" spans="1:1" x14ac:dyDescent="0.2">
      <c r="A1677" s="100">
        <v>262043995101</v>
      </c>
    </row>
    <row r="1678" spans="1:1" x14ac:dyDescent="0.2">
      <c r="A1678" s="100">
        <v>262044005701</v>
      </c>
    </row>
    <row r="1679" spans="1:1" x14ac:dyDescent="0.2">
      <c r="A1679" s="100">
        <v>262044012901</v>
      </c>
    </row>
    <row r="1680" spans="1:1" x14ac:dyDescent="0.2">
      <c r="A1680" s="100">
        <v>348265571501</v>
      </c>
    </row>
    <row r="1681" spans="1:1" x14ac:dyDescent="0.2">
      <c r="A1681" s="100">
        <v>262044028501</v>
      </c>
    </row>
    <row r="1682" spans="1:1" x14ac:dyDescent="0.2">
      <c r="A1682" s="100">
        <v>348272422501</v>
      </c>
    </row>
    <row r="1683" spans="1:1" x14ac:dyDescent="0.2">
      <c r="A1683" s="100">
        <v>398912584</v>
      </c>
    </row>
    <row r="1684" spans="1:1" x14ac:dyDescent="0.2">
      <c r="A1684" s="100">
        <v>262044026802</v>
      </c>
    </row>
    <row r="1685" spans="1:1" x14ac:dyDescent="0.2">
      <c r="A1685" s="100">
        <v>262044091301</v>
      </c>
    </row>
    <row r="1686" spans="1:1" x14ac:dyDescent="0.2">
      <c r="A1686" s="100">
        <v>262044092601</v>
      </c>
    </row>
    <row r="1687" spans="1:1" x14ac:dyDescent="0.2">
      <c r="A1687" s="100">
        <v>262044118601</v>
      </c>
    </row>
    <row r="1688" spans="1:1" x14ac:dyDescent="0.2">
      <c r="A1688" s="100">
        <v>262044118602</v>
      </c>
    </row>
    <row r="1689" spans="1:1" x14ac:dyDescent="0.2">
      <c r="A1689" s="100">
        <v>348264410801</v>
      </c>
    </row>
    <row r="1690" spans="1:1" x14ac:dyDescent="0.2">
      <c r="A1690" s="100">
        <v>398883920</v>
      </c>
    </row>
    <row r="1691" spans="1:1" x14ac:dyDescent="0.2">
      <c r="A1691" s="100">
        <v>262044164201</v>
      </c>
    </row>
    <row r="1692" spans="1:1" x14ac:dyDescent="0.2">
      <c r="A1692" s="100">
        <v>348272476501</v>
      </c>
    </row>
    <row r="1693" spans="1:1" x14ac:dyDescent="0.2">
      <c r="A1693" s="100">
        <v>348272490501</v>
      </c>
    </row>
    <row r="1694" spans="1:1" x14ac:dyDescent="0.2">
      <c r="A1694" s="100">
        <v>105655148801</v>
      </c>
    </row>
    <row r="1695" spans="1:1" x14ac:dyDescent="0.2">
      <c r="A1695" s="100">
        <v>105655154301</v>
      </c>
    </row>
    <row r="1696" spans="1:1" x14ac:dyDescent="0.2">
      <c r="A1696" s="100">
        <v>700415618701</v>
      </c>
    </row>
    <row r="1697" spans="1:1" x14ac:dyDescent="0.2">
      <c r="A1697" s="100">
        <v>348272507801</v>
      </c>
    </row>
    <row r="1698" spans="1:1" x14ac:dyDescent="0.2">
      <c r="A1698" s="100">
        <v>348272513602</v>
      </c>
    </row>
    <row r="1699" spans="1:1" x14ac:dyDescent="0.2">
      <c r="A1699" s="100">
        <v>262044135101</v>
      </c>
    </row>
    <row r="1700" spans="1:1" x14ac:dyDescent="0.2">
      <c r="A1700" s="100">
        <v>262044291601</v>
      </c>
    </row>
    <row r="1701" spans="1:1" x14ac:dyDescent="0.2">
      <c r="A1701" s="100">
        <v>348272530101</v>
      </c>
    </row>
    <row r="1702" spans="1:1" x14ac:dyDescent="0.2">
      <c r="A1702" s="100">
        <v>105655173001</v>
      </c>
    </row>
    <row r="1703" spans="1:1" x14ac:dyDescent="0.2">
      <c r="A1703" s="100">
        <v>348272549101</v>
      </c>
    </row>
    <row r="1704" spans="1:1" x14ac:dyDescent="0.2">
      <c r="A1704" s="100">
        <v>262044333301</v>
      </c>
    </row>
    <row r="1705" spans="1:1" x14ac:dyDescent="0.2">
      <c r="A1705" s="100">
        <v>348272550301</v>
      </c>
    </row>
    <row r="1706" spans="1:1" x14ac:dyDescent="0.2">
      <c r="A1706" s="100">
        <v>262044339901</v>
      </c>
    </row>
    <row r="1707" spans="1:1" x14ac:dyDescent="0.2">
      <c r="A1707" s="100">
        <v>262039474501</v>
      </c>
    </row>
    <row r="1708" spans="1:1" x14ac:dyDescent="0.2">
      <c r="A1708" s="100">
        <v>262044420501</v>
      </c>
    </row>
    <row r="1709" spans="1:1" x14ac:dyDescent="0.2">
      <c r="A1709" s="100">
        <v>348272600901</v>
      </c>
    </row>
    <row r="1710" spans="1:1" x14ac:dyDescent="0.2">
      <c r="A1710" s="100">
        <v>105655210601</v>
      </c>
    </row>
    <row r="1711" spans="1:1" x14ac:dyDescent="0.2">
      <c r="A1711" s="100">
        <v>348272601502</v>
      </c>
    </row>
    <row r="1712" spans="1:1" x14ac:dyDescent="0.2">
      <c r="A1712" s="100">
        <v>262044440601</v>
      </c>
    </row>
    <row r="1713" spans="1:1" x14ac:dyDescent="0.2">
      <c r="A1713" s="100">
        <v>262044478401</v>
      </c>
    </row>
    <row r="1714" spans="1:1" x14ac:dyDescent="0.2">
      <c r="A1714" s="100">
        <v>262044482001</v>
      </c>
    </row>
    <row r="1715" spans="1:1" x14ac:dyDescent="0.2">
      <c r="A1715" s="100">
        <v>105655218601</v>
      </c>
    </row>
    <row r="1716" spans="1:1" x14ac:dyDescent="0.2">
      <c r="A1716" s="100">
        <v>105655221001</v>
      </c>
    </row>
    <row r="1717" spans="1:1" x14ac:dyDescent="0.2">
      <c r="A1717" s="100">
        <v>262044514801</v>
      </c>
    </row>
    <row r="1718" spans="1:1" x14ac:dyDescent="0.2">
      <c r="A1718" s="100">
        <v>262044454501</v>
      </c>
    </row>
    <row r="1719" spans="1:1" x14ac:dyDescent="0.2">
      <c r="A1719" s="100">
        <v>262044463401</v>
      </c>
    </row>
    <row r="1720" spans="1:1" x14ac:dyDescent="0.2">
      <c r="A1720" s="100">
        <v>262044593901</v>
      </c>
    </row>
    <row r="1721" spans="1:1" x14ac:dyDescent="0.2">
      <c r="A1721" s="100">
        <v>105655225601</v>
      </c>
    </row>
    <row r="1722" spans="1:1" x14ac:dyDescent="0.2">
      <c r="A1722" s="100">
        <v>262044635902</v>
      </c>
    </row>
    <row r="1723" spans="1:1" x14ac:dyDescent="0.2">
      <c r="A1723" s="100">
        <v>348272707801</v>
      </c>
    </row>
    <row r="1724" spans="1:1" x14ac:dyDescent="0.2">
      <c r="A1724" s="100">
        <v>348272709401</v>
      </c>
    </row>
    <row r="1725" spans="1:1" x14ac:dyDescent="0.2">
      <c r="A1725" s="100">
        <v>348272717101</v>
      </c>
    </row>
    <row r="1726" spans="1:1" x14ac:dyDescent="0.2">
      <c r="A1726" s="100">
        <v>262044662401</v>
      </c>
    </row>
    <row r="1727" spans="1:1" x14ac:dyDescent="0.2">
      <c r="A1727" s="100">
        <v>348272726501</v>
      </c>
    </row>
    <row r="1728" spans="1:1" x14ac:dyDescent="0.2">
      <c r="A1728" s="100">
        <v>262044758601</v>
      </c>
    </row>
    <row r="1729" spans="1:1" x14ac:dyDescent="0.2">
      <c r="A1729" s="100">
        <v>348272805401</v>
      </c>
    </row>
    <row r="1730" spans="1:1" x14ac:dyDescent="0.2">
      <c r="A1730" s="100">
        <v>348272816701</v>
      </c>
    </row>
    <row r="1731" spans="1:1" x14ac:dyDescent="0.2">
      <c r="A1731" s="100">
        <v>262044844701</v>
      </c>
    </row>
    <row r="1732" spans="1:1" x14ac:dyDescent="0.2">
      <c r="A1732" s="100">
        <v>348272818201</v>
      </c>
    </row>
    <row r="1733" spans="1:1" x14ac:dyDescent="0.2">
      <c r="A1733" s="100">
        <v>262044860301</v>
      </c>
    </row>
    <row r="1734" spans="1:1" x14ac:dyDescent="0.2">
      <c r="A1734" s="100">
        <v>262040617901</v>
      </c>
    </row>
    <row r="1735" spans="1:1" x14ac:dyDescent="0.2">
      <c r="A1735" s="100">
        <v>348272885901</v>
      </c>
    </row>
    <row r="1736" spans="1:1" x14ac:dyDescent="0.2">
      <c r="A1736" s="100">
        <v>262044969201</v>
      </c>
    </row>
    <row r="1737" spans="1:1" x14ac:dyDescent="0.2">
      <c r="A1737" s="100">
        <v>348272908901</v>
      </c>
    </row>
    <row r="1738" spans="1:1" x14ac:dyDescent="0.2">
      <c r="A1738" s="100">
        <v>262045003301</v>
      </c>
    </row>
    <row r="1739" spans="1:1" x14ac:dyDescent="0.2">
      <c r="A1739" s="100">
        <v>348272925701</v>
      </c>
    </row>
    <row r="1740" spans="1:1" x14ac:dyDescent="0.2">
      <c r="A1740" s="100">
        <v>262045061701</v>
      </c>
    </row>
    <row r="1741" spans="1:1" x14ac:dyDescent="0.2">
      <c r="A1741" s="100">
        <v>700415669801</v>
      </c>
    </row>
    <row r="1742" spans="1:1" x14ac:dyDescent="0.2">
      <c r="A1742" s="100">
        <v>348270670001</v>
      </c>
    </row>
    <row r="1743" spans="1:1" x14ac:dyDescent="0.2">
      <c r="A1743" s="100">
        <v>262037844703</v>
      </c>
    </row>
    <row r="1744" spans="1:1" x14ac:dyDescent="0.2">
      <c r="A1744" s="100">
        <v>262037881101</v>
      </c>
    </row>
    <row r="1745" spans="1:1" x14ac:dyDescent="0.2">
      <c r="A1745" s="100">
        <v>261888755801</v>
      </c>
    </row>
    <row r="1746" spans="1:1" x14ac:dyDescent="0.2">
      <c r="A1746" s="100">
        <v>261871191401</v>
      </c>
    </row>
    <row r="1747" spans="1:1" x14ac:dyDescent="0.2">
      <c r="A1747" s="100">
        <v>261896900401</v>
      </c>
    </row>
    <row r="1748" spans="1:1" x14ac:dyDescent="0.2">
      <c r="A1748" s="100">
        <v>261882963001</v>
      </c>
    </row>
    <row r="1749" spans="1:1" x14ac:dyDescent="0.2">
      <c r="A1749" s="100">
        <v>262041638301</v>
      </c>
    </row>
    <row r="1750" spans="1:1" x14ac:dyDescent="0.2">
      <c r="A1750" s="100">
        <v>262038075401</v>
      </c>
    </row>
    <row r="1751" spans="1:1" x14ac:dyDescent="0.2">
      <c r="A1751" s="100">
        <v>105654456001</v>
      </c>
    </row>
    <row r="1752" spans="1:1" x14ac:dyDescent="0.2">
      <c r="A1752" s="100">
        <v>348269211501</v>
      </c>
    </row>
    <row r="1753" spans="1:1" x14ac:dyDescent="0.2">
      <c r="A1753" s="100">
        <v>262013221001</v>
      </c>
    </row>
    <row r="1754" spans="1:1" x14ac:dyDescent="0.2">
      <c r="A1754" s="100">
        <v>261864531801</v>
      </c>
    </row>
    <row r="1755" spans="1:1" x14ac:dyDescent="0.2">
      <c r="A1755" s="100">
        <v>261936378001</v>
      </c>
    </row>
    <row r="1756" spans="1:1" x14ac:dyDescent="0.2">
      <c r="A1756" s="100">
        <v>348263223401</v>
      </c>
    </row>
    <row r="1757" spans="1:1" x14ac:dyDescent="0.2">
      <c r="A1757" s="100">
        <v>261846041901</v>
      </c>
    </row>
    <row r="1758" spans="1:1" x14ac:dyDescent="0.2">
      <c r="A1758" s="100">
        <v>262036108101</v>
      </c>
    </row>
    <row r="1759" spans="1:1" x14ac:dyDescent="0.2">
      <c r="A1759" s="100">
        <v>262079180501</v>
      </c>
    </row>
    <row r="1760" spans="1:1" x14ac:dyDescent="0.2">
      <c r="A1760" s="100">
        <v>105667108201</v>
      </c>
    </row>
    <row r="1761" spans="1:1" x14ac:dyDescent="0.2">
      <c r="A1761" s="100">
        <v>399017892</v>
      </c>
    </row>
    <row r="1762" spans="1:1" x14ac:dyDescent="0.2">
      <c r="A1762" s="100">
        <v>399018904</v>
      </c>
    </row>
    <row r="1763" spans="1:1" x14ac:dyDescent="0.2">
      <c r="A1763" s="100">
        <v>399019431</v>
      </c>
    </row>
    <row r="1764" spans="1:1" x14ac:dyDescent="0.2">
      <c r="A1764" s="100">
        <v>262076731401</v>
      </c>
    </row>
    <row r="1765" spans="1:1" x14ac:dyDescent="0.2">
      <c r="A1765" s="100">
        <v>262072874201</v>
      </c>
    </row>
    <row r="1766" spans="1:1" x14ac:dyDescent="0.2">
      <c r="A1766" s="100">
        <v>262074383201</v>
      </c>
    </row>
    <row r="1767" spans="1:1" x14ac:dyDescent="0.2">
      <c r="A1767" s="100">
        <v>262078941602</v>
      </c>
    </row>
    <row r="1768" spans="1:1" x14ac:dyDescent="0.2">
      <c r="A1768" s="100">
        <v>262080987801</v>
      </c>
    </row>
    <row r="1769" spans="1:1" x14ac:dyDescent="0.2">
      <c r="A1769" s="100">
        <v>262081184201</v>
      </c>
    </row>
    <row r="1770" spans="1:1" x14ac:dyDescent="0.2">
      <c r="A1770" s="100">
        <v>262081224301</v>
      </c>
    </row>
    <row r="1771" spans="1:1" x14ac:dyDescent="0.2">
      <c r="A1771" s="100">
        <v>262077093301</v>
      </c>
    </row>
    <row r="1772" spans="1:1" x14ac:dyDescent="0.2">
      <c r="A1772" s="100">
        <v>262081556901</v>
      </c>
    </row>
    <row r="1773" spans="1:1" x14ac:dyDescent="0.2">
      <c r="A1773" s="100">
        <v>262077636301</v>
      </c>
    </row>
    <row r="1774" spans="1:1" x14ac:dyDescent="0.2">
      <c r="A1774" s="100">
        <v>262053843101</v>
      </c>
    </row>
    <row r="1775" spans="1:1" x14ac:dyDescent="0.2">
      <c r="A1775" s="100">
        <v>262076737001</v>
      </c>
    </row>
    <row r="1776" spans="1:1" x14ac:dyDescent="0.2">
      <c r="A1776" s="100">
        <v>262078492101</v>
      </c>
    </row>
    <row r="1777" spans="1:1" x14ac:dyDescent="0.2">
      <c r="A1777" s="100">
        <v>262078660901</v>
      </c>
    </row>
    <row r="1778" spans="1:1" x14ac:dyDescent="0.2">
      <c r="A1778" s="100">
        <v>262026422201</v>
      </c>
    </row>
    <row r="1779" spans="1:1" x14ac:dyDescent="0.2">
      <c r="A1779" s="100">
        <v>262079433401</v>
      </c>
    </row>
    <row r="1780" spans="1:1" x14ac:dyDescent="0.2">
      <c r="A1780" s="100">
        <v>262008697201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93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7</vt:i4>
      </vt:variant>
    </vt:vector>
  </HeadingPairs>
  <TitlesOfParts>
    <vt:vector size="25" baseType="lpstr">
      <vt:lpstr>entrada</vt:lpstr>
      <vt:lpstr>debito</vt:lpstr>
      <vt:lpstr>credito</vt:lpstr>
      <vt:lpstr>mercado</vt:lpstr>
      <vt:lpstr>planilha</vt:lpstr>
      <vt:lpstr>terceiro</vt:lpstr>
      <vt:lpstr>pendente</vt:lpstr>
      <vt:lpstr>gasto</vt:lpstr>
      <vt:lpstr>Plan1</vt:lpstr>
      <vt:lpstr>old</vt:lpstr>
      <vt:lpstr>divida empresa</vt:lpstr>
      <vt:lpstr>divida carro</vt:lpstr>
      <vt:lpstr>divida moto</vt:lpstr>
      <vt:lpstr>Plan2</vt:lpstr>
      <vt:lpstr>Plan3</vt:lpstr>
      <vt:lpstr>Plan5</vt:lpstr>
      <vt:lpstr>Plan4</vt:lpstr>
      <vt:lpstr>Plan6</vt:lpstr>
      <vt:lpstr>credito!_FilterDatabase_0</vt:lpstr>
      <vt:lpstr>gasto!_FilterDatabase_0</vt:lpstr>
      <vt:lpstr>credito!_FilterDatabase_0_0</vt:lpstr>
      <vt:lpstr>gasto!_FilterDatabase_0_0</vt:lpstr>
      <vt:lpstr>gasto!_FiltrarBancodeDados</vt:lpstr>
      <vt:lpstr>mercado!_FiltrarBancodeDados</vt:lpstr>
      <vt:lpstr>pendente!_FiltrarBancodeDados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andre</cp:lastModifiedBy>
  <cp:revision>9</cp:revision>
  <cp:lastPrinted>2011-06-01T19:00:57Z</cp:lastPrinted>
  <dcterms:created xsi:type="dcterms:W3CDTF">2011-04-26T13:46:03Z</dcterms:created>
  <dcterms:modified xsi:type="dcterms:W3CDTF">2017-07-14T23:29:34Z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IBM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